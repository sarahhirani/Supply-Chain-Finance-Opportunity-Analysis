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arahhirani/Desktop/"/>
    </mc:Choice>
  </mc:AlternateContent>
  <xr:revisionPtr revIDLastSave="0" documentId="8_{255D682C-032A-C045-9421-A11723A24782}" xr6:coauthVersionLast="47" xr6:coauthVersionMax="47" xr10:uidLastSave="{00000000-0000-0000-0000-000000000000}"/>
  <bookViews>
    <workbookView xWindow="14640" yWindow="920" windowWidth="15440" windowHeight="17420" activeTab="1" xr2:uid="{00000000-000D-0000-FFFF-FFFF00000000}"/>
  </bookViews>
  <sheets>
    <sheet name="Supplier_Opportunity" sheetId="7" r:id="rId1"/>
    <sheet name="Raw_Data" sheetId="1" r:id="rId2"/>
    <sheet name="KPI_Dashboard" sheetId="5" r:id="rId3"/>
    <sheet name="Lookup_Lists" sheetId="2" r:id="rId4"/>
    <sheet name="README" sheetId="4" r:id="rId5"/>
  </sheet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5" l="1"/>
  <c r="B67" i="5"/>
  <c r="B68" i="5"/>
  <c r="B69" i="5"/>
  <c r="B66" i="5"/>
  <c r="E60" i="5"/>
  <c r="E61" i="5"/>
  <c r="E59" i="5"/>
  <c r="B60" i="5"/>
  <c r="B61" i="5"/>
  <c r="B59" i="5"/>
  <c r="B52" i="5"/>
  <c r="C38" i="5"/>
  <c r="C39" i="5"/>
  <c r="C40" i="5"/>
  <c r="C41" i="5"/>
  <c r="C42" i="5"/>
  <c r="C43" i="5"/>
  <c r="C44" i="5"/>
  <c r="C45" i="5"/>
  <c r="C46" i="5"/>
  <c r="C37" i="5"/>
  <c r="B38" i="5"/>
  <c r="B39" i="5"/>
  <c r="B40" i="5"/>
  <c r="B41" i="5"/>
  <c r="B42" i="5"/>
  <c r="B43" i="5"/>
  <c r="B44" i="5"/>
  <c r="B45" i="5"/>
  <c r="B46" i="5"/>
  <c r="B37" i="5"/>
  <c r="V296" i="1"/>
  <c r="V480" i="1"/>
  <c r="V275" i="1"/>
  <c r="V268" i="1"/>
  <c r="V1279" i="1"/>
  <c r="V954" i="1"/>
  <c r="V5" i="1"/>
  <c r="V1258" i="1"/>
  <c r="V1073" i="1"/>
  <c r="V278" i="1"/>
  <c r="V1280" i="1"/>
  <c r="V484" i="1"/>
  <c r="V599" i="1"/>
  <c r="V1062" i="1"/>
  <c r="V72" i="1"/>
  <c r="V1281" i="1"/>
  <c r="V614" i="1"/>
  <c r="V964" i="1"/>
  <c r="V230" i="1"/>
  <c r="V1134" i="1"/>
  <c r="V494" i="1"/>
  <c r="V729" i="1"/>
  <c r="V762" i="1"/>
  <c r="V386" i="1"/>
  <c r="V8" i="1"/>
  <c r="V1029" i="1"/>
  <c r="V221" i="1"/>
  <c r="V315" i="1"/>
  <c r="V955" i="1"/>
  <c r="V131" i="1"/>
  <c r="V1172" i="1"/>
  <c r="V1148" i="1"/>
  <c r="V354" i="1"/>
  <c r="V1224" i="1"/>
  <c r="V593" i="1"/>
  <c r="V168" i="1"/>
  <c r="V807" i="1"/>
  <c r="V993" i="1"/>
  <c r="V1104" i="1"/>
  <c r="V761" i="1"/>
  <c r="V1282" i="1"/>
  <c r="V755" i="1"/>
  <c r="V177" i="1"/>
  <c r="V962" i="1"/>
  <c r="V1283" i="1"/>
  <c r="V488" i="1"/>
  <c r="V1177" i="1"/>
  <c r="V242" i="1"/>
  <c r="V926" i="1"/>
  <c r="V429" i="1"/>
  <c r="V688" i="1"/>
  <c r="V1284" i="1"/>
  <c r="V1285" i="1"/>
  <c r="V156" i="1"/>
  <c r="V1188" i="1"/>
  <c r="V321" i="1"/>
  <c r="V201" i="1"/>
  <c r="V726" i="1"/>
  <c r="V1249" i="1"/>
  <c r="V1286" i="1"/>
  <c r="V4" i="1"/>
  <c r="V312" i="1"/>
  <c r="V797" i="1"/>
  <c r="V263" i="1"/>
  <c r="V535" i="1"/>
  <c r="V751" i="1"/>
  <c r="V1287" i="1"/>
  <c r="V715" i="1"/>
  <c r="V979" i="1"/>
  <c r="V1160" i="1"/>
  <c r="V956" i="1"/>
  <c r="V387" i="1"/>
  <c r="V552" i="1"/>
  <c r="V267" i="1"/>
  <c r="V1288" i="1"/>
  <c r="V211" i="1"/>
  <c r="V944" i="1"/>
  <c r="V227" i="1"/>
  <c r="V219" i="1"/>
  <c r="V611" i="1"/>
  <c r="V6" i="1"/>
  <c r="V1213" i="1"/>
  <c r="V55" i="1"/>
  <c r="V1289" i="1"/>
  <c r="V854" i="1"/>
  <c r="V1290" i="1"/>
  <c r="V794" i="1"/>
  <c r="V135" i="1"/>
  <c r="V235" i="1"/>
  <c r="V887" i="1"/>
  <c r="V171" i="1"/>
  <c r="V786" i="1"/>
  <c r="V1291" i="1"/>
  <c r="V583" i="1"/>
  <c r="V777" i="1"/>
  <c r="V225" i="1"/>
  <c r="V1022" i="1"/>
  <c r="V19" i="1"/>
  <c r="V327" i="1"/>
  <c r="V1008" i="1"/>
  <c r="V111" i="1"/>
  <c r="V691" i="1"/>
  <c r="V1223" i="1"/>
  <c r="V969" i="1"/>
  <c r="V1292" i="1"/>
  <c r="V1293" i="1"/>
  <c r="V1275" i="1"/>
  <c r="V178" i="1"/>
  <c r="V1063" i="1"/>
  <c r="V1294" i="1"/>
  <c r="V636" i="1"/>
  <c r="V357" i="1"/>
  <c r="V672" i="1"/>
  <c r="V380" i="1"/>
  <c r="V1026" i="1"/>
  <c r="V342" i="1"/>
  <c r="V1227" i="1"/>
  <c r="V39" i="1"/>
  <c r="V20" i="1"/>
  <c r="V391" i="1"/>
  <c r="V645" i="1"/>
  <c r="V819" i="1"/>
  <c r="V1295" i="1"/>
  <c r="V845" i="1"/>
  <c r="V509" i="1"/>
  <c r="V1135" i="1"/>
  <c r="V669" i="1"/>
  <c r="V288" i="1"/>
  <c r="V1162" i="1"/>
  <c r="V148" i="1"/>
  <c r="V1296" i="1"/>
  <c r="V369" i="1"/>
  <c r="V952" i="1"/>
  <c r="V1152" i="1"/>
  <c r="V291" i="1"/>
  <c r="V261" i="1"/>
  <c r="V1297" i="1"/>
  <c r="V1129" i="1"/>
  <c r="V299" i="1"/>
  <c r="V702" i="1"/>
  <c r="V471" i="1"/>
  <c r="V682" i="1"/>
  <c r="V624" i="1"/>
  <c r="V294" i="1"/>
  <c r="V1154" i="1"/>
  <c r="V725" i="1"/>
  <c r="V1163" i="1"/>
  <c r="V1298" i="1"/>
  <c r="V71" i="1"/>
  <c r="V1299" i="1"/>
  <c r="V1185" i="1"/>
  <c r="V1000" i="1"/>
  <c r="V503" i="1"/>
  <c r="V331" i="1"/>
  <c r="V1300" i="1"/>
  <c r="V867" i="1"/>
  <c r="V1301" i="1"/>
  <c r="V73" i="1"/>
  <c r="V185" i="1"/>
  <c r="V1115" i="1"/>
  <c r="V444" i="1"/>
  <c r="V99" i="1"/>
  <c r="V83" i="1"/>
  <c r="V695" i="1"/>
  <c r="V1023" i="1"/>
  <c r="V30" i="1"/>
  <c r="V311" i="1"/>
  <c r="V837" i="1"/>
  <c r="V1044" i="1"/>
  <c r="V723" i="1"/>
  <c r="V1028" i="1"/>
  <c r="V741" i="1"/>
  <c r="V549" i="1"/>
  <c r="V957" i="1"/>
  <c r="V778" i="1"/>
  <c r="V1302" i="1"/>
  <c r="V967" i="1"/>
  <c r="V601" i="1"/>
  <c r="V829" i="1"/>
  <c r="V553" i="1"/>
  <c r="V371" i="1"/>
  <c r="V160" i="1"/>
  <c r="V158" i="1"/>
  <c r="V996" i="1"/>
  <c r="V1121" i="1"/>
  <c r="V1203" i="1"/>
  <c r="V164" i="1"/>
  <c r="V1116" i="1"/>
  <c r="V803" i="1"/>
  <c r="V1033" i="1"/>
  <c r="V520" i="1"/>
  <c r="V218" i="1"/>
  <c r="V1303" i="1"/>
  <c r="V292" i="1"/>
  <c r="V897" i="1"/>
  <c r="V319" i="1"/>
  <c r="V1304" i="1"/>
  <c r="V1305" i="1"/>
  <c r="V226" i="1"/>
  <c r="V3" i="1"/>
  <c r="V1077" i="1"/>
  <c r="V610" i="1"/>
  <c r="V419" i="1"/>
  <c r="V1013" i="1"/>
  <c r="V138" i="1"/>
  <c r="V430" i="1"/>
  <c r="V306" i="1"/>
  <c r="V502" i="1"/>
  <c r="V370" i="1"/>
  <c r="V442" i="1"/>
  <c r="V1187" i="1"/>
  <c r="V1306" i="1"/>
  <c r="V195" i="1"/>
  <c r="V87" i="1"/>
  <c r="V412" i="1"/>
  <c r="V730" i="1"/>
  <c r="V905" i="1"/>
  <c r="V1307" i="1"/>
  <c r="V538" i="1"/>
  <c r="V155" i="1"/>
  <c r="V1308" i="1"/>
  <c r="V1214" i="1"/>
  <c r="V620" i="1"/>
  <c r="V53" i="1"/>
  <c r="V191" i="1"/>
  <c r="V808" i="1"/>
  <c r="V1309" i="1"/>
  <c r="V1310" i="1"/>
  <c r="V561" i="1"/>
  <c r="V29" i="1"/>
  <c r="V465" i="1"/>
  <c r="V1311" i="1"/>
  <c r="V110" i="1"/>
  <c r="V212" i="1"/>
  <c r="V920" i="1"/>
  <c r="V981" i="1"/>
  <c r="V675" i="1"/>
  <c r="V301" i="1"/>
  <c r="V1050" i="1"/>
  <c r="V1193" i="1"/>
  <c r="V990" i="1"/>
  <c r="V950" i="1"/>
  <c r="V341" i="1"/>
  <c r="V817" i="1"/>
  <c r="V576" i="1"/>
  <c r="V1312" i="1"/>
  <c r="V297" i="1"/>
  <c r="V683" i="1"/>
  <c r="V133" i="1"/>
  <c r="V1071" i="1"/>
  <c r="V1313" i="1"/>
  <c r="V240" i="1"/>
  <c r="V968" i="1"/>
  <c r="V252" i="1"/>
  <c r="V1069" i="1"/>
  <c r="V584" i="1"/>
  <c r="V1238" i="1"/>
  <c r="V1167" i="1"/>
  <c r="V208" i="1"/>
  <c r="V66" i="1"/>
  <c r="V537" i="1"/>
  <c r="V787" i="1"/>
  <c r="V578" i="1"/>
  <c r="V612" i="1"/>
  <c r="V519" i="1"/>
  <c r="V373" i="1"/>
  <c r="V709" i="1"/>
  <c r="V1030" i="1"/>
  <c r="V1103" i="1"/>
  <c r="V1158" i="1"/>
  <c r="V398" i="1"/>
  <c r="V667" i="1"/>
  <c r="V1314" i="1"/>
  <c r="V822" i="1"/>
  <c r="V1315" i="1"/>
  <c r="V1316" i="1"/>
  <c r="V1317" i="1"/>
  <c r="V722" i="1"/>
  <c r="V1318" i="1"/>
  <c r="V1245" i="1"/>
  <c r="V264" i="1"/>
  <c r="V1319" i="1"/>
  <c r="V735" i="1"/>
  <c r="V408" i="1"/>
  <c r="V821" i="1"/>
  <c r="V485" i="1"/>
  <c r="V1032" i="1"/>
  <c r="V827" i="1"/>
  <c r="V113" i="1"/>
  <c r="V975" i="1"/>
  <c r="V744" i="1"/>
  <c r="V918" i="1"/>
  <c r="V1320" i="1"/>
  <c r="V332" i="1"/>
  <c r="V1157" i="1"/>
  <c r="V1250" i="1"/>
  <c r="V738" i="1"/>
  <c r="V1201" i="1"/>
  <c r="V262" i="1"/>
  <c r="V734" i="1"/>
  <c r="V163" i="1"/>
  <c r="V1321" i="1"/>
  <c r="V1322" i="1"/>
  <c r="V830" i="1"/>
  <c r="V182" i="1"/>
  <c r="V1058" i="1"/>
  <c r="V1244" i="1"/>
  <c r="V516" i="1"/>
  <c r="V775" i="1"/>
  <c r="V199" i="1"/>
  <c r="V1323" i="1"/>
  <c r="V811" i="1"/>
  <c r="V50" i="1"/>
  <c r="V1324" i="1"/>
  <c r="V985" i="1"/>
  <c r="V595" i="1"/>
  <c r="V277" i="1"/>
  <c r="V222" i="1"/>
  <c r="V1014" i="1"/>
  <c r="V1219" i="1"/>
  <c r="V65" i="1"/>
  <c r="V420" i="1"/>
  <c r="V1325" i="1"/>
  <c r="V1003" i="1"/>
  <c r="V1326" i="1"/>
  <c r="V90" i="1"/>
  <c r="V976" i="1"/>
  <c r="V834" i="1"/>
  <c r="V1327" i="1"/>
  <c r="V249" i="1"/>
  <c r="V1092" i="1"/>
  <c r="V1328" i="1"/>
  <c r="V1274" i="1"/>
  <c r="V404" i="1"/>
  <c r="V892" i="1"/>
  <c r="V1329" i="1"/>
  <c r="V1184" i="1"/>
  <c r="V1330" i="1"/>
  <c r="V414" i="1"/>
  <c r="V302" i="1"/>
  <c r="V1212" i="1"/>
  <c r="V661" i="1"/>
  <c r="V796" i="1"/>
  <c r="V458" i="1"/>
  <c r="V1331" i="1"/>
  <c r="V16" i="1"/>
  <c r="V856" i="1"/>
  <c r="V438" i="1"/>
  <c r="V498" i="1"/>
  <c r="V554" i="1"/>
  <c r="V851" i="1"/>
  <c r="V1332" i="1"/>
  <c r="V1333" i="1"/>
  <c r="V1064" i="1"/>
  <c r="V1039" i="1"/>
  <c r="V824" i="1"/>
  <c r="V1254" i="1"/>
  <c r="V1007" i="1"/>
  <c r="V713" i="1"/>
  <c r="V540" i="1"/>
  <c r="V1334" i="1"/>
  <c r="V844" i="1"/>
  <c r="V759" i="1"/>
  <c r="V495" i="1"/>
  <c r="V54" i="1"/>
  <c r="V467" i="1"/>
  <c r="V559" i="1"/>
  <c r="V274" i="1"/>
  <c r="V1335" i="1"/>
  <c r="V260" i="1"/>
  <c r="V596" i="1"/>
  <c r="V143" i="1"/>
  <c r="V513" i="1"/>
  <c r="V413" i="1"/>
  <c r="V479" i="1"/>
  <c r="V1127" i="1"/>
  <c r="V329" i="1"/>
  <c r="V932" i="1"/>
  <c r="V1336" i="1"/>
  <c r="V1337" i="1"/>
  <c r="V383" i="1"/>
  <c r="V146" i="1"/>
  <c r="V1194" i="1"/>
  <c r="V38" i="1"/>
  <c r="V608" i="1"/>
  <c r="V1027" i="1"/>
  <c r="V1338" i="1"/>
  <c r="V481" i="1"/>
  <c r="V1093" i="1"/>
  <c r="V79" i="1"/>
  <c r="V765" i="1"/>
  <c r="V106" i="1"/>
  <c r="V980" i="1"/>
  <c r="V1339" i="1"/>
  <c r="V1230" i="1"/>
  <c r="V333" i="1"/>
  <c r="V978" i="1"/>
  <c r="V1133" i="1"/>
  <c r="V42" i="1"/>
  <c r="V1340" i="1"/>
  <c r="V853" i="1"/>
  <c r="V637" i="1"/>
  <c r="V861" i="1"/>
  <c r="V215" i="1"/>
  <c r="V372" i="1"/>
  <c r="V356" i="1"/>
  <c r="V1341" i="1"/>
  <c r="V566" i="1"/>
  <c r="V1183" i="1"/>
  <c r="V930" i="1"/>
  <c r="V850" i="1"/>
  <c r="V877" i="1"/>
  <c r="V443" i="1"/>
  <c r="V427" i="1"/>
  <c r="V75" i="1"/>
  <c r="V888" i="1"/>
  <c r="V1051" i="1"/>
  <c r="V1255" i="1"/>
  <c r="V590" i="1"/>
  <c r="V345" i="1"/>
  <c r="V1045" i="1"/>
  <c r="V32" i="1"/>
  <c r="V108" i="1"/>
  <c r="V390" i="1"/>
  <c r="V973" i="1"/>
  <c r="V732" i="1"/>
  <c r="V1207" i="1"/>
  <c r="V323" i="1"/>
  <c r="V1068" i="1"/>
  <c r="V1263" i="1"/>
  <c r="V542" i="1"/>
  <c r="V45" i="1"/>
  <c r="V948" i="1"/>
  <c r="V1024" i="1"/>
  <c r="V992" i="1"/>
  <c r="V1261" i="1"/>
  <c r="V942" i="1"/>
  <c r="V514" i="1"/>
  <c r="V813" i="1"/>
  <c r="V1018" i="1"/>
  <c r="V506" i="1"/>
  <c r="V647" i="1"/>
  <c r="V536" i="1"/>
  <c r="V436" i="1"/>
  <c r="V1342" i="1"/>
  <c r="V57" i="1"/>
  <c r="V1020" i="1"/>
  <c r="V1343" i="1"/>
  <c r="V563" i="1"/>
  <c r="V882" i="1"/>
  <c r="V330" i="1"/>
  <c r="V998" i="1"/>
  <c r="V181" i="1"/>
  <c r="V472" i="1"/>
  <c r="V462" i="1"/>
  <c r="V334" i="1"/>
  <c r="V569" i="1"/>
  <c r="V1344" i="1"/>
  <c r="V771" i="1"/>
  <c r="V1145" i="1"/>
  <c r="V724" i="1"/>
  <c r="V1345" i="1"/>
  <c r="V900" i="1"/>
  <c r="V91" i="1"/>
  <c r="V1034" i="1"/>
  <c r="V571" i="1"/>
  <c r="V654" i="1"/>
  <c r="V1218" i="1"/>
  <c r="V908" i="1"/>
  <c r="V1017" i="1"/>
  <c r="V175" i="1"/>
  <c r="V336" i="1"/>
  <c r="V716" i="1"/>
  <c r="V1075" i="1"/>
  <c r="V1217" i="1"/>
  <c r="V860" i="1"/>
  <c r="V1078" i="1"/>
  <c r="V532" i="1"/>
  <c r="V504" i="1"/>
  <c r="V626" i="1"/>
  <c r="V1052" i="1"/>
  <c r="V812" i="1"/>
  <c r="V1346" i="1"/>
  <c r="V1347" i="1"/>
  <c r="V1348" i="1"/>
  <c r="V258" i="1"/>
  <c r="V1349" i="1"/>
  <c r="V1053" i="1"/>
  <c r="V1095" i="1"/>
  <c r="V598" i="1"/>
  <c r="V772" i="1"/>
  <c r="V180" i="1"/>
  <c r="V179" i="1"/>
  <c r="V743" i="1"/>
  <c r="V1247" i="1"/>
  <c r="V256" i="1"/>
  <c r="V619" i="1"/>
  <c r="V1046" i="1"/>
  <c r="V511" i="1"/>
  <c r="V1350" i="1"/>
  <c r="V255" i="1"/>
  <c r="V487" i="1"/>
  <c r="V655" i="1"/>
  <c r="V400" i="1"/>
  <c r="V361" i="1"/>
  <c r="V1351" i="1"/>
  <c r="V842" i="1"/>
  <c r="V696" i="1"/>
  <c r="V1352" i="1"/>
  <c r="V1353" i="1"/>
  <c r="V739" i="1"/>
  <c r="V876" i="1"/>
  <c r="V205" i="1"/>
  <c r="V641" i="1"/>
  <c r="V1354" i="1"/>
  <c r="V1105" i="1"/>
  <c r="V374" i="1"/>
  <c r="V269" i="1"/>
  <c r="V70" i="1"/>
  <c r="V711" i="1"/>
  <c r="V1001" i="1"/>
  <c r="V466" i="1"/>
  <c r="V650" i="1"/>
  <c r="V482" i="1"/>
  <c r="V840" i="1"/>
  <c r="V426" i="1"/>
  <c r="V422" i="1"/>
  <c r="V305" i="1"/>
  <c r="V136" i="1"/>
  <c r="V1355" i="1"/>
  <c r="V662" i="1"/>
  <c r="V1356" i="1"/>
  <c r="V1357" i="1"/>
  <c r="V460" i="1"/>
  <c r="V59" i="1"/>
  <c r="V1196" i="1"/>
  <c r="V1358" i="1"/>
  <c r="V779" i="1"/>
  <c r="V531" i="1"/>
  <c r="V250" i="1"/>
  <c r="V1222" i="1"/>
  <c r="V353" i="1"/>
  <c r="V1359" i="1"/>
  <c r="V1360" i="1"/>
  <c r="V51" i="1"/>
  <c r="V86" i="1"/>
  <c r="V1251" i="1"/>
  <c r="V194" i="1"/>
  <c r="V1361" i="1"/>
  <c r="V1362" i="1"/>
  <c r="V153" i="1"/>
  <c r="V693" i="1"/>
  <c r="V1363" i="1"/>
  <c r="V602" i="1"/>
  <c r="V769" i="1"/>
  <c r="V165" i="1"/>
  <c r="V447" i="1"/>
  <c r="V142" i="1"/>
  <c r="V1364" i="1"/>
  <c r="V806" i="1"/>
  <c r="V594" i="1"/>
  <c r="V1365" i="1"/>
  <c r="V1101" i="1"/>
  <c r="V21" i="1"/>
  <c r="V1149" i="1"/>
  <c r="V15" i="1"/>
  <c r="V627" i="1"/>
  <c r="V448" i="1"/>
  <c r="V670" i="1"/>
  <c r="V309" i="1"/>
  <c r="V161" i="1"/>
  <c r="V1036" i="1"/>
  <c r="V304" i="1"/>
  <c r="V1276" i="1"/>
  <c r="V416" i="1"/>
  <c r="V760" i="1"/>
  <c r="V1366" i="1"/>
  <c r="V1367" i="1"/>
  <c r="V1368" i="1"/>
  <c r="V1262" i="1"/>
  <c r="V366" i="1"/>
  <c r="V1161" i="1"/>
  <c r="V580" i="1"/>
  <c r="V1369" i="1"/>
  <c r="V1067" i="1"/>
  <c r="V1125" i="1"/>
  <c r="V1171" i="1"/>
  <c r="V12" i="1"/>
  <c r="V1370" i="1"/>
  <c r="V1371" i="1"/>
  <c r="V281" i="1"/>
  <c r="V102" i="1"/>
  <c r="V1372" i="1"/>
  <c r="V889" i="1"/>
  <c r="V501" i="1"/>
  <c r="V104" i="1"/>
  <c r="V328" i="1"/>
  <c r="V233" i="1"/>
  <c r="V1373" i="1"/>
  <c r="V597" i="1"/>
  <c r="V409" i="1"/>
  <c r="V634" i="1"/>
  <c r="V1374" i="1"/>
  <c r="V518" i="1"/>
  <c r="V1375" i="1"/>
  <c r="V67" i="1"/>
  <c r="V820" i="1"/>
  <c r="V986" i="1"/>
  <c r="V1376" i="1"/>
  <c r="V457" i="1"/>
  <c r="V187" i="1"/>
  <c r="V1237" i="1"/>
  <c r="V652" i="1"/>
  <c r="V971" i="1"/>
  <c r="V1377" i="1"/>
  <c r="V847" i="1"/>
  <c r="V1136" i="1"/>
  <c r="V1189" i="1"/>
  <c r="V349" i="1"/>
  <c r="V359" i="1"/>
  <c r="V904" i="1"/>
  <c r="V1140" i="1"/>
  <c r="V621" i="1"/>
  <c r="V648" i="1"/>
  <c r="V1231" i="1"/>
  <c r="V810" i="1"/>
  <c r="V727" i="1"/>
  <c r="V1378" i="1"/>
  <c r="V397" i="1"/>
  <c r="V928" i="1"/>
  <c r="V44" i="1"/>
  <c r="V1120" i="1"/>
  <c r="V731" i="1"/>
  <c r="V510" i="1"/>
  <c r="V68" i="1"/>
  <c r="V1151" i="1"/>
  <c r="V862" i="1"/>
  <c r="V991" i="1"/>
  <c r="V790" i="1"/>
  <c r="V393" i="1"/>
  <c r="V839" i="1"/>
  <c r="V1155" i="1"/>
  <c r="V362" i="1"/>
  <c r="V804" i="1"/>
  <c r="V1055" i="1"/>
  <c r="V418" i="1"/>
  <c r="V936" i="1"/>
  <c r="V126" i="1"/>
  <c r="V1072" i="1"/>
  <c r="V61" i="1"/>
  <c r="V112" i="1"/>
  <c r="V459" i="1"/>
  <c r="V550" i="1"/>
  <c r="V1379" i="1"/>
  <c r="V1109" i="1"/>
  <c r="V1164" i="1"/>
  <c r="V124" i="1"/>
  <c r="V468" i="1"/>
  <c r="V1380" i="1"/>
  <c r="V1381" i="1"/>
  <c r="V1382" i="1"/>
  <c r="V378" i="1"/>
  <c r="V940" i="1"/>
  <c r="V694" i="1"/>
  <c r="V1016" i="1"/>
  <c r="V607" i="1"/>
  <c r="V1176" i="1"/>
  <c r="V493" i="1"/>
  <c r="V1383" i="1"/>
  <c r="V389" i="1"/>
  <c r="V272" i="1"/>
  <c r="V1102" i="1"/>
  <c r="V931" i="1"/>
  <c r="V899" i="1"/>
  <c r="V1384" i="1"/>
  <c r="V798" i="1"/>
  <c r="V395" i="1"/>
  <c r="V1228" i="1"/>
  <c r="V381" i="1"/>
  <c r="V351" i="1"/>
  <c r="V1106" i="1"/>
  <c r="V592" i="1"/>
  <c r="V521" i="1"/>
  <c r="V643" i="1"/>
  <c r="V384" i="1"/>
  <c r="V909" i="1"/>
  <c r="V1112" i="1"/>
  <c r="V768" i="1"/>
  <c r="V1385" i="1"/>
  <c r="V873" i="1"/>
  <c r="V320" i="1"/>
  <c r="V452" i="1"/>
  <c r="V186" i="1"/>
  <c r="V720" i="1"/>
  <c r="V103" i="1"/>
  <c r="V107" i="1"/>
  <c r="V1100" i="1"/>
  <c r="V784" i="1"/>
  <c r="V581" i="1"/>
  <c r="V1246" i="1"/>
  <c r="V999" i="1"/>
  <c r="V22" i="1"/>
  <c r="V913" i="1"/>
  <c r="V1386" i="1"/>
  <c r="V1122" i="1"/>
  <c r="V1047" i="1"/>
  <c r="V461" i="1"/>
  <c r="V946" i="1"/>
  <c r="V440" i="1"/>
  <c r="V1165" i="1"/>
  <c r="V96" i="1"/>
  <c r="V1234" i="1"/>
  <c r="V646" i="1"/>
  <c r="V1178" i="1"/>
  <c r="V1197" i="1"/>
  <c r="V69" i="1"/>
  <c r="V446" i="1"/>
  <c r="V1387" i="1"/>
  <c r="V405" i="1"/>
  <c r="V678" i="1"/>
  <c r="V388" i="1"/>
  <c r="V94" i="1"/>
  <c r="V1388" i="1"/>
  <c r="V37" i="1"/>
  <c r="V699" i="1"/>
  <c r="V170" i="1"/>
  <c r="V507" i="1"/>
  <c r="V1168" i="1"/>
  <c r="V886" i="1"/>
  <c r="V805" i="1"/>
  <c r="V1389" i="1"/>
  <c r="V1110" i="1"/>
  <c r="V496" i="1"/>
  <c r="V911" i="1"/>
  <c r="V1206" i="1"/>
  <c r="V1390" i="1"/>
  <c r="V1088" i="1"/>
  <c r="V1081" i="1"/>
  <c r="V1391" i="1"/>
  <c r="V1147" i="1"/>
  <c r="V994" i="1"/>
  <c r="V184" i="1"/>
  <c r="V1392" i="1"/>
  <c r="V216" i="1"/>
  <c r="V1243" i="1"/>
  <c r="V313" i="1"/>
  <c r="V1015" i="1"/>
  <c r="V701" i="1"/>
  <c r="V1257" i="1"/>
  <c r="V1208" i="1"/>
  <c r="V953" i="1"/>
  <c r="V365" i="1"/>
  <c r="V879" i="1"/>
  <c r="V789" i="1"/>
  <c r="V152" i="1"/>
  <c r="V101" i="1"/>
  <c r="V728" i="1"/>
  <c r="V1393" i="1"/>
  <c r="V1394" i="1"/>
  <c r="V863" i="1"/>
  <c r="V43" i="1"/>
  <c r="V1395" i="1"/>
  <c r="V653" i="1"/>
  <c r="V1083" i="1"/>
  <c r="V478" i="1"/>
  <c r="V282" i="1"/>
  <c r="V490" i="1"/>
  <c r="V1124" i="1"/>
  <c r="V718" i="1"/>
  <c r="V1396" i="1"/>
  <c r="V859" i="1"/>
  <c r="V190" i="1"/>
  <c r="V1225" i="1"/>
  <c r="V935" i="1"/>
  <c r="V895" i="1"/>
  <c r="V697" i="1"/>
  <c r="V1267" i="1"/>
  <c r="V1397" i="1"/>
  <c r="V1111" i="1"/>
  <c r="V1398" i="1"/>
  <c r="V631" i="1"/>
  <c r="V666" i="1"/>
  <c r="V579" i="1"/>
  <c r="V121" i="1"/>
  <c r="V89" i="1"/>
  <c r="V322" i="1"/>
  <c r="V1035" i="1"/>
  <c r="V1399" i="1"/>
  <c r="V983" i="1"/>
  <c r="V1400" i="1"/>
  <c r="V1401" i="1"/>
  <c r="V28" i="1"/>
  <c r="V1041" i="1"/>
  <c r="V1402" i="1"/>
  <c r="V934" i="1"/>
  <c r="V663" i="1"/>
  <c r="V943" i="1"/>
  <c r="V870" i="1"/>
  <c r="V31" i="1"/>
  <c r="V1403" i="1"/>
  <c r="V1061" i="1"/>
  <c r="V403" i="1"/>
  <c r="V958" i="1"/>
  <c r="V394" i="1"/>
  <c r="V635" i="1"/>
  <c r="V828" i="1"/>
  <c r="V197" i="1"/>
  <c r="V144" i="1"/>
  <c r="V1080" i="1"/>
  <c r="V906" i="1"/>
  <c r="V14" i="1"/>
  <c r="V838" i="1"/>
  <c r="V9" i="1"/>
  <c r="V754" i="1"/>
  <c r="V972" i="1"/>
  <c r="V1404" i="1"/>
  <c r="V145" i="1"/>
  <c r="V18" i="1"/>
  <c r="V17" i="1"/>
  <c r="V1070" i="1"/>
  <c r="V283" i="1"/>
  <c r="V745" i="1"/>
  <c r="V1405" i="1"/>
  <c r="V1233" i="1"/>
  <c r="V752" i="1"/>
  <c r="V508" i="1"/>
  <c r="V783" i="1"/>
  <c r="V162" i="1"/>
  <c r="V1406" i="1"/>
  <c r="V572" i="1"/>
  <c r="V355" i="1"/>
  <c r="V1091" i="1"/>
  <c r="V470" i="1"/>
  <c r="V477" i="1"/>
  <c r="V907" i="1"/>
  <c r="V757" i="1"/>
  <c r="V1407" i="1"/>
  <c r="V402" i="1"/>
  <c r="V833" i="1"/>
  <c r="V1408" i="1"/>
  <c r="V437" i="1"/>
  <c r="V1181" i="1"/>
  <c r="V901" i="1"/>
  <c r="V363" i="1"/>
  <c r="V500" i="1"/>
  <c r="V546" i="1"/>
  <c r="V265" i="1"/>
  <c r="V894" i="1"/>
  <c r="V1409" i="1"/>
  <c r="V1239" i="1"/>
  <c r="V344" i="1"/>
  <c r="V600" i="1"/>
  <c r="V924" i="1"/>
  <c r="V11" i="1"/>
  <c r="V1410" i="1"/>
  <c r="V123" i="1"/>
  <c r="V917" i="1"/>
  <c r="V1411" i="1"/>
  <c r="V1117" i="1"/>
  <c r="V1412" i="1"/>
  <c r="V1012" i="1"/>
  <c r="V234" i="1"/>
  <c r="V92" i="1"/>
  <c r="V183" i="1"/>
  <c r="V1413" i="1"/>
  <c r="V1057" i="1"/>
  <c r="V1414" i="1"/>
  <c r="V439" i="1"/>
  <c r="V1226" i="1"/>
  <c r="V52" i="1"/>
  <c r="V209" i="1"/>
  <c r="V841" i="1"/>
  <c r="V517" i="1"/>
  <c r="V686" i="1"/>
  <c r="V1415" i="1"/>
  <c r="V1179" i="1"/>
  <c r="V1416" i="1"/>
  <c r="V271" i="1"/>
  <c r="V781" i="1"/>
  <c r="V1087" i="1"/>
  <c r="V78" i="1"/>
  <c r="V1417" i="1"/>
  <c r="V1418" i="1"/>
  <c r="V1248" i="1"/>
  <c r="V1419" i="1"/>
  <c r="V1137" i="1"/>
  <c r="V717" i="1"/>
  <c r="V241" i="1"/>
  <c r="V891" i="1"/>
  <c r="V788" i="1"/>
  <c r="V82" i="1"/>
  <c r="V644" i="1"/>
  <c r="V802" i="1"/>
  <c r="V1215" i="1"/>
  <c r="V228" i="1"/>
  <c r="V335" i="1"/>
  <c r="V456" i="1"/>
  <c r="V122" i="1"/>
  <c r="V523" i="1"/>
  <c r="V1420" i="1"/>
  <c r="V528" i="1"/>
  <c r="V589" i="1"/>
  <c r="V1186" i="1"/>
  <c r="V1086" i="1"/>
  <c r="V1195" i="1"/>
  <c r="V1173" i="1"/>
  <c r="V539" i="1"/>
  <c r="V938" i="1"/>
  <c r="V649" i="1"/>
  <c r="V25" i="1"/>
  <c r="V864" i="1"/>
  <c r="V237" i="1"/>
  <c r="V705" i="1"/>
  <c r="V893" i="1"/>
  <c r="V548" i="1"/>
  <c r="V173" i="1"/>
  <c r="V1076" i="1"/>
  <c r="V982" i="1"/>
  <c r="V1421" i="1"/>
  <c r="V13" i="1"/>
  <c r="V1422" i="1"/>
  <c r="V689" i="1"/>
  <c r="V1423" i="1"/>
  <c r="V382" i="1"/>
  <c r="V270" i="1"/>
  <c r="V910" i="1"/>
  <c r="V284" i="1"/>
  <c r="V150" i="1"/>
  <c r="V1089" i="1"/>
  <c r="V1271" i="1"/>
  <c r="V253" i="1"/>
  <c r="V251" i="1"/>
  <c r="V945" i="1"/>
  <c r="V1424" i="1"/>
  <c r="V1425" i="1"/>
  <c r="V77" i="1"/>
  <c r="V871" i="1"/>
  <c r="V774" i="1"/>
  <c r="V491" i="1"/>
  <c r="V23" i="1"/>
  <c r="V1242" i="1"/>
  <c r="V1131" i="1"/>
  <c r="V411" i="1"/>
  <c r="V846" i="1"/>
  <c r="V526" i="1"/>
  <c r="V707" i="1"/>
  <c r="V1010" i="1"/>
  <c r="V300" i="1"/>
  <c r="V98" i="1"/>
  <c r="V947" i="1"/>
  <c r="V27" i="1"/>
  <c r="V1426" i="1"/>
  <c r="V1427" i="1"/>
  <c r="V1428" i="1"/>
  <c r="V56" i="1"/>
  <c r="V815" i="1"/>
  <c r="V832" i="1"/>
  <c r="V562" i="1"/>
  <c r="V997" i="1"/>
  <c r="V406" i="1"/>
  <c r="V172" i="1"/>
  <c r="V1211" i="1"/>
  <c r="V642" i="1"/>
  <c r="V280" i="1"/>
  <c r="V198" i="1"/>
  <c r="V703" i="1"/>
  <c r="V884" i="1"/>
  <c r="V629" i="1"/>
  <c r="V1097" i="1"/>
  <c r="V1429" i="1"/>
  <c r="V64" i="1"/>
  <c r="V1430" i="1"/>
  <c r="V220" i="1"/>
  <c r="V245" i="1"/>
  <c r="V1278" i="1"/>
  <c r="V795" i="1"/>
  <c r="V257" i="1"/>
  <c r="V1085" i="1"/>
  <c r="V81" i="1"/>
  <c r="V1252" i="1"/>
  <c r="V232" i="1"/>
  <c r="V878" i="1"/>
  <c r="V1142" i="1"/>
  <c r="V770" i="1"/>
  <c r="V415" i="1"/>
  <c r="V857" i="1"/>
  <c r="V700" i="1"/>
  <c r="V1431" i="1"/>
  <c r="V1266" i="1"/>
  <c r="V499" i="1"/>
  <c r="V1126" i="1"/>
  <c r="V1236" i="1"/>
  <c r="V116" i="1"/>
  <c r="V1264" i="1"/>
  <c r="V823" i="1"/>
  <c r="V1432" i="1"/>
  <c r="V62" i="1"/>
  <c r="V875" i="1"/>
  <c r="V1277" i="1"/>
  <c r="V310" i="1"/>
  <c r="V431" i="1"/>
  <c r="V117" i="1"/>
  <c r="V35" i="1"/>
  <c r="V605" i="1"/>
  <c r="V673" i="1"/>
  <c r="V1113" i="1"/>
  <c r="V872" i="1"/>
  <c r="V1221" i="1"/>
  <c r="V658" i="1"/>
  <c r="V1433" i="1"/>
  <c r="V753" i="1"/>
  <c r="V555" i="1"/>
  <c r="V530" i="1"/>
  <c r="V1434" i="1"/>
  <c r="V377" i="1"/>
  <c r="V7" i="1"/>
  <c r="V698" i="1"/>
  <c r="V140" i="1"/>
  <c r="V497" i="1"/>
  <c r="V1074" i="1"/>
  <c r="V486" i="1"/>
  <c r="V174" i="1"/>
  <c r="V714" i="1"/>
  <c r="V434" i="1"/>
  <c r="V1153" i="1"/>
  <c r="V1435" i="1"/>
  <c r="V151" i="1"/>
  <c r="V421" i="1"/>
  <c r="V432" i="1"/>
  <c r="V1098" i="1"/>
  <c r="V1170" i="1"/>
  <c r="V1436" i="1"/>
  <c r="V604" i="1"/>
  <c r="V80" i="1"/>
  <c r="V259" i="1"/>
  <c r="V325" i="1"/>
  <c r="V1437" i="1"/>
  <c r="V1438" i="1"/>
  <c r="V475" i="1"/>
  <c r="V204" i="1"/>
  <c r="V613" i="1"/>
  <c r="V358" i="1"/>
  <c r="V34" i="1"/>
  <c r="V1108" i="1"/>
  <c r="V756" i="1"/>
  <c r="V1439" i="1"/>
  <c r="V522" i="1"/>
  <c r="V474" i="1"/>
  <c r="V782" i="1"/>
  <c r="V166" i="1"/>
  <c r="V855" i="1"/>
  <c r="V1440" i="1"/>
  <c r="V746" i="1"/>
  <c r="V134" i="1"/>
  <c r="V1253" i="1"/>
  <c r="V664" i="1"/>
  <c r="V737" i="1"/>
  <c r="V433" i="1"/>
  <c r="V543" i="1"/>
  <c r="V1441" i="1"/>
  <c r="V512" i="1"/>
  <c r="V2" i="1"/>
  <c r="V831" i="1"/>
  <c r="V603" i="1"/>
  <c r="V551" i="1"/>
  <c r="V773" i="1"/>
  <c r="V785" i="1"/>
  <c r="V949" i="1"/>
  <c r="V340" i="1"/>
  <c r="V1191" i="1"/>
  <c r="V959" i="1"/>
  <c r="V266" i="1"/>
  <c r="V428" i="1"/>
  <c r="V816" i="1"/>
  <c r="V685" i="1"/>
  <c r="V1025" i="1"/>
  <c r="V127" i="1"/>
  <c r="V1442" i="1"/>
  <c r="V749" i="1"/>
  <c r="V1065" i="1"/>
  <c r="V767" i="1"/>
  <c r="V587" i="1"/>
  <c r="V671" i="1"/>
  <c r="V285" i="1"/>
  <c r="V1210" i="1"/>
  <c r="V1443" i="1"/>
  <c r="V568" i="1"/>
  <c r="V606" i="1"/>
  <c r="V1099" i="1"/>
  <c r="V874" i="1"/>
  <c r="V1444" i="1"/>
  <c r="V489" i="1"/>
  <c r="V1009" i="1"/>
  <c r="V1445" i="1"/>
  <c r="V417" i="1"/>
  <c r="V1446" i="1"/>
  <c r="V575" i="1"/>
  <c r="V450" i="1"/>
  <c r="V293" i="1"/>
  <c r="V196" i="1"/>
  <c r="V1447" i="1"/>
  <c r="V1448" i="1"/>
  <c r="V681" i="1"/>
  <c r="V965" i="1"/>
  <c r="V1037" i="1"/>
  <c r="V676" i="1"/>
  <c r="V677" i="1"/>
  <c r="V963" i="1"/>
  <c r="V668" i="1"/>
  <c r="V1449" i="1"/>
  <c r="V1049" i="1"/>
  <c r="V970" i="1"/>
  <c r="V1450" i="1"/>
  <c r="V129" i="1"/>
  <c r="V295" i="1"/>
  <c r="V525" i="1"/>
  <c r="V1451" i="1"/>
  <c r="V618" i="1"/>
  <c r="V24" i="1"/>
  <c r="V1452" i="1"/>
  <c r="V1453" i="1"/>
  <c r="V793" i="1"/>
  <c r="V1056" i="1"/>
  <c r="V1040" i="1"/>
  <c r="V914" i="1"/>
  <c r="V740" i="1"/>
  <c r="V139" i="1"/>
  <c r="V929" i="1"/>
  <c r="V939" i="1"/>
  <c r="V238" i="1"/>
  <c r="V125" i="1"/>
  <c r="V638" i="1"/>
  <c r="V451" i="1"/>
  <c r="V1454" i="1"/>
  <c r="V308" i="1"/>
  <c r="V1273" i="1"/>
  <c r="V1455" i="1"/>
  <c r="V801" i="1"/>
  <c r="V276" i="1"/>
  <c r="V1456" i="1"/>
  <c r="V46" i="1"/>
  <c r="V1216" i="1"/>
  <c r="V545" i="1"/>
  <c r="V246" i="1"/>
  <c r="V557" i="1"/>
  <c r="V1138" i="1"/>
  <c r="V149" i="1"/>
  <c r="V193" i="1"/>
  <c r="V1457" i="1"/>
  <c r="V529" i="1"/>
  <c r="V1096" i="1"/>
  <c r="V401" i="1"/>
  <c r="V574" i="1"/>
  <c r="V1190" i="1"/>
  <c r="V445" i="1"/>
  <c r="V298" i="1"/>
  <c r="V800" i="1"/>
  <c r="V639" i="1"/>
  <c r="V47" i="1"/>
  <c r="V1458" i="1"/>
  <c r="V1270" i="1"/>
  <c r="V1005" i="1"/>
  <c r="V1459" i="1"/>
  <c r="V385" i="1"/>
  <c r="V1038" i="1"/>
  <c r="V1090" i="1"/>
  <c r="V1460" i="1"/>
  <c r="V690" i="1"/>
  <c r="V570" i="1"/>
  <c r="V1272" i="1"/>
  <c r="V560" i="1"/>
  <c r="V656" i="1"/>
  <c r="V1198" i="1"/>
  <c r="V763" i="1"/>
  <c r="V120" i="1"/>
  <c r="V1200" i="1"/>
  <c r="V137" i="1"/>
  <c r="V1461" i="1"/>
  <c r="V609" i="1"/>
  <c r="V1269" i="1"/>
  <c r="V885" i="1"/>
  <c r="V1462" i="1"/>
  <c r="V410" i="1"/>
  <c r="V984" i="1"/>
  <c r="V1060" i="1"/>
  <c r="V317" i="1"/>
  <c r="V896" i="1"/>
  <c r="V1260" i="1"/>
  <c r="V1166" i="1"/>
  <c r="V1006" i="1"/>
  <c r="V556" i="1"/>
  <c r="V1265" i="1"/>
  <c r="V1059" i="1"/>
  <c r="V951" i="1"/>
  <c r="V814" i="1"/>
  <c r="V960" i="1"/>
  <c r="V454" i="1"/>
  <c r="V244" i="1"/>
  <c r="V100" i="1"/>
  <c r="V176" i="1"/>
  <c r="V1235" i="1"/>
  <c r="V748" i="1"/>
  <c r="V1130" i="1"/>
  <c r="V1132" i="1"/>
  <c r="V217" i="1"/>
  <c r="V1463" i="1"/>
  <c r="V623" i="1"/>
  <c r="V1031" i="1"/>
  <c r="V657" i="1"/>
  <c r="V1464" i="1"/>
  <c r="V213" i="1"/>
  <c r="V492" i="1"/>
  <c r="V565" i="1"/>
  <c r="V780" i="1"/>
  <c r="V883" i="1"/>
  <c r="V865" i="1"/>
  <c r="V1465" i="1"/>
  <c r="V836" i="1"/>
  <c r="V1466" i="1"/>
  <c r="V337" i="1"/>
  <c r="V1467" i="1"/>
  <c r="V573" i="1"/>
  <c r="V544" i="1"/>
  <c r="V1123" i="1"/>
  <c r="V367" i="1"/>
  <c r="V326" i="1"/>
  <c r="V941" i="1"/>
  <c r="V1468" i="1"/>
  <c r="V1256" i="1"/>
  <c r="V425" i="1"/>
  <c r="V628" i="1"/>
  <c r="V132" i="1"/>
  <c r="V1043" i="1"/>
  <c r="V202" i="1"/>
  <c r="V818" i="1"/>
  <c r="V58" i="1"/>
  <c r="V303" i="1"/>
  <c r="V687" i="1"/>
  <c r="V157" i="1"/>
  <c r="V712" i="1"/>
  <c r="V455" i="1"/>
  <c r="V147" i="1"/>
  <c r="V588" i="1"/>
  <c r="V63" i="1"/>
  <c r="V469" i="1"/>
  <c r="V921" i="1"/>
  <c r="V85" i="1"/>
  <c r="V1268" i="1"/>
  <c r="V1019" i="1"/>
  <c r="V1107" i="1"/>
  <c r="V1229" i="1"/>
  <c r="V115" i="1"/>
  <c r="V247" i="1"/>
  <c r="V665" i="1"/>
  <c r="V764" i="1"/>
  <c r="V1118" i="1"/>
  <c r="V1021" i="1"/>
  <c r="V1202" i="1"/>
  <c r="V898" i="1"/>
  <c r="V1469" i="1"/>
  <c r="V210" i="1"/>
  <c r="V868" i="1"/>
  <c r="V1470" i="1"/>
  <c r="V114" i="1"/>
  <c r="V189" i="1"/>
  <c r="V915" i="1"/>
  <c r="V750" i="1"/>
  <c r="V154" i="1"/>
  <c r="V710" i="1"/>
  <c r="V1471" i="1"/>
  <c r="V76" i="1"/>
  <c r="V1472" i="1"/>
  <c r="V243" i="1"/>
  <c r="V1002" i="1"/>
  <c r="V316" i="1"/>
  <c r="V360" i="1"/>
  <c r="V1143" i="1"/>
  <c r="V1473" i="1"/>
  <c r="V792" i="1"/>
  <c r="V1474" i="1"/>
  <c r="V680" i="1"/>
  <c r="V660" i="1"/>
  <c r="V927" i="1"/>
  <c r="V1082" i="1"/>
  <c r="V866" i="1"/>
  <c r="V1475" i="1"/>
  <c r="V1476" i="1"/>
  <c r="V97" i="1"/>
  <c r="V1114" i="1"/>
  <c r="V858" i="1"/>
  <c r="V674" i="1"/>
  <c r="V995" i="1"/>
  <c r="V1141" i="1"/>
  <c r="V1042" i="1"/>
  <c r="V912" i="1"/>
  <c r="V1477" i="1"/>
  <c r="V659" i="1"/>
  <c r="V1478" i="1"/>
  <c r="V286" i="1"/>
  <c r="V60" i="1"/>
  <c r="V966" i="1"/>
  <c r="V200" i="1"/>
  <c r="V214" i="1"/>
  <c r="V974" i="1"/>
  <c r="V476" i="1"/>
  <c r="V1199" i="1"/>
  <c r="V747" i="1"/>
  <c r="V989" i="1"/>
  <c r="V632" i="1"/>
  <c r="V224" i="1"/>
  <c r="V902" i="1"/>
  <c r="V1479" i="1"/>
  <c r="V585" i="1"/>
  <c r="V922" i="1"/>
  <c r="V346" i="1"/>
  <c r="V239" i="1"/>
  <c r="V937" i="1"/>
  <c r="V541" i="1"/>
  <c r="V923" i="1"/>
  <c r="V582" i="1"/>
  <c r="V622" i="1"/>
  <c r="V706" i="1"/>
  <c r="V890" i="1"/>
  <c r="V766" i="1"/>
  <c r="V1480" i="1"/>
  <c r="V423" i="1"/>
  <c r="V36" i="1"/>
  <c r="V633" i="1"/>
  <c r="V1481" i="1"/>
  <c r="V534" i="1"/>
  <c r="V1482" i="1"/>
  <c r="V93" i="1"/>
  <c r="V188" i="1"/>
  <c r="V118" i="1"/>
  <c r="V1182" i="1"/>
  <c r="V733" i="1"/>
  <c r="V758" i="1"/>
  <c r="V49" i="1"/>
  <c r="V1004" i="1"/>
  <c r="V1054" i="1"/>
  <c r="V1232" i="1"/>
  <c r="V1483" i="1"/>
  <c r="V1484" i="1"/>
  <c r="V515" i="1"/>
  <c r="V248" i="1"/>
  <c r="V279" i="1"/>
  <c r="V903" i="1"/>
  <c r="V1128" i="1"/>
  <c r="V130" i="1"/>
  <c r="V347" i="1"/>
  <c r="V708" i="1"/>
  <c r="V586" i="1"/>
  <c r="V1205" i="1"/>
  <c r="V1192" i="1"/>
  <c r="V348" i="1"/>
  <c r="V159" i="1"/>
  <c r="V343" i="1"/>
  <c r="V616" i="1"/>
  <c r="V1204" i="1"/>
  <c r="V1119" i="1"/>
  <c r="V368" i="1"/>
  <c r="V1150" i="1"/>
  <c r="V314" i="1"/>
  <c r="V1485" i="1"/>
  <c r="V464" i="1"/>
  <c r="V424" i="1"/>
  <c r="V167" i="1"/>
  <c r="V10" i="1"/>
  <c r="V1048" i="1"/>
  <c r="V41" i="1"/>
  <c r="V1084" i="1"/>
  <c r="V564" i="1"/>
  <c r="V392" i="1"/>
  <c r="V203" i="1"/>
  <c r="V40" i="1"/>
  <c r="V625" i="1"/>
  <c r="V192" i="1"/>
  <c r="V109" i="1"/>
  <c r="V1146" i="1"/>
  <c r="V1079" i="1"/>
  <c r="V1486" i="1"/>
  <c r="V141" i="1"/>
  <c r="V916" i="1"/>
  <c r="V254" i="1"/>
  <c r="V704" i="1"/>
  <c r="V379" i="1"/>
  <c r="V1487" i="1"/>
  <c r="V925" i="1"/>
  <c r="V1209" i="1"/>
  <c r="V48" i="1"/>
  <c r="V617" i="1"/>
  <c r="V1011" i="1"/>
  <c r="V339" i="1"/>
  <c r="V919" i="1"/>
  <c r="V338" i="1"/>
  <c r="V399" i="1"/>
  <c r="V567" i="1"/>
  <c r="V1488" i="1"/>
  <c r="V880" i="1"/>
  <c r="V977" i="1"/>
  <c r="V988" i="1"/>
  <c r="V684" i="1"/>
  <c r="V84" i="1"/>
  <c r="V105" i="1"/>
  <c r="V236" i="1"/>
  <c r="V987" i="1"/>
  <c r="V1175" i="1"/>
  <c r="V95" i="1"/>
  <c r="V961" i="1"/>
  <c r="V849" i="1"/>
  <c r="V630" i="1"/>
  <c r="V651" i="1"/>
  <c r="V318" i="1"/>
  <c r="V231" i="1"/>
  <c r="V287" i="1"/>
  <c r="V1174" i="1"/>
  <c r="V364" i="1"/>
  <c r="V463" i="1"/>
  <c r="V591" i="1"/>
  <c r="V1489" i="1"/>
  <c r="V352" i="1"/>
  <c r="V128" i="1"/>
  <c r="V799" i="1"/>
  <c r="V483" i="1"/>
  <c r="V1490" i="1"/>
  <c r="V273" i="1"/>
  <c r="V547" i="1"/>
  <c r="V881" i="1"/>
  <c r="V229" i="1"/>
  <c r="V88" i="1"/>
  <c r="V1220" i="1"/>
  <c r="V721" i="1"/>
  <c r="V558" i="1"/>
  <c r="V449" i="1"/>
  <c r="V736" i="1"/>
  <c r="V835" i="1"/>
  <c r="V848" i="1"/>
  <c r="V826" i="1"/>
  <c r="V1491" i="1"/>
  <c r="V1492" i="1"/>
  <c r="V719" i="1"/>
  <c r="V396" i="1"/>
  <c r="V223" i="1"/>
  <c r="V825" i="1"/>
  <c r="V1240" i="1"/>
  <c r="V524" i="1"/>
  <c r="V1139" i="1"/>
  <c r="V74" i="1"/>
  <c r="V206" i="1"/>
  <c r="V33" i="1"/>
  <c r="V1493" i="1"/>
  <c r="V1180" i="1"/>
  <c r="V1156" i="1"/>
  <c r="V692" i="1"/>
  <c r="V1259" i="1"/>
  <c r="V407" i="1"/>
  <c r="V1494" i="1"/>
  <c r="V1495" i="1"/>
  <c r="V527" i="1"/>
  <c r="V289" i="1"/>
  <c r="V679" i="1"/>
  <c r="V1144" i="1"/>
  <c r="V1496" i="1"/>
  <c r="V533" i="1"/>
  <c r="V1159" i="1"/>
  <c r="V1066" i="1"/>
  <c r="V119" i="1"/>
  <c r="V505" i="1"/>
  <c r="V473" i="1"/>
  <c r="V852" i="1"/>
  <c r="V1497" i="1"/>
  <c r="V1094" i="1"/>
  <c r="V207" i="1"/>
  <c r="V453" i="1"/>
  <c r="V577" i="1"/>
  <c r="V742" i="1"/>
  <c r="V791" i="1"/>
  <c r="V290" i="1"/>
  <c r="V843" i="1"/>
  <c r="V933" i="1"/>
  <c r="V809" i="1"/>
  <c r="V441" i="1"/>
  <c r="V1169" i="1"/>
  <c r="V350" i="1"/>
  <c r="V869" i="1"/>
  <c r="V1498" i="1"/>
  <c r="V169" i="1"/>
  <c r="V375" i="1"/>
  <c r="V615" i="1"/>
  <c r="V26" i="1"/>
  <c r="V324" i="1"/>
  <c r="V435" i="1"/>
  <c r="V307" i="1"/>
  <c r="V776" i="1"/>
  <c r="V1499" i="1"/>
  <c r="V640" i="1"/>
  <c r="V1241" i="1"/>
  <c r="V376" i="1"/>
  <c r="V1500" i="1"/>
  <c r="V1501" i="1"/>
  <c r="B8" i="5"/>
  <c r="B7" i="5"/>
  <c r="B6" i="5"/>
  <c r="B53" i="5" s="1"/>
  <c r="B5" i="5"/>
  <c r="B2" i="5"/>
  <c r="U480" i="1"/>
  <c r="U275" i="1"/>
  <c r="U268" i="1"/>
  <c r="U1279" i="1"/>
  <c r="U954" i="1"/>
  <c r="U5" i="1"/>
  <c r="U1258" i="1"/>
  <c r="U1073" i="1"/>
  <c r="U278" i="1"/>
  <c r="U1280" i="1"/>
  <c r="U484" i="1"/>
  <c r="U599" i="1"/>
  <c r="U1062" i="1"/>
  <c r="U72" i="1"/>
  <c r="U1281" i="1"/>
  <c r="U614" i="1"/>
  <c r="U964" i="1"/>
  <c r="U230" i="1"/>
  <c r="U1134" i="1"/>
  <c r="U494" i="1"/>
  <c r="U729" i="1"/>
  <c r="U762" i="1"/>
  <c r="U386" i="1"/>
  <c r="U8" i="1"/>
  <c r="U1029" i="1"/>
  <c r="U221" i="1"/>
  <c r="U315" i="1"/>
  <c r="U955" i="1"/>
  <c r="U131" i="1"/>
  <c r="U1172" i="1"/>
  <c r="U1148" i="1"/>
  <c r="U354" i="1"/>
  <c r="U1224" i="1"/>
  <c r="U593" i="1"/>
  <c r="U168" i="1"/>
  <c r="U807" i="1"/>
  <c r="U993" i="1"/>
  <c r="U1104" i="1"/>
  <c r="U761" i="1"/>
  <c r="U1282" i="1"/>
  <c r="U755" i="1"/>
  <c r="U177" i="1"/>
  <c r="U962" i="1"/>
  <c r="U1283" i="1"/>
  <c r="U488" i="1"/>
  <c r="U1177" i="1"/>
  <c r="U242" i="1"/>
  <c r="U926" i="1"/>
  <c r="U429" i="1"/>
  <c r="U688" i="1"/>
  <c r="U1284" i="1"/>
  <c r="U1285" i="1"/>
  <c r="U156" i="1"/>
  <c r="U1188" i="1"/>
  <c r="U321" i="1"/>
  <c r="U201" i="1"/>
  <c r="U726" i="1"/>
  <c r="U1249" i="1"/>
  <c r="U1286" i="1"/>
  <c r="U4" i="1"/>
  <c r="U312" i="1"/>
  <c r="U797" i="1"/>
  <c r="U263" i="1"/>
  <c r="U535" i="1"/>
  <c r="U751" i="1"/>
  <c r="U1287" i="1"/>
  <c r="U715" i="1"/>
  <c r="U979" i="1"/>
  <c r="U1160" i="1"/>
  <c r="U956" i="1"/>
  <c r="U387" i="1"/>
  <c r="U552" i="1"/>
  <c r="U267" i="1"/>
  <c r="U1288" i="1"/>
  <c r="U211" i="1"/>
  <c r="U944" i="1"/>
  <c r="U227" i="1"/>
  <c r="U219" i="1"/>
  <c r="U611" i="1"/>
  <c r="U6" i="1"/>
  <c r="U1213" i="1"/>
  <c r="U55" i="1"/>
  <c r="U1289" i="1"/>
  <c r="U854" i="1"/>
  <c r="U1290" i="1"/>
  <c r="U794" i="1"/>
  <c r="U135" i="1"/>
  <c r="U235" i="1"/>
  <c r="U887" i="1"/>
  <c r="U171" i="1"/>
  <c r="U786" i="1"/>
  <c r="U1291" i="1"/>
  <c r="U583" i="1"/>
  <c r="U777" i="1"/>
  <c r="U225" i="1"/>
  <c r="U1022" i="1"/>
  <c r="U19" i="1"/>
  <c r="U327" i="1"/>
  <c r="U1008" i="1"/>
  <c r="U111" i="1"/>
  <c r="U691" i="1"/>
  <c r="U1223" i="1"/>
  <c r="U969" i="1"/>
  <c r="U1292" i="1"/>
  <c r="U1293" i="1"/>
  <c r="U1275" i="1"/>
  <c r="U178" i="1"/>
  <c r="U1063" i="1"/>
  <c r="U1294" i="1"/>
  <c r="U636" i="1"/>
  <c r="U357" i="1"/>
  <c r="U672" i="1"/>
  <c r="U380" i="1"/>
  <c r="U1026" i="1"/>
  <c r="U342" i="1"/>
  <c r="U1227" i="1"/>
  <c r="U39" i="1"/>
  <c r="U20" i="1"/>
  <c r="U391" i="1"/>
  <c r="U645" i="1"/>
  <c r="U819" i="1"/>
  <c r="U1295" i="1"/>
  <c r="U845" i="1"/>
  <c r="U509" i="1"/>
  <c r="U1135" i="1"/>
  <c r="U669" i="1"/>
  <c r="U288" i="1"/>
  <c r="U1162" i="1"/>
  <c r="U148" i="1"/>
  <c r="U1296" i="1"/>
  <c r="U369" i="1"/>
  <c r="U952" i="1"/>
  <c r="U1152" i="1"/>
  <c r="U291" i="1"/>
  <c r="U261" i="1"/>
  <c r="U1297" i="1"/>
  <c r="U1129" i="1"/>
  <c r="U299" i="1"/>
  <c r="U702" i="1"/>
  <c r="U471" i="1"/>
  <c r="U682" i="1"/>
  <c r="U624" i="1"/>
  <c r="U294" i="1"/>
  <c r="U1154" i="1"/>
  <c r="U725" i="1"/>
  <c r="U1163" i="1"/>
  <c r="U1298" i="1"/>
  <c r="U71" i="1"/>
  <c r="U1299" i="1"/>
  <c r="U1185" i="1"/>
  <c r="U1000" i="1"/>
  <c r="U503" i="1"/>
  <c r="U331" i="1"/>
  <c r="U1300" i="1"/>
  <c r="U867" i="1"/>
  <c r="U1301" i="1"/>
  <c r="U73" i="1"/>
  <c r="U185" i="1"/>
  <c r="U1115" i="1"/>
  <c r="U444" i="1"/>
  <c r="U99" i="1"/>
  <c r="U83" i="1"/>
  <c r="U695" i="1"/>
  <c r="U1023" i="1"/>
  <c r="U30" i="1"/>
  <c r="U311" i="1"/>
  <c r="U837" i="1"/>
  <c r="U1044" i="1"/>
  <c r="U723" i="1"/>
  <c r="U1028" i="1"/>
  <c r="U741" i="1"/>
  <c r="U549" i="1"/>
  <c r="U957" i="1"/>
  <c r="U778" i="1"/>
  <c r="U1302" i="1"/>
  <c r="U967" i="1"/>
  <c r="U601" i="1"/>
  <c r="U829" i="1"/>
  <c r="U553" i="1"/>
  <c r="U371" i="1"/>
  <c r="U160" i="1"/>
  <c r="U158" i="1"/>
  <c r="U996" i="1"/>
  <c r="U1121" i="1"/>
  <c r="U1203" i="1"/>
  <c r="U164" i="1"/>
  <c r="U1116" i="1"/>
  <c r="U803" i="1"/>
  <c r="U1033" i="1"/>
  <c r="U520" i="1"/>
  <c r="U218" i="1"/>
  <c r="U1303" i="1"/>
  <c r="U292" i="1"/>
  <c r="U897" i="1"/>
  <c r="U319" i="1"/>
  <c r="U1304" i="1"/>
  <c r="U1305" i="1"/>
  <c r="U226" i="1"/>
  <c r="U3" i="1"/>
  <c r="U1077" i="1"/>
  <c r="U610" i="1"/>
  <c r="U419" i="1"/>
  <c r="U1013" i="1"/>
  <c r="U138" i="1"/>
  <c r="U430" i="1"/>
  <c r="U306" i="1"/>
  <c r="U502" i="1"/>
  <c r="U370" i="1"/>
  <c r="U442" i="1"/>
  <c r="U1187" i="1"/>
  <c r="U1306" i="1"/>
  <c r="U195" i="1"/>
  <c r="U87" i="1"/>
  <c r="U412" i="1"/>
  <c r="U730" i="1"/>
  <c r="U905" i="1"/>
  <c r="U1307" i="1"/>
  <c r="U538" i="1"/>
  <c r="U155" i="1"/>
  <c r="U1308" i="1"/>
  <c r="U1214" i="1"/>
  <c r="U620" i="1"/>
  <c r="U53" i="1"/>
  <c r="U191" i="1"/>
  <c r="U808" i="1"/>
  <c r="U1309" i="1"/>
  <c r="U1310" i="1"/>
  <c r="U561" i="1"/>
  <c r="U29" i="1"/>
  <c r="U465" i="1"/>
  <c r="U1311" i="1"/>
  <c r="U110" i="1"/>
  <c r="U212" i="1"/>
  <c r="U920" i="1"/>
  <c r="U981" i="1"/>
  <c r="U675" i="1"/>
  <c r="U301" i="1"/>
  <c r="U1050" i="1"/>
  <c r="U1193" i="1"/>
  <c r="U990" i="1"/>
  <c r="U950" i="1"/>
  <c r="U341" i="1"/>
  <c r="U817" i="1"/>
  <c r="U576" i="1"/>
  <c r="U1312" i="1"/>
  <c r="U297" i="1"/>
  <c r="U683" i="1"/>
  <c r="U133" i="1"/>
  <c r="U1071" i="1"/>
  <c r="U1313" i="1"/>
  <c r="U240" i="1"/>
  <c r="U968" i="1"/>
  <c r="U252" i="1"/>
  <c r="U1069" i="1"/>
  <c r="U584" i="1"/>
  <c r="U1238" i="1"/>
  <c r="U1167" i="1"/>
  <c r="U208" i="1"/>
  <c r="U66" i="1"/>
  <c r="U537" i="1"/>
  <c r="U787" i="1"/>
  <c r="U578" i="1"/>
  <c r="U612" i="1"/>
  <c r="U519" i="1"/>
  <c r="U373" i="1"/>
  <c r="U709" i="1"/>
  <c r="U1030" i="1"/>
  <c r="U1103" i="1"/>
  <c r="U1158" i="1"/>
  <c r="U398" i="1"/>
  <c r="U667" i="1"/>
  <c r="U1314" i="1"/>
  <c r="U822" i="1"/>
  <c r="U1315" i="1"/>
  <c r="U1316" i="1"/>
  <c r="U1317" i="1"/>
  <c r="U722" i="1"/>
  <c r="U1318" i="1"/>
  <c r="U1245" i="1"/>
  <c r="U264" i="1"/>
  <c r="U1319" i="1"/>
  <c r="U735" i="1"/>
  <c r="U408" i="1"/>
  <c r="U821" i="1"/>
  <c r="U485" i="1"/>
  <c r="U1032" i="1"/>
  <c r="U827" i="1"/>
  <c r="U113" i="1"/>
  <c r="U975" i="1"/>
  <c r="U744" i="1"/>
  <c r="U918" i="1"/>
  <c r="U1320" i="1"/>
  <c r="U332" i="1"/>
  <c r="U1157" i="1"/>
  <c r="U1250" i="1"/>
  <c r="U738" i="1"/>
  <c r="U1201" i="1"/>
  <c r="U262" i="1"/>
  <c r="U734" i="1"/>
  <c r="U163" i="1"/>
  <c r="U1321" i="1"/>
  <c r="U1322" i="1"/>
  <c r="U830" i="1"/>
  <c r="U182" i="1"/>
  <c r="U1058" i="1"/>
  <c r="U1244" i="1"/>
  <c r="U516" i="1"/>
  <c r="U775" i="1"/>
  <c r="U199" i="1"/>
  <c r="U1323" i="1"/>
  <c r="U811" i="1"/>
  <c r="U50" i="1"/>
  <c r="U1324" i="1"/>
  <c r="U985" i="1"/>
  <c r="U595" i="1"/>
  <c r="U277" i="1"/>
  <c r="U222" i="1"/>
  <c r="U1014" i="1"/>
  <c r="U1219" i="1"/>
  <c r="U65" i="1"/>
  <c r="U420" i="1"/>
  <c r="U1325" i="1"/>
  <c r="U1003" i="1"/>
  <c r="U1326" i="1"/>
  <c r="U90" i="1"/>
  <c r="U976" i="1"/>
  <c r="U834" i="1"/>
  <c r="U1327" i="1"/>
  <c r="U249" i="1"/>
  <c r="U1092" i="1"/>
  <c r="U1328" i="1"/>
  <c r="U1274" i="1"/>
  <c r="U404" i="1"/>
  <c r="U892" i="1"/>
  <c r="U1329" i="1"/>
  <c r="U1184" i="1"/>
  <c r="U1330" i="1"/>
  <c r="U414" i="1"/>
  <c r="U302" i="1"/>
  <c r="U1212" i="1"/>
  <c r="U661" i="1"/>
  <c r="U796" i="1"/>
  <c r="U458" i="1"/>
  <c r="U1331" i="1"/>
  <c r="U16" i="1"/>
  <c r="U856" i="1"/>
  <c r="U438" i="1"/>
  <c r="U498" i="1"/>
  <c r="U554" i="1"/>
  <c r="U851" i="1"/>
  <c r="U1332" i="1"/>
  <c r="U1333" i="1"/>
  <c r="U1064" i="1"/>
  <c r="U1039" i="1"/>
  <c r="U824" i="1"/>
  <c r="U1254" i="1"/>
  <c r="U1007" i="1"/>
  <c r="U713" i="1"/>
  <c r="U540" i="1"/>
  <c r="U1334" i="1"/>
  <c r="U844" i="1"/>
  <c r="U759" i="1"/>
  <c r="U495" i="1"/>
  <c r="U54" i="1"/>
  <c r="U467" i="1"/>
  <c r="U559" i="1"/>
  <c r="U274" i="1"/>
  <c r="U1335" i="1"/>
  <c r="U260" i="1"/>
  <c r="U596" i="1"/>
  <c r="U143" i="1"/>
  <c r="U513" i="1"/>
  <c r="U413" i="1"/>
  <c r="U479" i="1"/>
  <c r="U1127" i="1"/>
  <c r="U329" i="1"/>
  <c r="U932" i="1"/>
  <c r="U1336" i="1"/>
  <c r="U1337" i="1"/>
  <c r="U383" i="1"/>
  <c r="U146" i="1"/>
  <c r="U1194" i="1"/>
  <c r="U38" i="1"/>
  <c r="U608" i="1"/>
  <c r="U1027" i="1"/>
  <c r="U1338" i="1"/>
  <c r="U481" i="1"/>
  <c r="U1093" i="1"/>
  <c r="U79" i="1"/>
  <c r="U765" i="1"/>
  <c r="U106" i="1"/>
  <c r="U980" i="1"/>
  <c r="U1339" i="1"/>
  <c r="U1230" i="1"/>
  <c r="U333" i="1"/>
  <c r="U978" i="1"/>
  <c r="U1133" i="1"/>
  <c r="U42" i="1"/>
  <c r="U1340" i="1"/>
  <c r="U853" i="1"/>
  <c r="U637" i="1"/>
  <c r="U861" i="1"/>
  <c r="U215" i="1"/>
  <c r="U372" i="1"/>
  <c r="U356" i="1"/>
  <c r="U1341" i="1"/>
  <c r="U566" i="1"/>
  <c r="U1183" i="1"/>
  <c r="U930" i="1"/>
  <c r="U850" i="1"/>
  <c r="U877" i="1"/>
  <c r="U443" i="1"/>
  <c r="U427" i="1"/>
  <c r="U75" i="1"/>
  <c r="U888" i="1"/>
  <c r="U1051" i="1"/>
  <c r="U1255" i="1"/>
  <c r="U590" i="1"/>
  <c r="U345" i="1"/>
  <c r="U1045" i="1"/>
  <c r="U32" i="1"/>
  <c r="U108" i="1"/>
  <c r="U390" i="1"/>
  <c r="U973" i="1"/>
  <c r="U732" i="1"/>
  <c r="U1207" i="1"/>
  <c r="U323" i="1"/>
  <c r="U1068" i="1"/>
  <c r="U1263" i="1"/>
  <c r="U542" i="1"/>
  <c r="U45" i="1"/>
  <c r="U948" i="1"/>
  <c r="U1024" i="1"/>
  <c r="U992" i="1"/>
  <c r="U1261" i="1"/>
  <c r="U942" i="1"/>
  <c r="U514" i="1"/>
  <c r="U813" i="1"/>
  <c r="U1018" i="1"/>
  <c r="U506" i="1"/>
  <c r="U647" i="1"/>
  <c r="U536" i="1"/>
  <c r="U436" i="1"/>
  <c r="U1342" i="1"/>
  <c r="U57" i="1"/>
  <c r="U1020" i="1"/>
  <c r="U1343" i="1"/>
  <c r="U563" i="1"/>
  <c r="U882" i="1"/>
  <c r="U330" i="1"/>
  <c r="U998" i="1"/>
  <c r="U181" i="1"/>
  <c r="U472" i="1"/>
  <c r="U462" i="1"/>
  <c r="U334" i="1"/>
  <c r="U569" i="1"/>
  <c r="U1344" i="1"/>
  <c r="U771" i="1"/>
  <c r="U1145" i="1"/>
  <c r="U724" i="1"/>
  <c r="U1345" i="1"/>
  <c r="U900" i="1"/>
  <c r="U91" i="1"/>
  <c r="U1034" i="1"/>
  <c r="U571" i="1"/>
  <c r="U654" i="1"/>
  <c r="U1218" i="1"/>
  <c r="U908" i="1"/>
  <c r="U1017" i="1"/>
  <c r="U175" i="1"/>
  <c r="U336" i="1"/>
  <c r="U716" i="1"/>
  <c r="U1075" i="1"/>
  <c r="U1217" i="1"/>
  <c r="U860" i="1"/>
  <c r="U1078" i="1"/>
  <c r="U532" i="1"/>
  <c r="U504" i="1"/>
  <c r="U626" i="1"/>
  <c r="U1052" i="1"/>
  <c r="U812" i="1"/>
  <c r="U1346" i="1"/>
  <c r="U1347" i="1"/>
  <c r="U1348" i="1"/>
  <c r="U258" i="1"/>
  <c r="U1349" i="1"/>
  <c r="U1053" i="1"/>
  <c r="U1095" i="1"/>
  <c r="U598" i="1"/>
  <c r="U772" i="1"/>
  <c r="U180" i="1"/>
  <c r="U179" i="1"/>
  <c r="U743" i="1"/>
  <c r="U1247" i="1"/>
  <c r="U256" i="1"/>
  <c r="U619" i="1"/>
  <c r="U1046" i="1"/>
  <c r="U511" i="1"/>
  <c r="U1350" i="1"/>
  <c r="U255" i="1"/>
  <c r="U487" i="1"/>
  <c r="U655" i="1"/>
  <c r="U400" i="1"/>
  <c r="U361" i="1"/>
  <c r="U1351" i="1"/>
  <c r="U842" i="1"/>
  <c r="U696" i="1"/>
  <c r="U1352" i="1"/>
  <c r="U1353" i="1"/>
  <c r="U739" i="1"/>
  <c r="U876" i="1"/>
  <c r="U205" i="1"/>
  <c r="U641" i="1"/>
  <c r="U1354" i="1"/>
  <c r="U1105" i="1"/>
  <c r="U374" i="1"/>
  <c r="U269" i="1"/>
  <c r="U70" i="1"/>
  <c r="U711" i="1"/>
  <c r="U1001" i="1"/>
  <c r="U466" i="1"/>
  <c r="U650" i="1"/>
  <c r="U482" i="1"/>
  <c r="U840" i="1"/>
  <c r="U426" i="1"/>
  <c r="U422" i="1"/>
  <c r="U305" i="1"/>
  <c r="U136" i="1"/>
  <c r="U1355" i="1"/>
  <c r="U662" i="1"/>
  <c r="U1356" i="1"/>
  <c r="U1357" i="1"/>
  <c r="U460" i="1"/>
  <c r="U59" i="1"/>
  <c r="U1196" i="1"/>
  <c r="U1358" i="1"/>
  <c r="U779" i="1"/>
  <c r="U531" i="1"/>
  <c r="U250" i="1"/>
  <c r="U1222" i="1"/>
  <c r="U353" i="1"/>
  <c r="U1359" i="1"/>
  <c r="U1360" i="1"/>
  <c r="U51" i="1"/>
  <c r="U86" i="1"/>
  <c r="U1251" i="1"/>
  <c r="U194" i="1"/>
  <c r="U1361" i="1"/>
  <c r="U1362" i="1"/>
  <c r="U153" i="1"/>
  <c r="U693" i="1"/>
  <c r="U1363" i="1"/>
  <c r="U602" i="1"/>
  <c r="U769" i="1"/>
  <c r="U165" i="1"/>
  <c r="U447" i="1"/>
  <c r="U142" i="1"/>
  <c r="U1364" i="1"/>
  <c r="U806" i="1"/>
  <c r="U594" i="1"/>
  <c r="U1365" i="1"/>
  <c r="U1101" i="1"/>
  <c r="U21" i="1"/>
  <c r="U1149" i="1"/>
  <c r="U15" i="1"/>
  <c r="U627" i="1"/>
  <c r="U448" i="1"/>
  <c r="U670" i="1"/>
  <c r="U309" i="1"/>
  <c r="U161" i="1"/>
  <c r="U1036" i="1"/>
  <c r="U304" i="1"/>
  <c r="U1276" i="1"/>
  <c r="U416" i="1"/>
  <c r="U760" i="1"/>
  <c r="U1366" i="1"/>
  <c r="U1367" i="1"/>
  <c r="U1368" i="1"/>
  <c r="U1262" i="1"/>
  <c r="U366" i="1"/>
  <c r="U1161" i="1"/>
  <c r="U580" i="1"/>
  <c r="U1369" i="1"/>
  <c r="U1067" i="1"/>
  <c r="U1125" i="1"/>
  <c r="U1171" i="1"/>
  <c r="U12" i="1"/>
  <c r="U1370" i="1"/>
  <c r="U1371" i="1"/>
  <c r="U281" i="1"/>
  <c r="U102" i="1"/>
  <c r="U1372" i="1"/>
  <c r="U889" i="1"/>
  <c r="U501" i="1"/>
  <c r="U104" i="1"/>
  <c r="U328" i="1"/>
  <c r="U233" i="1"/>
  <c r="U1373" i="1"/>
  <c r="U597" i="1"/>
  <c r="U409" i="1"/>
  <c r="U634" i="1"/>
  <c r="U1374" i="1"/>
  <c r="U518" i="1"/>
  <c r="U1375" i="1"/>
  <c r="U67" i="1"/>
  <c r="U820" i="1"/>
  <c r="U986" i="1"/>
  <c r="U1376" i="1"/>
  <c r="U457" i="1"/>
  <c r="U187" i="1"/>
  <c r="U1237" i="1"/>
  <c r="U652" i="1"/>
  <c r="U971" i="1"/>
  <c r="U1377" i="1"/>
  <c r="U847" i="1"/>
  <c r="U1136" i="1"/>
  <c r="U1189" i="1"/>
  <c r="U349" i="1"/>
  <c r="U359" i="1"/>
  <c r="U904" i="1"/>
  <c r="U1140" i="1"/>
  <c r="U621" i="1"/>
  <c r="U648" i="1"/>
  <c r="U1231" i="1"/>
  <c r="U810" i="1"/>
  <c r="U727" i="1"/>
  <c r="U1378" i="1"/>
  <c r="U397" i="1"/>
  <c r="U928" i="1"/>
  <c r="U44" i="1"/>
  <c r="U1120" i="1"/>
  <c r="U731" i="1"/>
  <c r="U510" i="1"/>
  <c r="U68" i="1"/>
  <c r="U1151" i="1"/>
  <c r="U862" i="1"/>
  <c r="U991" i="1"/>
  <c r="U790" i="1"/>
  <c r="U393" i="1"/>
  <c r="U839" i="1"/>
  <c r="U1155" i="1"/>
  <c r="U362" i="1"/>
  <c r="U804" i="1"/>
  <c r="U1055" i="1"/>
  <c r="U418" i="1"/>
  <c r="U936" i="1"/>
  <c r="U126" i="1"/>
  <c r="U1072" i="1"/>
  <c r="U61" i="1"/>
  <c r="U112" i="1"/>
  <c r="U459" i="1"/>
  <c r="U550" i="1"/>
  <c r="U1379" i="1"/>
  <c r="U1109" i="1"/>
  <c r="U1164" i="1"/>
  <c r="U124" i="1"/>
  <c r="U468" i="1"/>
  <c r="U1380" i="1"/>
  <c r="U1381" i="1"/>
  <c r="U1382" i="1"/>
  <c r="U378" i="1"/>
  <c r="U940" i="1"/>
  <c r="U694" i="1"/>
  <c r="U1016" i="1"/>
  <c r="U607" i="1"/>
  <c r="U1176" i="1"/>
  <c r="U493" i="1"/>
  <c r="U1383" i="1"/>
  <c r="U389" i="1"/>
  <c r="U272" i="1"/>
  <c r="U1102" i="1"/>
  <c r="U931" i="1"/>
  <c r="U899" i="1"/>
  <c r="U1384" i="1"/>
  <c r="U798" i="1"/>
  <c r="U395" i="1"/>
  <c r="U1228" i="1"/>
  <c r="U381" i="1"/>
  <c r="U351" i="1"/>
  <c r="U1106" i="1"/>
  <c r="U592" i="1"/>
  <c r="U521" i="1"/>
  <c r="U643" i="1"/>
  <c r="U384" i="1"/>
  <c r="U909" i="1"/>
  <c r="U1112" i="1"/>
  <c r="U768" i="1"/>
  <c r="U1385" i="1"/>
  <c r="U873" i="1"/>
  <c r="U320" i="1"/>
  <c r="U452" i="1"/>
  <c r="U186" i="1"/>
  <c r="U720" i="1"/>
  <c r="U103" i="1"/>
  <c r="U107" i="1"/>
  <c r="U1100" i="1"/>
  <c r="U784" i="1"/>
  <c r="U581" i="1"/>
  <c r="U1246" i="1"/>
  <c r="U999" i="1"/>
  <c r="U22" i="1"/>
  <c r="U913" i="1"/>
  <c r="U1386" i="1"/>
  <c r="U1122" i="1"/>
  <c r="U1047" i="1"/>
  <c r="U461" i="1"/>
  <c r="U946" i="1"/>
  <c r="U440" i="1"/>
  <c r="U1165" i="1"/>
  <c r="U96" i="1"/>
  <c r="U1234" i="1"/>
  <c r="U646" i="1"/>
  <c r="U1178" i="1"/>
  <c r="U1197" i="1"/>
  <c r="U69" i="1"/>
  <c r="U446" i="1"/>
  <c r="U1387" i="1"/>
  <c r="U405" i="1"/>
  <c r="U678" i="1"/>
  <c r="U388" i="1"/>
  <c r="U94" i="1"/>
  <c r="U1388" i="1"/>
  <c r="U37" i="1"/>
  <c r="U699" i="1"/>
  <c r="U170" i="1"/>
  <c r="U507" i="1"/>
  <c r="U1168" i="1"/>
  <c r="U886" i="1"/>
  <c r="U805" i="1"/>
  <c r="U1389" i="1"/>
  <c r="U1110" i="1"/>
  <c r="U496" i="1"/>
  <c r="U911" i="1"/>
  <c r="U1206" i="1"/>
  <c r="U1390" i="1"/>
  <c r="U1088" i="1"/>
  <c r="U1081" i="1"/>
  <c r="U1391" i="1"/>
  <c r="U1147" i="1"/>
  <c r="U994" i="1"/>
  <c r="U184" i="1"/>
  <c r="U1392" i="1"/>
  <c r="U216" i="1"/>
  <c r="U1243" i="1"/>
  <c r="U313" i="1"/>
  <c r="U1015" i="1"/>
  <c r="U701" i="1"/>
  <c r="U1257" i="1"/>
  <c r="U1208" i="1"/>
  <c r="U953" i="1"/>
  <c r="U365" i="1"/>
  <c r="U879" i="1"/>
  <c r="U789" i="1"/>
  <c r="U152" i="1"/>
  <c r="U101" i="1"/>
  <c r="U728" i="1"/>
  <c r="U1393" i="1"/>
  <c r="U1394" i="1"/>
  <c r="U863" i="1"/>
  <c r="U43" i="1"/>
  <c r="U1395" i="1"/>
  <c r="U653" i="1"/>
  <c r="U1083" i="1"/>
  <c r="U478" i="1"/>
  <c r="U282" i="1"/>
  <c r="U490" i="1"/>
  <c r="U1124" i="1"/>
  <c r="U718" i="1"/>
  <c r="U1396" i="1"/>
  <c r="U859" i="1"/>
  <c r="U190" i="1"/>
  <c r="U1225" i="1"/>
  <c r="U935" i="1"/>
  <c r="U895" i="1"/>
  <c r="U697" i="1"/>
  <c r="U1267" i="1"/>
  <c r="U1397" i="1"/>
  <c r="U1111" i="1"/>
  <c r="U1398" i="1"/>
  <c r="U631" i="1"/>
  <c r="U666" i="1"/>
  <c r="U579" i="1"/>
  <c r="U121" i="1"/>
  <c r="U89" i="1"/>
  <c r="U322" i="1"/>
  <c r="U1035" i="1"/>
  <c r="U1399" i="1"/>
  <c r="U983" i="1"/>
  <c r="U1400" i="1"/>
  <c r="U1401" i="1"/>
  <c r="U28" i="1"/>
  <c r="U1041" i="1"/>
  <c r="U1402" i="1"/>
  <c r="U934" i="1"/>
  <c r="U663" i="1"/>
  <c r="U943" i="1"/>
  <c r="U870" i="1"/>
  <c r="U31" i="1"/>
  <c r="U1403" i="1"/>
  <c r="U1061" i="1"/>
  <c r="U403" i="1"/>
  <c r="U958" i="1"/>
  <c r="U394" i="1"/>
  <c r="U635" i="1"/>
  <c r="U828" i="1"/>
  <c r="U197" i="1"/>
  <c r="U144" i="1"/>
  <c r="U1080" i="1"/>
  <c r="U906" i="1"/>
  <c r="U14" i="1"/>
  <c r="U838" i="1"/>
  <c r="U9" i="1"/>
  <c r="U754" i="1"/>
  <c r="U972" i="1"/>
  <c r="U1404" i="1"/>
  <c r="U145" i="1"/>
  <c r="U18" i="1"/>
  <c r="U17" i="1"/>
  <c r="U1070" i="1"/>
  <c r="U283" i="1"/>
  <c r="U745" i="1"/>
  <c r="U1405" i="1"/>
  <c r="U1233" i="1"/>
  <c r="U752" i="1"/>
  <c r="U508" i="1"/>
  <c r="U783" i="1"/>
  <c r="U162" i="1"/>
  <c r="U1406" i="1"/>
  <c r="U572" i="1"/>
  <c r="U355" i="1"/>
  <c r="U1091" i="1"/>
  <c r="U470" i="1"/>
  <c r="U477" i="1"/>
  <c r="U907" i="1"/>
  <c r="U757" i="1"/>
  <c r="U1407" i="1"/>
  <c r="U402" i="1"/>
  <c r="U833" i="1"/>
  <c r="U1408" i="1"/>
  <c r="U437" i="1"/>
  <c r="U1181" i="1"/>
  <c r="U901" i="1"/>
  <c r="U363" i="1"/>
  <c r="U500" i="1"/>
  <c r="U546" i="1"/>
  <c r="U265" i="1"/>
  <c r="U894" i="1"/>
  <c r="U1409" i="1"/>
  <c r="U1239" i="1"/>
  <c r="U344" i="1"/>
  <c r="U600" i="1"/>
  <c r="U924" i="1"/>
  <c r="U11" i="1"/>
  <c r="U1410" i="1"/>
  <c r="U123" i="1"/>
  <c r="U917" i="1"/>
  <c r="U1411" i="1"/>
  <c r="U1117" i="1"/>
  <c r="U1412" i="1"/>
  <c r="U1012" i="1"/>
  <c r="U234" i="1"/>
  <c r="U92" i="1"/>
  <c r="U183" i="1"/>
  <c r="U1413" i="1"/>
  <c r="U1057" i="1"/>
  <c r="U1414" i="1"/>
  <c r="U439" i="1"/>
  <c r="U1226" i="1"/>
  <c r="U52" i="1"/>
  <c r="U209" i="1"/>
  <c r="U841" i="1"/>
  <c r="U517" i="1"/>
  <c r="U686" i="1"/>
  <c r="U1415" i="1"/>
  <c r="U1179" i="1"/>
  <c r="U1416" i="1"/>
  <c r="U271" i="1"/>
  <c r="U781" i="1"/>
  <c r="U1087" i="1"/>
  <c r="U78" i="1"/>
  <c r="U1417" i="1"/>
  <c r="U1418" i="1"/>
  <c r="U1248" i="1"/>
  <c r="U1419" i="1"/>
  <c r="U1137" i="1"/>
  <c r="U717" i="1"/>
  <c r="U241" i="1"/>
  <c r="U891" i="1"/>
  <c r="U788" i="1"/>
  <c r="U82" i="1"/>
  <c r="U644" i="1"/>
  <c r="U802" i="1"/>
  <c r="U1215" i="1"/>
  <c r="U228" i="1"/>
  <c r="U335" i="1"/>
  <c r="U456" i="1"/>
  <c r="U122" i="1"/>
  <c r="U523" i="1"/>
  <c r="U1420" i="1"/>
  <c r="U528" i="1"/>
  <c r="U589" i="1"/>
  <c r="U1186" i="1"/>
  <c r="U1086" i="1"/>
  <c r="U1195" i="1"/>
  <c r="U1173" i="1"/>
  <c r="U539" i="1"/>
  <c r="U938" i="1"/>
  <c r="U649" i="1"/>
  <c r="U25" i="1"/>
  <c r="U864" i="1"/>
  <c r="U237" i="1"/>
  <c r="U705" i="1"/>
  <c r="U893" i="1"/>
  <c r="U548" i="1"/>
  <c r="U173" i="1"/>
  <c r="U1076" i="1"/>
  <c r="U982" i="1"/>
  <c r="U1421" i="1"/>
  <c r="U13" i="1"/>
  <c r="U1422" i="1"/>
  <c r="U689" i="1"/>
  <c r="U1423" i="1"/>
  <c r="U382" i="1"/>
  <c r="U270" i="1"/>
  <c r="U910" i="1"/>
  <c r="U284" i="1"/>
  <c r="U150" i="1"/>
  <c r="U1089" i="1"/>
  <c r="U1271" i="1"/>
  <c r="U253" i="1"/>
  <c r="U251" i="1"/>
  <c r="U945" i="1"/>
  <c r="U1424" i="1"/>
  <c r="U1425" i="1"/>
  <c r="U77" i="1"/>
  <c r="U871" i="1"/>
  <c r="U774" i="1"/>
  <c r="U491" i="1"/>
  <c r="U23" i="1"/>
  <c r="U1242" i="1"/>
  <c r="U1131" i="1"/>
  <c r="U411" i="1"/>
  <c r="U846" i="1"/>
  <c r="U526" i="1"/>
  <c r="U707" i="1"/>
  <c r="U1010" i="1"/>
  <c r="U300" i="1"/>
  <c r="U98" i="1"/>
  <c r="U947" i="1"/>
  <c r="U27" i="1"/>
  <c r="U1426" i="1"/>
  <c r="U1427" i="1"/>
  <c r="U1428" i="1"/>
  <c r="U56" i="1"/>
  <c r="U815" i="1"/>
  <c r="U832" i="1"/>
  <c r="U562" i="1"/>
  <c r="U997" i="1"/>
  <c r="U406" i="1"/>
  <c r="U172" i="1"/>
  <c r="U1211" i="1"/>
  <c r="U642" i="1"/>
  <c r="U280" i="1"/>
  <c r="U198" i="1"/>
  <c r="U703" i="1"/>
  <c r="U884" i="1"/>
  <c r="U629" i="1"/>
  <c r="U1097" i="1"/>
  <c r="U1429" i="1"/>
  <c r="U64" i="1"/>
  <c r="U1430" i="1"/>
  <c r="U220" i="1"/>
  <c r="U245" i="1"/>
  <c r="U1278" i="1"/>
  <c r="U795" i="1"/>
  <c r="U257" i="1"/>
  <c r="U1085" i="1"/>
  <c r="U81" i="1"/>
  <c r="U1252" i="1"/>
  <c r="U232" i="1"/>
  <c r="U878" i="1"/>
  <c r="U1142" i="1"/>
  <c r="U770" i="1"/>
  <c r="U415" i="1"/>
  <c r="U857" i="1"/>
  <c r="U700" i="1"/>
  <c r="U1431" i="1"/>
  <c r="U1266" i="1"/>
  <c r="U499" i="1"/>
  <c r="U1126" i="1"/>
  <c r="U1236" i="1"/>
  <c r="U116" i="1"/>
  <c r="U1264" i="1"/>
  <c r="U823" i="1"/>
  <c r="U1432" i="1"/>
  <c r="U62" i="1"/>
  <c r="U875" i="1"/>
  <c r="U1277" i="1"/>
  <c r="U310" i="1"/>
  <c r="U431" i="1"/>
  <c r="U117" i="1"/>
  <c r="U35" i="1"/>
  <c r="U605" i="1"/>
  <c r="U673" i="1"/>
  <c r="U1113" i="1"/>
  <c r="U872" i="1"/>
  <c r="U1221" i="1"/>
  <c r="U658" i="1"/>
  <c r="U1433" i="1"/>
  <c r="U753" i="1"/>
  <c r="U555" i="1"/>
  <c r="U530" i="1"/>
  <c r="U1434" i="1"/>
  <c r="U377" i="1"/>
  <c r="U7" i="1"/>
  <c r="U698" i="1"/>
  <c r="U140" i="1"/>
  <c r="U497" i="1"/>
  <c r="U1074" i="1"/>
  <c r="U486" i="1"/>
  <c r="U174" i="1"/>
  <c r="U714" i="1"/>
  <c r="U434" i="1"/>
  <c r="U1153" i="1"/>
  <c r="U1435" i="1"/>
  <c r="U151" i="1"/>
  <c r="U421" i="1"/>
  <c r="U432" i="1"/>
  <c r="U1098" i="1"/>
  <c r="U1170" i="1"/>
  <c r="U1436" i="1"/>
  <c r="U604" i="1"/>
  <c r="U80" i="1"/>
  <c r="U259" i="1"/>
  <c r="U325" i="1"/>
  <c r="U1437" i="1"/>
  <c r="U1438" i="1"/>
  <c r="U475" i="1"/>
  <c r="U204" i="1"/>
  <c r="U613" i="1"/>
  <c r="U358" i="1"/>
  <c r="U34" i="1"/>
  <c r="U1108" i="1"/>
  <c r="U756" i="1"/>
  <c r="U1439" i="1"/>
  <c r="U522" i="1"/>
  <c r="U474" i="1"/>
  <c r="U782" i="1"/>
  <c r="U166" i="1"/>
  <c r="U855" i="1"/>
  <c r="U1440" i="1"/>
  <c r="U746" i="1"/>
  <c r="U134" i="1"/>
  <c r="U1253" i="1"/>
  <c r="U664" i="1"/>
  <c r="U737" i="1"/>
  <c r="U433" i="1"/>
  <c r="U543" i="1"/>
  <c r="U1441" i="1"/>
  <c r="U512" i="1"/>
  <c r="U2" i="1"/>
  <c r="U831" i="1"/>
  <c r="U603" i="1"/>
  <c r="U551" i="1"/>
  <c r="U773" i="1"/>
  <c r="U785" i="1"/>
  <c r="U949" i="1"/>
  <c r="U340" i="1"/>
  <c r="U1191" i="1"/>
  <c r="U959" i="1"/>
  <c r="U266" i="1"/>
  <c r="U428" i="1"/>
  <c r="U816" i="1"/>
  <c r="U685" i="1"/>
  <c r="U1025" i="1"/>
  <c r="U127" i="1"/>
  <c r="U1442" i="1"/>
  <c r="U749" i="1"/>
  <c r="U1065" i="1"/>
  <c r="U767" i="1"/>
  <c r="U587" i="1"/>
  <c r="U671" i="1"/>
  <c r="U285" i="1"/>
  <c r="U1210" i="1"/>
  <c r="U1443" i="1"/>
  <c r="U568" i="1"/>
  <c r="U606" i="1"/>
  <c r="U1099" i="1"/>
  <c r="U874" i="1"/>
  <c r="U1444" i="1"/>
  <c r="U489" i="1"/>
  <c r="U1009" i="1"/>
  <c r="U1445" i="1"/>
  <c r="U417" i="1"/>
  <c r="U1446" i="1"/>
  <c r="U575" i="1"/>
  <c r="U450" i="1"/>
  <c r="U293" i="1"/>
  <c r="U196" i="1"/>
  <c r="U1447" i="1"/>
  <c r="U1448" i="1"/>
  <c r="U681" i="1"/>
  <c r="U965" i="1"/>
  <c r="U1037" i="1"/>
  <c r="U676" i="1"/>
  <c r="U677" i="1"/>
  <c r="U963" i="1"/>
  <c r="U668" i="1"/>
  <c r="U1449" i="1"/>
  <c r="U1049" i="1"/>
  <c r="U970" i="1"/>
  <c r="U1450" i="1"/>
  <c r="U129" i="1"/>
  <c r="U295" i="1"/>
  <c r="U525" i="1"/>
  <c r="U1451" i="1"/>
  <c r="U618" i="1"/>
  <c r="U24" i="1"/>
  <c r="U1452" i="1"/>
  <c r="U1453" i="1"/>
  <c r="U793" i="1"/>
  <c r="U1056" i="1"/>
  <c r="U1040" i="1"/>
  <c r="U914" i="1"/>
  <c r="U740" i="1"/>
  <c r="U139" i="1"/>
  <c r="U929" i="1"/>
  <c r="U939" i="1"/>
  <c r="U238" i="1"/>
  <c r="U125" i="1"/>
  <c r="U638" i="1"/>
  <c r="U451" i="1"/>
  <c r="U1454" i="1"/>
  <c r="U308" i="1"/>
  <c r="U1273" i="1"/>
  <c r="U1455" i="1"/>
  <c r="U801" i="1"/>
  <c r="U276" i="1"/>
  <c r="U1456" i="1"/>
  <c r="U46" i="1"/>
  <c r="U1216" i="1"/>
  <c r="U545" i="1"/>
  <c r="U246" i="1"/>
  <c r="U557" i="1"/>
  <c r="U1138" i="1"/>
  <c r="U149" i="1"/>
  <c r="U193" i="1"/>
  <c r="U1457" i="1"/>
  <c r="U529" i="1"/>
  <c r="U1096" i="1"/>
  <c r="U401" i="1"/>
  <c r="U574" i="1"/>
  <c r="U1190" i="1"/>
  <c r="U445" i="1"/>
  <c r="U298" i="1"/>
  <c r="U800" i="1"/>
  <c r="U639" i="1"/>
  <c r="U47" i="1"/>
  <c r="U1458" i="1"/>
  <c r="U1270" i="1"/>
  <c r="U1005" i="1"/>
  <c r="U1459" i="1"/>
  <c r="U385" i="1"/>
  <c r="U1038" i="1"/>
  <c r="U1090" i="1"/>
  <c r="U1460" i="1"/>
  <c r="U690" i="1"/>
  <c r="U570" i="1"/>
  <c r="U1272" i="1"/>
  <c r="U560" i="1"/>
  <c r="U656" i="1"/>
  <c r="U1198" i="1"/>
  <c r="U763" i="1"/>
  <c r="U120" i="1"/>
  <c r="U1200" i="1"/>
  <c r="U137" i="1"/>
  <c r="U1461" i="1"/>
  <c r="U609" i="1"/>
  <c r="U1269" i="1"/>
  <c r="U885" i="1"/>
  <c r="U1462" i="1"/>
  <c r="U410" i="1"/>
  <c r="U984" i="1"/>
  <c r="U1060" i="1"/>
  <c r="U317" i="1"/>
  <c r="U896" i="1"/>
  <c r="U1260" i="1"/>
  <c r="U1166" i="1"/>
  <c r="U1006" i="1"/>
  <c r="U556" i="1"/>
  <c r="U1265" i="1"/>
  <c r="U1059" i="1"/>
  <c r="U951" i="1"/>
  <c r="U814" i="1"/>
  <c r="U960" i="1"/>
  <c r="U454" i="1"/>
  <c r="U244" i="1"/>
  <c r="U100" i="1"/>
  <c r="U176" i="1"/>
  <c r="U1235" i="1"/>
  <c r="U748" i="1"/>
  <c r="U1130" i="1"/>
  <c r="U1132" i="1"/>
  <c r="U217" i="1"/>
  <c r="U1463" i="1"/>
  <c r="U623" i="1"/>
  <c r="U1031" i="1"/>
  <c r="U657" i="1"/>
  <c r="U1464" i="1"/>
  <c r="U213" i="1"/>
  <c r="U492" i="1"/>
  <c r="U565" i="1"/>
  <c r="U780" i="1"/>
  <c r="U883" i="1"/>
  <c r="U865" i="1"/>
  <c r="U1465" i="1"/>
  <c r="U836" i="1"/>
  <c r="U1466" i="1"/>
  <c r="U337" i="1"/>
  <c r="U1467" i="1"/>
  <c r="U573" i="1"/>
  <c r="U544" i="1"/>
  <c r="U1123" i="1"/>
  <c r="U367" i="1"/>
  <c r="U326" i="1"/>
  <c r="U941" i="1"/>
  <c r="U1468" i="1"/>
  <c r="U1256" i="1"/>
  <c r="U425" i="1"/>
  <c r="U628" i="1"/>
  <c r="U132" i="1"/>
  <c r="U1043" i="1"/>
  <c r="U202" i="1"/>
  <c r="U818" i="1"/>
  <c r="U58" i="1"/>
  <c r="U303" i="1"/>
  <c r="U687" i="1"/>
  <c r="U157" i="1"/>
  <c r="U712" i="1"/>
  <c r="U455" i="1"/>
  <c r="U147" i="1"/>
  <c r="U588" i="1"/>
  <c r="U63" i="1"/>
  <c r="U469" i="1"/>
  <c r="U921" i="1"/>
  <c r="U85" i="1"/>
  <c r="U1268" i="1"/>
  <c r="U1019" i="1"/>
  <c r="U1107" i="1"/>
  <c r="U1229" i="1"/>
  <c r="U115" i="1"/>
  <c r="U247" i="1"/>
  <c r="U665" i="1"/>
  <c r="U764" i="1"/>
  <c r="U1118" i="1"/>
  <c r="U1021" i="1"/>
  <c r="U1202" i="1"/>
  <c r="U898" i="1"/>
  <c r="U1469" i="1"/>
  <c r="U210" i="1"/>
  <c r="U868" i="1"/>
  <c r="U1470" i="1"/>
  <c r="U114" i="1"/>
  <c r="U189" i="1"/>
  <c r="U915" i="1"/>
  <c r="U750" i="1"/>
  <c r="U154" i="1"/>
  <c r="U710" i="1"/>
  <c r="U1471" i="1"/>
  <c r="U76" i="1"/>
  <c r="U1472" i="1"/>
  <c r="U243" i="1"/>
  <c r="U1002" i="1"/>
  <c r="U316" i="1"/>
  <c r="U360" i="1"/>
  <c r="U1143" i="1"/>
  <c r="U1473" i="1"/>
  <c r="U792" i="1"/>
  <c r="U1474" i="1"/>
  <c r="U680" i="1"/>
  <c r="U660" i="1"/>
  <c r="U927" i="1"/>
  <c r="U1082" i="1"/>
  <c r="U866" i="1"/>
  <c r="U1475" i="1"/>
  <c r="U1476" i="1"/>
  <c r="U97" i="1"/>
  <c r="U1114" i="1"/>
  <c r="U858" i="1"/>
  <c r="U674" i="1"/>
  <c r="U995" i="1"/>
  <c r="U1141" i="1"/>
  <c r="U1042" i="1"/>
  <c r="U912" i="1"/>
  <c r="U1477" i="1"/>
  <c r="U659" i="1"/>
  <c r="U1478" i="1"/>
  <c r="U286" i="1"/>
  <c r="U60" i="1"/>
  <c r="U966" i="1"/>
  <c r="U200" i="1"/>
  <c r="U214" i="1"/>
  <c r="U974" i="1"/>
  <c r="U476" i="1"/>
  <c r="U1199" i="1"/>
  <c r="U747" i="1"/>
  <c r="U989" i="1"/>
  <c r="U632" i="1"/>
  <c r="U224" i="1"/>
  <c r="U902" i="1"/>
  <c r="U1479" i="1"/>
  <c r="U585" i="1"/>
  <c r="U922" i="1"/>
  <c r="U346" i="1"/>
  <c r="U239" i="1"/>
  <c r="U937" i="1"/>
  <c r="U541" i="1"/>
  <c r="U923" i="1"/>
  <c r="U582" i="1"/>
  <c r="U622" i="1"/>
  <c r="U706" i="1"/>
  <c r="U890" i="1"/>
  <c r="U766" i="1"/>
  <c r="U1480" i="1"/>
  <c r="U423" i="1"/>
  <c r="U36" i="1"/>
  <c r="U633" i="1"/>
  <c r="U1481" i="1"/>
  <c r="U534" i="1"/>
  <c r="U1482" i="1"/>
  <c r="U93" i="1"/>
  <c r="U188" i="1"/>
  <c r="U118" i="1"/>
  <c r="U1182" i="1"/>
  <c r="U733" i="1"/>
  <c r="U758" i="1"/>
  <c r="U49" i="1"/>
  <c r="U1004" i="1"/>
  <c r="U1054" i="1"/>
  <c r="U1232" i="1"/>
  <c r="U1483" i="1"/>
  <c r="U1484" i="1"/>
  <c r="U515" i="1"/>
  <c r="U248" i="1"/>
  <c r="U279" i="1"/>
  <c r="U903" i="1"/>
  <c r="U1128" i="1"/>
  <c r="U130" i="1"/>
  <c r="U347" i="1"/>
  <c r="U708" i="1"/>
  <c r="U586" i="1"/>
  <c r="U1205" i="1"/>
  <c r="U1192" i="1"/>
  <c r="U348" i="1"/>
  <c r="U159" i="1"/>
  <c r="U343" i="1"/>
  <c r="U616" i="1"/>
  <c r="U1204" i="1"/>
  <c r="U1119" i="1"/>
  <c r="U368" i="1"/>
  <c r="U1150" i="1"/>
  <c r="U314" i="1"/>
  <c r="U1485" i="1"/>
  <c r="U464" i="1"/>
  <c r="U424" i="1"/>
  <c r="U167" i="1"/>
  <c r="U10" i="1"/>
  <c r="U1048" i="1"/>
  <c r="U41" i="1"/>
  <c r="U1084" i="1"/>
  <c r="U564" i="1"/>
  <c r="U392" i="1"/>
  <c r="U203" i="1"/>
  <c r="U40" i="1"/>
  <c r="U625" i="1"/>
  <c r="U192" i="1"/>
  <c r="U109" i="1"/>
  <c r="U1146" i="1"/>
  <c r="U1079" i="1"/>
  <c r="U1486" i="1"/>
  <c r="U141" i="1"/>
  <c r="U916" i="1"/>
  <c r="U254" i="1"/>
  <c r="U704" i="1"/>
  <c r="U379" i="1"/>
  <c r="U1487" i="1"/>
  <c r="U925" i="1"/>
  <c r="U1209" i="1"/>
  <c r="U48" i="1"/>
  <c r="U617" i="1"/>
  <c r="U1011" i="1"/>
  <c r="U339" i="1"/>
  <c r="U919" i="1"/>
  <c r="U338" i="1"/>
  <c r="U399" i="1"/>
  <c r="U567" i="1"/>
  <c r="U1488" i="1"/>
  <c r="U880" i="1"/>
  <c r="U977" i="1"/>
  <c r="U988" i="1"/>
  <c r="U684" i="1"/>
  <c r="U84" i="1"/>
  <c r="U105" i="1"/>
  <c r="U236" i="1"/>
  <c r="U987" i="1"/>
  <c r="U1175" i="1"/>
  <c r="U95" i="1"/>
  <c r="U961" i="1"/>
  <c r="U849" i="1"/>
  <c r="U630" i="1"/>
  <c r="U651" i="1"/>
  <c r="U318" i="1"/>
  <c r="U231" i="1"/>
  <c r="U287" i="1"/>
  <c r="U1174" i="1"/>
  <c r="U364" i="1"/>
  <c r="U463" i="1"/>
  <c r="U591" i="1"/>
  <c r="U1489" i="1"/>
  <c r="U352" i="1"/>
  <c r="U128" i="1"/>
  <c r="U799" i="1"/>
  <c r="U483" i="1"/>
  <c r="U1490" i="1"/>
  <c r="U273" i="1"/>
  <c r="U547" i="1"/>
  <c r="U881" i="1"/>
  <c r="U229" i="1"/>
  <c r="U88" i="1"/>
  <c r="U1220" i="1"/>
  <c r="U721" i="1"/>
  <c r="U558" i="1"/>
  <c r="U449" i="1"/>
  <c r="U736" i="1"/>
  <c r="U835" i="1"/>
  <c r="U848" i="1"/>
  <c r="U826" i="1"/>
  <c r="U1491" i="1"/>
  <c r="U1492" i="1"/>
  <c r="U719" i="1"/>
  <c r="U396" i="1"/>
  <c r="U223" i="1"/>
  <c r="U825" i="1"/>
  <c r="U1240" i="1"/>
  <c r="U524" i="1"/>
  <c r="U1139" i="1"/>
  <c r="U74" i="1"/>
  <c r="U206" i="1"/>
  <c r="U33" i="1"/>
  <c r="U1493" i="1"/>
  <c r="U1180" i="1"/>
  <c r="U1156" i="1"/>
  <c r="U692" i="1"/>
  <c r="U1259" i="1"/>
  <c r="U407" i="1"/>
  <c r="U1494" i="1"/>
  <c r="U1495" i="1"/>
  <c r="U527" i="1"/>
  <c r="U289" i="1"/>
  <c r="U679" i="1"/>
  <c r="U1144" i="1"/>
  <c r="U1496" i="1"/>
  <c r="U533" i="1"/>
  <c r="U1159" i="1"/>
  <c r="U1066" i="1"/>
  <c r="U119" i="1"/>
  <c r="U505" i="1"/>
  <c r="U473" i="1"/>
  <c r="U852" i="1"/>
  <c r="U1497" i="1"/>
  <c r="U1094" i="1"/>
  <c r="U207" i="1"/>
  <c r="U453" i="1"/>
  <c r="U577" i="1"/>
  <c r="U742" i="1"/>
  <c r="U791" i="1"/>
  <c r="U290" i="1"/>
  <c r="U843" i="1"/>
  <c r="U933" i="1"/>
  <c r="U809" i="1"/>
  <c r="U441" i="1"/>
  <c r="U1169" i="1"/>
  <c r="U350" i="1"/>
  <c r="U869" i="1"/>
  <c r="U1498" i="1"/>
  <c r="U169" i="1"/>
  <c r="U375" i="1"/>
  <c r="U615" i="1"/>
  <c r="U26" i="1"/>
  <c r="U324" i="1"/>
  <c r="U435" i="1"/>
  <c r="U307" i="1"/>
  <c r="U776" i="1"/>
  <c r="U1499" i="1"/>
  <c r="U640" i="1"/>
  <c r="U1241" i="1"/>
  <c r="U376" i="1"/>
  <c r="U1500" i="1"/>
  <c r="U1501" i="1"/>
  <c r="U296" i="1"/>
  <c r="R480" i="1"/>
  <c r="R275" i="1"/>
  <c r="R268" i="1"/>
  <c r="R1279" i="1"/>
  <c r="R954" i="1"/>
  <c r="R5" i="1"/>
  <c r="R1258" i="1"/>
  <c r="R1073" i="1"/>
  <c r="R278" i="1"/>
  <c r="R1280" i="1"/>
  <c r="R484" i="1"/>
  <c r="R599" i="1"/>
  <c r="R1062" i="1"/>
  <c r="R72" i="1"/>
  <c r="R1281" i="1"/>
  <c r="R614" i="1"/>
  <c r="R964" i="1"/>
  <c r="R230" i="1"/>
  <c r="R1134" i="1"/>
  <c r="R494" i="1"/>
  <c r="R729" i="1"/>
  <c r="R762" i="1"/>
  <c r="R386" i="1"/>
  <c r="R8" i="1"/>
  <c r="R1029" i="1"/>
  <c r="R221" i="1"/>
  <c r="R315" i="1"/>
  <c r="R955" i="1"/>
  <c r="R131" i="1"/>
  <c r="R1172" i="1"/>
  <c r="R1148" i="1"/>
  <c r="R354" i="1"/>
  <c r="R1224" i="1"/>
  <c r="R593" i="1"/>
  <c r="R168" i="1"/>
  <c r="R807" i="1"/>
  <c r="R993" i="1"/>
  <c r="R1104" i="1"/>
  <c r="R761" i="1"/>
  <c r="R1282" i="1"/>
  <c r="R755" i="1"/>
  <c r="R177" i="1"/>
  <c r="R962" i="1"/>
  <c r="R1283" i="1"/>
  <c r="R488" i="1"/>
  <c r="R1177" i="1"/>
  <c r="R242" i="1"/>
  <c r="R926" i="1"/>
  <c r="R429" i="1"/>
  <c r="R688" i="1"/>
  <c r="R1284" i="1"/>
  <c r="R1285" i="1"/>
  <c r="R156" i="1"/>
  <c r="R1188" i="1"/>
  <c r="R321" i="1"/>
  <c r="R201" i="1"/>
  <c r="R726" i="1"/>
  <c r="R1249" i="1"/>
  <c r="R1286" i="1"/>
  <c r="R4" i="1"/>
  <c r="R312" i="1"/>
  <c r="R797" i="1"/>
  <c r="R263" i="1"/>
  <c r="R535" i="1"/>
  <c r="R751" i="1"/>
  <c r="R1287" i="1"/>
  <c r="R715" i="1"/>
  <c r="R979" i="1"/>
  <c r="R1160" i="1"/>
  <c r="R956" i="1"/>
  <c r="R387" i="1"/>
  <c r="R552" i="1"/>
  <c r="R267" i="1"/>
  <c r="R1288" i="1"/>
  <c r="R211" i="1"/>
  <c r="R944" i="1"/>
  <c r="R227" i="1"/>
  <c r="R219" i="1"/>
  <c r="R611" i="1"/>
  <c r="R6" i="1"/>
  <c r="R1213" i="1"/>
  <c r="R55" i="1"/>
  <c r="R1289" i="1"/>
  <c r="R854" i="1"/>
  <c r="R1290" i="1"/>
  <c r="R794" i="1"/>
  <c r="R135" i="1"/>
  <c r="R235" i="1"/>
  <c r="R887" i="1"/>
  <c r="R171" i="1"/>
  <c r="R786" i="1"/>
  <c r="R1291" i="1"/>
  <c r="R583" i="1"/>
  <c r="R777" i="1"/>
  <c r="R225" i="1"/>
  <c r="R1022" i="1"/>
  <c r="R19" i="1"/>
  <c r="R327" i="1"/>
  <c r="R1008" i="1"/>
  <c r="R111" i="1"/>
  <c r="R691" i="1"/>
  <c r="R1223" i="1"/>
  <c r="R969" i="1"/>
  <c r="R1292" i="1"/>
  <c r="R1293" i="1"/>
  <c r="R1275" i="1"/>
  <c r="R178" i="1"/>
  <c r="R1063" i="1"/>
  <c r="R1294" i="1"/>
  <c r="R636" i="1"/>
  <c r="R357" i="1"/>
  <c r="R672" i="1"/>
  <c r="R380" i="1"/>
  <c r="R1026" i="1"/>
  <c r="R342" i="1"/>
  <c r="R1227" i="1"/>
  <c r="R39" i="1"/>
  <c r="R20" i="1"/>
  <c r="R391" i="1"/>
  <c r="R645" i="1"/>
  <c r="R819" i="1"/>
  <c r="R1295" i="1"/>
  <c r="R845" i="1"/>
  <c r="R509" i="1"/>
  <c r="R1135" i="1"/>
  <c r="R669" i="1"/>
  <c r="R288" i="1"/>
  <c r="R1162" i="1"/>
  <c r="R148" i="1"/>
  <c r="R1296" i="1"/>
  <c r="R369" i="1"/>
  <c r="R952" i="1"/>
  <c r="R1152" i="1"/>
  <c r="R291" i="1"/>
  <c r="R261" i="1"/>
  <c r="R1297" i="1"/>
  <c r="R1129" i="1"/>
  <c r="R299" i="1"/>
  <c r="R702" i="1"/>
  <c r="R471" i="1"/>
  <c r="R682" i="1"/>
  <c r="R624" i="1"/>
  <c r="R294" i="1"/>
  <c r="R1154" i="1"/>
  <c r="R725" i="1"/>
  <c r="R1163" i="1"/>
  <c r="R1298" i="1"/>
  <c r="R71" i="1"/>
  <c r="R1299" i="1"/>
  <c r="R1185" i="1"/>
  <c r="R1000" i="1"/>
  <c r="R503" i="1"/>
  <c r="R331" i="1"/>
  <c r="R1300" i="1"/>
  <c r="R867" i="1"/>
  <c r="R1301" i="1"/>
  <c r="R73" i="1"/>
  <c r="R185" i="1"/>
  <c r="R1115" i="1"/>
  <c r="R444" i="1"/>
  <c r="R99" i="1"/>
  <c r="R83" i="1"/>
  <c r="R695" i="1"/>
  <c r="R1023" i="1"/>
  <c r="R30" i="1"/>
  <c r="R311" i="1"/>
  <c r="R837" i="1"/>
  <c r="R1044" i="1"/>
  <c r="R723" i="1"/>
  <c r="R1028" i="1"/>
  <c r="R741" i="1"/>
  <c r="R549" i="1"/>
  <c r="R957" i="1"/>
  <c r="R778" i="1"/>
  <c r="R1302" i="1"/>
  <c r="R967" i="1"/>
  <c r="R601" i="1"/>
  <c r="R829" i="1"/>
  <c r="R553" i="1"/>
  <c r="R371" i="1"/>
  <c r="R160" i="1"/>
  <c r="R158" i="1"/>
  <c r="R996" i="1"/>
  <c r="R1121" i="1"/>
  <c r="R1203" i="1"/>
  <c r="R164" i="1"/>
  <c r="R1116" i="1"/>
  <c r="R803" i="1"/>
  <c r="R1033" i="1"/>
  <c r="R520" i="1"/>
  <c r="R218" i="1"/>
  <c r="R1303" i="1"/>
  <c r="R292" i="1"/>
  <c r="R897" i="1"/>
  <c r="R319" i="1"/>
  <c r="R1304" i="1"/>
  <c r="R1305" i="1"/>
  <c r="R226" i="1"/>
  <c r="R3" i="1"/>
  <c r="R1077" i="1"/>
  <c r="R610" i="1"/>
  <c r="R419" i="1"/>
  <c r="R1013" i="1"/>
  <c r="R138" i="1"/>
  <c r="R430" i="1"/>
  <c r="R306" i="1"/>
  <c r="R502" i="1"/>
  <c r="R370" i="1"/>
  <c r="R442" i="1"/>
  <c r="R1187" i="1"/>
  <c r="R1306" i="1"/>
  <c r="R195" i="1"/>
  <c r="R87" i="1"/>
  <c r="R412" i="1"/>
  <c r="R730" i="1"/>
  <c r="R905" i="1"/>
  <c r="R1307" i="1"/>
  <c r="R538" i="1"/>
  <c r="R155" i="1"/>
  <c r="R1308" i="1"/>
  <c r="R1214" i="1"/>
  <c r="R620" i="1"/>
  <c r="R53" i="1"/>
  <c r="R191" i="1"/>
  <c r="R808" i="1"/>
  <c r="R1309" i="1"/>
  <c r="R1310" i="1"/>
  <c r="R561" i="1"/>
  <c r="R29" i="1"/>
  <c r="R465" i="1"/>
  <c r="R1311" i="1"/>
  <c r="R110" i="1"/>
  <c r="R212" i="1"/>
  <c r="R920" i="1"/>
  <c r="R981" i="1"/>
  <c r="R675" i="1"/>
  <c r="R301" i="1"/>
  <c r="R1050" i="1"/>
  <c r="R1193" i="1"/>
  <c r="R990" i="1"/>
  <c r="R950" i="1"/>
  <c r="R341" i="1"/>
  <c r="R817" i="1"/>
  <c r="R576" i="1"/>
  <c r="R1312" i="1"/>
  <c r="R297" i="1"/>
  <c r="R683" i="1"/>
  <c r="R133" i="1"/>
  <c r="R1071" i="1"/>
  <c r="R1313" i="1"/>
  <c r="R240" i="1"/>
  <c r="R968" i="1"/>
  <c r="R252" i="1"/>
  <c r="R1069" i="1"/>
  <c r="R584" i="1"/>
  <c r="R1238" i="1"/>
  <c r="R1167" i="1"/>
  <c r="R208" i="1"/>
  <c r="R66" i="1"/>
  <c r="R537" i="1"/>
  <c r="R787" i="1"/>
  <c r="R578" i="1"/>
  <c r="R612" i="1"/>
  <c r="R519" i="1"/>
  <c r="R373" i="1"/>
  <c r="R709" i="1"/>
  <c r="R1030" i="1"/>
  <c r="R1103" i="1"/>
  <c r="R1158" i="1"/>
  <c r="R398" i="1"/>
  <c r="R667" i="1"/>
  <c r="R1314" i="1"/>
  <c r="R822" i="1"/>
  <c r="R1315" i="1"/>
  <c r="R1316" i="1"/>
  <c r="R1317" i="1"/>
  <c r="R722" i="1"/>
  <c r="R1318" i="1"/>
  <c r="R1245" i="1"/>
  <c r="R264" i="1"/>
  <c r="R1319" i="1"/>
  <c r="R735" i="1"/>
  <c r="R408" i="1"/>
  <c r="R821" i="1"/>
  <c r="R485" i="1"/>
  <c r="R1032" i="1"/>
  <c r="R827" i="1"/>
  <c r="R113" i="1"/>
  <c r="R975" i="1"/>
  <c r="R744" i="1"/>
  <c r="R918" i="1"/>
  <c r="R1320" i="1"/>
  <c r="R332" i="1"/>
  <c r="R1157" i="1"/>
  <c r="R1250" i="1"/>
  <c r="R738" i="1"/>
  <c r="R1201" i="1"/>
  <c r="R262" i="1"/>
  <c r="R734" i="1"/>
  <c r="R163" i="1"/>
  <c r="R1321" i="1"/>
  <c r="R1322" i="1"/>
  <c r="R830" i="1"/>
  <c r="R182" i="1"/>
  <c r="R1058" i="1"/>
  <c r="R1244" i="1"/>
  <c r="R516" i="1"/>
  <c r="R775" i="1"/>
  <c r="R199" i="1"/>
  <c r="R1323" i="1"/>
  <c r="R811" i="1"/>
  <c r="R50" i="1"/>
  <c r="R1324" i="1"/>
  <c r="R985" i="1"/>
  <c r="R595" i="1"/>
  <c r="R277" i="1"/>
  <c r="R222" i="1"/>
  <c r="R1014" i="1"/>
  <c r="R1219" i="1"/>
  <c r="R65" i="1"/>
  <c r="R420" i="1"/>
  <c r="R1325" i="1"/>
  <c r="R1003" i="1"/>
  <c r="R1326" i="1"/>
  <c r="R90" i="1"/>
  <c r="R976" i="1"/>
  <c r="R834" i="1"/>
  <c r="R1327" i="1"/>
  <c r="R249" i="1"/>
  <c r="R1092" i="1"/>
  <c r="R1328" i="1"/>
  <c r="R1274" i="1"/>
  <c r="R404" i="1"/>
  <c r="R892" i="1"/>
  <c r="R1329" i="1"/>
  <c r="R1184" i="1"/>
  <c r="R1330" i="1"/>
  <c r="R414" i="1"/>
  <c r="R302" i="1"/>
  <c r="R1212" i="1"/>
  <c r="R661" i="1"/>
  <c r="R796" i="1"/>
  <c r="R458" i="1"/>
  <c r="R1331" i="1"/>
  <c r="R16" i="1"/>
  <c r="R856" i="1"/>
  <c r="R438" i="1"/>
  <c r="R498" i="1"/>
  <c r="R554" i="1"/>
  <c r="R851" i="1"/>
  <c r="R1332" i="1"/>
  <c r="R1333" i="1"/>
  <c r="R1064" i="1"/>
  <c r="R1039" i="1"/>
  <c r="R824" i="1"/>
  <c r="R1254" i="1"/>
  <c r="R1007" i="1"/>
  <c r="R713" i="1"/>
  <c r="R540" i="1"/>
  <c r="R1334" i="1"/>
  <c r="R844" i="1"/>
  <c r="R759" i="1"/>
  <c r="R495" i="1"/>
  <c r="R54" i="1"/>
  <c r="R467" i="1"/>
  <c r="R559" i="1"/>
  <c r="R274" i="1"/>
  <c r="R1335" i="1"/>
  <c r="R260" i="1"/>
  <c r="R596" i="1"/>
  <c r="R143" i="1"/>
  <c r="R513" i="1"/>
  <c r="R413" i="1"/>
  <c r="R479" i="1"/>
  <c r="R1127" i="1"/>
  <c r="R329" i="1"/>
  <c r="R932" i="1"/>
  <c r="R1336" i="1"/>
  <c r="R1337" i="1"/>
  <c r="R383" i="1"/>
  <c r="R146" i="1"/>
  <c r="R1194" i="1"/>
  <c r="R38" i="1"/>
  <c r="R608" i="1"/>
  <c r="R1027" i="1"/>
  <c r="R1338" i="1"/>
  <c r="R481" i="1"/>
  <c r="R1093" i="1"/>
  <c r="R79" i="1"/>
  <c r="R765" i="1"/>
  <c r="R106" i="1"/>
  <c r="R980" i="1"/>
  <c r="R1339" i="1"/>
  <c r="R1230" i="1"/>
  <c r="R333" i="1"/>
  <c r="R978" i="1"/>
  <c r="R1133" i="1"/>
  <c r="R42" i="1"/>
  <c r="R1340" i="1"/>
  <c r="R853" i="1"/>
  <c r="R637" i="1"/>
  <c r="R861" i="1"/>
  <c r="R215" i="1"/>
  <c r="R372" i="1"/>
  <c r="R356" i="1"/>
  <c r="R1341" i="1"/>
  <c r="R566" i="1"/>
  <c r="R1183" i="1"/>
  <c r="R930" i="1"/>
  <c r="R850" i="1"/>
  <c r="R877" i="1"/>
  <c r="R443" i="1"/>
  <c r="R427" i="1"/>
  <c r="R75" i="1"/>
  <c r="R888" i="1"/>
  <c r="R1051" i="1"/>
  <c r="R1255" i="1"/>
  <c r="R590" i="1"/>
  <c r="R345" i="1"/>
  <c r="R1045" i="1"/>
  <c r="R32" i="1"/>
  <c r="R108" i="1"/>
  <c r="R390" i="1"/>
  <c r="R973" i="1"/>
  <c r="R732" i="1"/>
  <c r="R1207" i="1"/>
  <c r="R323" i="1"/>
  <c r="R1068" i="1"/>
  <c r="R1263" i="1"/>
  <c r="R542" i="1"/>
  <c r="R45" i="1"/>
  <c r="R948" i="1"/>
  <c r="R1024" i="1"/>
  <c r="R992" i="1"/>
  <c r="R1261" i="1"/>
  <c r="R942" i="1"/>
  <c r="R514" i="1"/>
  <c r="R813" i="1"/>
  <c r="R1018" i="1"/>
  <c r="R506" i="1"/>
  <c r="R647" i="1"/>
  <c r="R536" i="1"/>
  <c r="R436" i="1"/>
  <c r="R1342" i="1"/>
  <c r="R57" i="1"/>
  <c r="R1020" i="1"/>
  <c r="R1343" i="1"/>
  <c r="R563" i="1"/>
  <c r="R882" i="1"/>
  <c r="R330" i="1"/>
  <c r="R998" i="1"/>
  <c r="R181" i="1"/>
  <c r="R472" i="1"/>
  <c r="R462" i="1"/>
  <c r="R334" i="1"/>
  <c r="R569" i="1"/>
  <c r="R1344" i="1"/>
  <c r="R771" i="1"/>
  <c r="R1145" i="1"/>
  <c r="R724" i="1"/>
  <c r="R1345" i="1"/>
  <c r="R900" i="1"/>
  <c r="R91" i="1"/>
  <c r="R1034" i="1"/>
  <c r="R571" i="1"/>
  <c r="R654" i="1"/>
  <c r="R1218" i="1"/>
  <c r="R908" i="1"/>
  <c r="R1017" i="1"/>
  <c r="R175" i="1"/>
  <c r="R336" i="1"/>
  <c r="R716" i="1"/>
  <c r="R1075" i="1"/>
  <c r="R1217" i="1"/>
  <c r="R860" i="1"/>
  <c r="R1078" i="1"/>
  <c r="R532" i="1"/>
  <c r="R504" i="1"/>
  <c r="R626" i="1"/>
  <c r="R1052" i="1"/>
  <c r="R812" i="1"/>
  <c r="R1346" i="1"/>
  <c r="R1347" i="1"/>
  <c r="R1348" i="1"/>
  <c r="R258" i="1"/>
  <c r="R1349" i="1"/>
  <c r="R1053" i="1"/>
  <c r="R1095" i="1"/>
  <c r="R598" i="1"/>
  <c r="R772" i="1"/>
  <c r="R180" i="1"/>
  <c r="R179" i="1"/>
  <c r="R743" i="1"/>
  <c r="R1247" i="1"/>
  <c r="R256" i="1"/>
  <c r="R619" i="1"/>
  <c r="R1046" i="1"/>
  <c r="R511" i="1"/>
  <c r="R1350" i="1"/>
  <c r="R255" i="1"/>
  <c r="R487" i="1"/>
  <c r="R655" i="1"/>
  <c r="R400" i="1"/>
  <c r="R361" i="1"/>
  <c r="R1351" i="1"/>
  <c r="R842" i="1"/>
  <c r="R696" i="1"/>
  <c r="R1352" i="1"/>
  <c r="R1353" i="1"/>
  <c r="R739" i="1"/>
  <c r="R876" i="1"/>
  <c r="R205" i="1"/>
  <c r="R641" i="1"/>
  <c r="R1354" i="1"/>
  <c r="R1105" i="1"/>
  <c r="R374" i="1"/>
  <c r="R269" i="1"/>
  <c r="R70" i="1"/>
  <c r="R711" i="1"/>
  <c r="R1001" i="1"/>
  <c r="R466" i="1"/>
  <c r="R650" i="1"/>
  <c r="R482" i="1"/>
  <c r="R840" i="1"/>
  <c r="R426" i="1"/>
  <c r="R422" i="1"/>
  <c r="R305" i="1"/>
  <c r="R136" i="1"/>
  <c r="R1355" i="1"/>
  <c r="R662" i="1"/>
  <c r="R1356" i="1"/>
  <c r="R1357" i="1"/>
  <c r="R460" i="1"/>
  <c r="R59" i="1"/>
  <c r="R1196" i="1"/>
  <c r="R1358" i="1"/>
  <c r="R779" i="1"/>
  <c r="R531" i="1"/>
  <c r="R250" i="1"/>
  <c r="R1222" i="1"/>
  <c r="R353" i="1"/>
  <c r="R1359" i="1"/>
  <c r="R1360" i="1"/>
  <c r="R51" i="1"/>
  <c r="R86" i="1"/>
  <c r="R1251" i="1"/>
  <c r="R194" i="1"/>
  <c r="R1361" i="1"/>
  <c r="R1362" i="1"/>
  <c r="R153" i="1"/>
  <c r="R693" i="1"/>
  <c r="R1363" i="1"/>
  <c r="R602" i="1"/>
  <c r="R769" i="1"/>
  <c r="R165" i="1"/>
  <c r="R447" i="1"/>
  <c r="R142" i="1"/>
  <c r="R1364" i="1"/>
  <c r="R806" i="1"/>
  <c r="R594" i="1"/>
  <c r="R1365" i="1"/>
  <c r="R1101" i="1"/>
  <c r="R21" i="1"/>
  <c r="R1149" i="1"/>
  <c r="R15" i="1"/>
  <c r="R627" i="1"/>
  <c r="R448" i="1"/>
  <c r="R670" i="1"/>
  <c r="R309" i="1"/>
  <c r="R161" i="1"/>
  <c r="R1036" i="1"/>
  <c r="R304" i="1"/>
  <c r="R1276" i="1"/>
  <c r="R416" i="1"/>
  <c r="R760" i="1"/>
  <c r="R1366" i="1"/>
  <c r="R1367" i="1"/>
  <c r="R1368" i="1"/>
  <c r="R1262" i="1"/>
  <c r="R366" i="1"/>
  <c r="R1161" i="1"/>
  <c r="R580" i="1"/>
  <c r="R1369" i="1"/>
  <c r="R1067" i="1"/>
  <c r="R1125" i="1"/>
  <c r="R1171" i="1"/>
  <c r="R12" i="1"/>
  <c r="R1370" i="1"/>
  <c r="R1371" i="1"/>
  <c r="R281" i="1"/>
  <c r="R102" i="1"/>
  <c r="R1372" i="1"/>
  <c r="R889" i="1"/>
  <c r="R501" i="1"/>
  <c r="R104" i="1"/>
  <c r="R328" i="1"/>
  <c r="R233" i="1"/>
  <c r="R1373" i="1"/>
  <c r="R597" i="1"/>
  <c r="R409" i="1"/>
  <c r="R634" i="1"/>
  <c r="R1374" i="1"/>
  <c r="R518" i="1"/>
  <c r="R1375" i="1"/>
  <c r="R67" i="1"/>
  <c r="R820" i="1"/>
  <c r="R986" i="1"/>
  <c r="R1376" i="1"/>
  <c r="R457" i="1"/>
  <c r="R187" i="1"/>
  <c r="R1237" i="1"/>
  <c r="R652" i="1"/>
  <c r="R971" i="1"/>
  <c r="R1377" i="1"/>
  <c r="R847" i="1"/>
  <c r="R1136" i="1"/>
  <c r="R1189" i="1"/>
  <c r="R349" i="1"/>
  <c r="R359" i="1"/>
  <c r="R904" i="1"/>
  <c r="R1140" i="1"/>
  <c r="R621" i="1"/>
  <c r="R648" i="1"/>
  <c r="R1231" i="1"/>
  <c r="R810" i="1"/>
  <c r="R727" i="1"/>
  <c r="R1378" i="1"/>
  <c r="R397" i="1"/>
  <c r="R928" i="1"/>
  <c r="R44" i="1"/>
  <c r="R1120" i="1"/>
  <c r="R731" i="1"/>
  <c r="R510" i="1"/>
  <c r="R68" i="1"/>
  <c r="R1151" i="1"/>
  <c r="R862" i="1"/>
  <c r="R991" i="1"/>
  <c r="R790" i="1"/>
  <c r="R393" i="1"/>
  <c r="R839" i="1"/>
  <c r="R1155" i="1"/>
  <c r="R362" i="1"/>
  <c r="R804" i="1"/>
  <c r="R1055" i="1"/>
  <c r="R418" i="1"/>
  <c r="R936" i="1"/>
  <c r="R126" i="1"/>
  <c r="R1072" i="1"/>
  <c r="R61" i="1"/>
  <c r="R112" i="1"/>
  <c r="R459" i="1"/>
  <c r="R550" i="1"/>
  <c r="R1379" i="1"/>
  <c r="R1109" i="1"/>
  <c r="R1164" i="1"/>
  <c r="R124" i="1"/>
  <c r="R468" i="1"/>
  <c r="R1380" i="1"/>
  <c r="R1381" i="1"/>
  <c r="R1382" i="1"/>
  <c r="R378" i="1"/>
  <c r="R940" i="1"/>
  <c r="R694" i="1"/>
  <c r="R1016" i="1"/>
  <c r="R607" i="1"/>
  <c r="R1176" i="1"/>
  <c r="R493" i="1"/>
  <c r="R1383" i="1"/>
  <c r="R389" i="1"/>
  <c r="R272" i="1"/>
  <c r="R1102" i="1"/>
  <c r="R931" i="1"/>
  <c r="R899" i="1"/>
  <c r="R1384" i="1"/>
  <c r="R798" i="1"/>
  <c r="R395" i="1"/>
  <c r="R1228" i="1"/>
  <c r="R381" i="1"/>
  <c r="R351" i="1"/>
  <c r="R1106" i="1"/>
  <c r="R592" i="1"/>
  <c r="R521" i="1"/>
  <c r="R643" i="1"/>
  <c r="R384" i="1"/>
  <c r="R909" i="1"/>
  <c r="R1112" i="1"/>
  <c r="R768" i="1"/>
  <c r="R1385" i="1"/>
  <c r="R873" i="1"/>
  <c r="R320" i="1"/>
  <c r="R452" i="1"/>
  <c r="R186" i="1"/>
  <c r="R720" i="1"/>
  <c r="R103" i="1"/>
  <c r="R107" i="1"/>
  <c r="R1100" i="1"/>
  <c r="R784" i="1"/>
  <c r="R581" i="1"/>
  <c r="R1246" i="1"/>
  <c r="R999" i="1"/>
  <c r="R22" i="1"/>
  <c r="R913" i="1"/>
  <c r="R1386" i="1"/>
  <c r="R1122" i="1"/>
  <c r="R1047" i="1"/>
  <c r="R461" i="1"/>
  <c r="R946" i="1"/>
  <c r="R440" i="1"/>
  <c r="R1165" i="1"/>
  <c r="R96" i="1"/>
  <c r="R1234" i="1"/>
  <c r="R646" i="1"/>
  <c r="R1178" i="1"/>
  <c r="R1197" i="1"/>
  <c r="R69" i="1"/>
  <c r="R446" i="1"/>
  <c r="R1387" i="1"/>
  <c r="R405" i="1"/>
  <c r="R678" i="1"/>
  <c r="R388" i="1"/>
  <c r="R94" i="1"/>
  <c r="R1388" i="1"/>
  <c r="R37" i="1"/>
  <c r="R699" i="1"/>
  <c r="R170" i="1"/>
  <c r="R507" i="1"/>
  <c r="R1168" i="1"/>
  <c r="R886" i="1"/>
  <c r="R805" i="1"/>
  <c r="R1389" i="1"/>
  <c r="R1110" i="1"/>
  <c r="R496" i="1"/>
  <c r="R911" i="1"/>
  <c r="R1206" i="1"/>
  <c r="R1390" i="1"/>
  <c r="R1088" i="1"/>
  <c r="R1081" i="1"/>
  <c r="R1391" i="1"/>
  <c r="R1147" i="1"/>
  <c r="R994" i="1"/>
  <c r="R184" i="1"/>
  <c r="R1392" i="1"/>
  <c r="R216" i="1"/>
  <c r="R1243" i="1"/>
  <c r="R313" i="1"/>
  <c r="R1015" i="1"/>
  <c r="R701" i="1"/>
  <c r="R1257" i="1"/>
  <c r="R1208" i="1"/>
  <c r="R953" i="1"/>
  <c r="R365" i="1"/>
  <c r="R879" i="1"/>
  <c r="R789" i="1"/>
  <c r="R152" i="1"/>
  <c r="R101" i="1"/>
  <c r="R728" i="1"/>
  <c r="R1393" i="1"/>
  <c r="R1394" i="1"/>
  <c r="R863" i="1"/>
  <c r="R43" i="1"/>
  <c r="R1395" i="1"/>
  <c r="R653" i="1"/>
  <c r="R1083" i="1"/>
  <c r="R478" i="1"/>
  <c r="R282" i="1"/>
  <c r="R490" i="1"/>
  <c r="R1124" i="1"/>
  <c r="R718" i="1"/>
  <c r="R1396" i="1"/>
  <c r="R859" i="1"/>
  <c r="R190" i="1"/>
  <c r="R1225" i="1"/>
  <c r="R935" i="1"/>
  <c r="R895" i="1"/>
  <c r="R697" i="1"/>
  <c r="R1267" i="1"/>
  <c r="R1397" i="1"/>
  <c r="R1111" i="1"/>
  <c r="R1398" i="1"/>
  <c r="R631" i="1"/>
  <c r="R666" i="1"/>
  <c r="R579" i="1"/>
  <c r="R121" i="1"/>
  <c r="R89" i="1"/>
  <c r="R322" i="1"/>
  <c r="R1035" i="1"/>
  <c r="R1399" i="1"/>
  <c r="R983" i="1"/>
  <c r="R1400" i="1"/>
  <c r="R1401" i="1"/>
  <c r="R28" i="1"/>
  <c r="R1041" i="1"/>
  <c r="R1402" i="1"/>
  <c r="R934" i="1"/>
  <c r="R663" i="1"/>
  <c r="R943" i="1"/>
  <c r="R870" i="1"/>
  <c r="R31" i="1"/>
  <c r="R1403" i="1"/>
  <c r="R1061" i="1"/>
  <c r="R403" i="1"/>
  <c r="R958" i="1"/>
  <c r="R394" i="1"/>
  <c r="R635" i="1"/>
  <c r="R828" i="1"/>
  <c r="R197" i="1"/>
  <c r="R144" i="1"/>
  <c r="R1080" i="1"/>
  <c r="R906" i="1"/>
  <c r="R14" i="1"/>
  <c r="R838" i="1"/>
  <c r="R9" i="1"/>
  <c r="R754" i="1"/>
  <c r="R972" i="1"/>
  <c r="R1404" i="1"/>
  <c r="R145" i="1"/>
  <c r="R18" i="1"/>
  <c r="R17" i="1"/>
  <c r="R1070" i="1"/>
  <c r="R283" i="1"/>
  <c r="R745" i="1"/>
  <c r="R1405" i="1"/>
  <c r="R1233" i="1"/>
  <c r="R752" i="1"/>
  <c r="R508" i="1"/>
  <c r="R783" i="1"/>
  <c r="R162" i="1"/>
  <c r="R1406" i="1"/>
  <c r="R572" i="1"/>
  <c r="R355" i="1"/>
  <c r="R1091" i="1"/>
  <c r="R470" i="1"/>
  <c r="R477" i="1"/>
  <c r="R907" i="1"/>
  <c r="R757" i="1"/>
  <c r="R1407" i="1"/>
  <c r="R402" i="1"/>
  <c r="R833" i="1"/>
  <c r="R1408" i="1"/>
  <c r="R437" i="1"/>
  <c r="R1181" i="1"/>
  <c r="R901" i="1"/>
  <c r="R363" i="1"/>
  <c r="R500" i="1"/>
  <c r="R546" i="1"/>
  <c r="R265" i="1"/>
  <c r="R894" i="1"/>
  <c r="R1409" i="1"/>
  <c r="R1239" i="1"/>
  <c r="R344" i="1"/>
  <c r="R600" i="1"/>
  <c r="R924" i="1"/>
  <c r="R11" i="1"/>
  <c r="R1410" i="1"/>
  <c r="R123" i="1"/>
  <c r="R917" i="1"/>
  <c r="R1411" i="1"/>
  <c r="R1117" i="1"/>
  <c r="R1412" i="1"/>
  <c r="R1012" i="1"/>
  <c r="R234" i="1"/>
  <c r="R92" i="1"/>
  <c r="R183" i="1"/>
  <c r="R1413" i="1"/>
  <c r="R1057" i="1"/>
  <c r="R1414" i="1"/>
  <c r="R439" i="1"/>
  <c r="R1226" i="1"/>
  <c r="R52" i="1"/>
  <c r="R209" i="1"/>
  <c r="R841" i="1"/>
  <c r="R517" i="1"/>
  <c r="R686" i="1"/>
  <c r="R1415" i="1"/>
  <c r="R1179" i="1"/>
  <c r="R1416" i="1"/>
  <c r="R271" i="1"/>
  <c r="R781" i="1"/>
  <c r="R1087" i="1"/>
  <c r="R78" i="1"/>
  <c r="R1417" i="1"/>
  <c r="R1418" i="1"/>
  <c r="R1248" i="1"/>
  <c r="R1419" i="1"/>
  <c r="R1137" i="1"/>
  <c r="R717" i="1"/>
  <c r="R241" i="1"/>
  <c r="R891" i="1"/>
  <c r="R788" i="1"/>
  <c r="R82" i="1"/>
  <c r="R644" i="1"/>
  <c r="R802" i="1"/>
  <c r="R1215" i="1"/>
  <c r="R228" i="1"/>
  <c r="R335" i="1"/>
  <c r="R456" i="1"/>
  <c r="R122" i="1"/>
  <c r="R523" i="1"/>
  <c r="R1420" i="1"/>
  <c r="R528" i="1"/>
  <c r="R589" i="1"/>
  <c r="R1186" i="1"/>
  <c r="R1086" i="1"/>
  <c r="R1195" i="1"/>
  <c r="R1173" i="1"/>
  <c r="R539" i="1"/>
  <c r="R938" i="1"/>
  <c r="R649" i="1"/>
  <c r="R25" i="1"/>
  <c r="R864" i="1"/>
  <c r="R237" i="1"/>
  <c r="R705" i="1"/>
  <c r="R893" i="1"/>
  <c r="R548" i="1"/>
  <c r="R173" i="1"/>
  <c r="R1076" i="1"/>
  <c r="R982" i="1"/>
  <c r="R1421" i="1"/>
  <c r="R13" i="1"/>
  <c r="R1422" i="1"/>
  <c r="R689" i="1"/>
  <c r="R1423" i="1"/>
  <c r="R382" i="1"/>
  <c r="R270" i="1"/>
  <c r="R910" i="1"/>
  <c r="R284" i="1"/>
  <c r="R150" i="1"/>
  <c r="R1089" i="1"/>
  <c r="R1271" i="1"/>
  <c r="R253" i="1"/>
  <c r="R251" i="1"/>
  <c r="R945" i="1"/>
  <c r="R1424" i="1"/>
  <c r="R1425" i="1"/>
  <c r="R77" i="1"/>
  <c r="R871" i="1"/>
  <c r="R774" i="1"/>
  <c r="R491" i="1"/>
  <c r="R23" i="1"/>
  <c r="R1242" i="1"/>
  <c r="R1131" i="1"/>
  <c r="R411" i="1"/>
  <c r="R846" i="1"/>
  <c r="R526" i="1"/>
  <c r="R707" i="1"/>
  <c r="R1010" i="1"/>
  <c r="R300" i="1"/>
  <c r="R98" i="1"/>
  <c r="R947" i="1"/>
  <c r="R27" i="1"/>
  <c r="R1426" i="1"/>
  <c r="R1427" i="1"/>
  <c r="R1428" i="1"/>
  <c r="R56" i="1"/>
  <c r="R815" i="1"/>
  <c r="R832" i="1"/>
  <c r="R562" i="1"/>
  <c r="R997" i="1"/>
  <c r="R406" i="1"/>
  <c r="R172" i="1"/>
  <c r="R1211" i="1"/>
  <c r="R642" i="1"/>
  <c r="R280" i="1"/>
  <c r="R198" i="1"/>
  <c r="R703" i="1"/>
  <c r="R884" i="1"/>
  <c r="R629" i="1"/>
  <c r="R1097" i="1"/>
  <c r="R1429" i="1"/>
  <c r="R64" i="1"/>
  <c r="R1430" i="1"/>
  <c r="R220" i="1"/>
  <c r="R245" i="1"/>
  <c r="R1278" i="1"/>
  <c r="R795" i="1"/>
  <c r="R257" i="1"/>
  <c r="R1085" i="1"/>
  <c r="R81" i="1"/>
  <c r="R1252" i="1"/>
  <c r="R232" i="1"/>
  <c r="R878" i="1"/>
  <c r="R1142" i="1"/>
  <c r="R770" i="1"/>
  <c r="R415" i="1"/>
  <c r="R857" i="1"/>
  <c r="R700" i="1"/>
  <c r="R1431" i="1"/>
  <c r="R1266" i="1"/>
  <c r="R499" i="1"/>
  <c r="R1126" i="1"/>
  <c r="R1236" i="1"/>
  <c r="R116" i="1"/>
  <c r="R1264" i="1"/>
  <c r="R823" i="1"/>
  <c r="R1432" i="1"/>
  <c r="R62" i="1"/>
  <c r="R875" i="1"/>
  <c r="R1277" i="1"/>
  <c r="R310" i="1"/>
  <c r="R431" i="1"/>
  <c r="R117" i="1"/>
  <c r="R35" i="1"/>
  <c r="R605" i="1"/>
  <c r="R673" i="1"/>
  <c r="R1113" i="1"/>
  <c r="R872" i="1"/>
  <c r="R1221" i="1"/>
  <c r="R658" i="1"/>
  <c r="R1433" i="1"/>
  <c r="R753" i="1"/>
  <c r="R555" i="1"/>
  <c r="R530" i="1"/>
  <c r="R1434" i="1"/>
  <c r="R377" i="1"/>
  <c r="R7" i="1"/>
  <c r="R698" i="1"/>
  <c r="R140" i="1"/>
  <c r="R497" i="1"/>
  <c r="R1074" i="1"/>
  <c r="R486" i="1"/>
  <c r="R174" i="1"/>
  <c r="R714" i="1"/>
  <c r="R434" i="1"/>
  <c r="R1153" i="1"/>
  <c r="R1435" i="1"/>
  <c r="R151" i="1"/>
  <c r="R421" i="1"/>
  <c r="R432" i="1"/>
  <c r="R1098" i="1"/>
  <c r="R1170" i="1"/>
  <c r="R1436" i="1"/>
  <c r="R604" i="1"/>
  <c r="R80" i="1"/>
  <c r="R259" i="1"/>
  <c r="R325" i="1"/>
  <c r="R1437" i="1"/>
  <c r="R1438" i="1"/>
  <c r="R475" i="1"/>
  <c r="R204" i="1"/>
  <c r="R613" i="1"/>
  <c r="R358" i="1"/>
  <c r="R34" i="1"/>
  <c r="R1108" i="1"/>
  <c r="R756" i="1"/>
  <c r="R1439" i="1"/>
  <c r="R522" i="1"/>
  <c r="R474" i="1"/>
  <c r="R782" i="1"/>
  <c r="R166" i="1"/>
  <c r="R855" i="1"/>
  <c r="R1440" i="1"/>
  <c r="R746" i="1"/>
  <c r="R134" i="1"/>
  <c r="R1253" i="1"/>
  <c r="R664" i="1"/>
  <c r="R737" i="1"/>
  <c r="R433" i="1"/>
  <c r="R543" i="1"/>
  <c r="R1441" i="1"/>
  <c r="R512" i="1"/>
  <c r="R2" i="1"/>
  <c r="R831" i="1"/>
  <c r="R603" i="1"/>
  <c r="R551" i="1"/>
  <c r="R773" i="1"/>
  <c r="R785" i="1"/>
  <c r="R949" i="1"/>
  <c r="R340" i="1"/>
  <c r="R1191" i="1"/>
  <c r="R959" i="1"/>
  <c r="R266" i="1"/>
  <c r="R428" i="1"/>
  <c r="R816" i="1"/>
  <c r="R685" i="1"/>
  <c r="R1025" i="1"/>
  <c r="R127" i="1"/>
  <c r="R1442" i="1"/>
  <c r="R749" i="1"/>
  <c r="R1065" i="1"/>
  <c r="R767" i="1"/>
  <c r="R587" i="1"/>
  <c r="R671" i="1"/>
  <c r="R285" i="1"/>
  <c r="R1210" i="1"/>
  <c r="R1443" i="1"/>
  <c r="R568" i="1"/>
  <c r="R606" i="1"/>
  <c r="R1099" i="1"/>
  <c r="R874" i="1"/>
  <c r="R1444" i="1"/>
  <c r="R489" i="1"/>
  <c r="R1009" i="1"/>
  <c r="R1445" i="1"/>
  <c r="R417" i="1"/>
  <c r="R1446" i="1"/>
  <c r="R575" i="1"/>
  <c r="R450" i="1"/>
  <c r="R293" i="1"/>
  <c r="R196" i="1"/>
  <c r="R1447" i="1"/>
  <c r="R1448" i="1"/>
  <c r="R681" i="1"/>
  <c r="R965" i="1"/>
  <c r="R1037" i="1"/>
  <c r="R676" i="1"/>
  <c r="R677" i="1"/>
  <c r="R963" i="1"/>
  <c r="R668" i="1"/>
  <c r="R1449" i="1"/>
  <c r="R1049" i="1"/>
  <c r="R970" i="1"/>
  <c r="R1450" i="1"/>
  <c r="R129" i="1"/>
  <c r="R295" i="1"/>
  <c r="R525" i="1"/>
  <c r="R1451" i="1"/>
  <c r="R618" i="1"/>
  <c r="R24" i="1"/>
  <c r="R1452" i="1"/>
  <c r="R1453" i="1"/>
  <c r="R793" i="1"/>
  <c r="R1056" i="1"/>
  <c r="R1040" i="1"/>
  <c r="R914" i="1"/>
  <c r="R740" i="1"/>
  <c r="R139" i="1"/>
  <c r="R929" i="1"/>
  <c r="R939" i="1"/>
  <c r="R238" i="1"/>
  <c r="R125" i="1"/>
  <c r="R638" i="1"/>
  <c r="R451" i="1"/>
  <c r="R1454" i="1"/>
  <c r="R308" i="1"/>
  <c r="R1273" i="1"/>
  <c r="R1455" i="1"/>
  <c r="R801" i="1"/>
  <c r="R276" i="1"/>
  <c r="R1456" i="1"/>
  <c r="R46" i="1"/>
  <c r="R1216" i="1"/>
  <c r="R545" i="1"/>
  <c r="R246" i="1"/>
  <c r="R557" i="1"/>
  <c r="R1138" i="1"/>
  <c r="R149" i="1"/>
  <c r="R193" i="1"/>
  <c r="R1457" i="1"/>
  <c r="R529" i="1"/>
  <c r="R1096" i="1"/>
  <c r="R401" i="1"/>
  <c r="R574" i="1"/>
  <c r="R1190" i="1"/>
  <c r="R445" i="1"/>
  <c r="R298" i="1"/>
  <c r="R800" i="1"/>
  <c r="R639" i="1"/>
  <c r="R47" i="1"/>
  <c r="R1458" i="1"/>
  <c r="R1270" i="1"/>
  <c r="R1005" i="1"/>
  <c r="R1459" i="1"/>
  <c r="R385" i="1"/>
  <c r="R1038" i="1"/>
  <c r="R1090" i="1"/>
  <c r="R1460" i="1"/>
  <c r="R690" i="1"/>
  <c r="R570" i="1"/>
  <c r="R1272" i="1"/>
  <c r="R560" i="1"/>
  <c r="R656" i="1"/>
  <c r="R1198" i="1"/>
  <c r="R763" i="1"/>
  <c r="R120" i="1"/>
  <c r="R1200" i="1"/>
  <c r="R137" i="1"/>
  <c r="R1461" i="1"/>
  <c r="R609" i="1"/>
  <c r="R1269" i="1"/>
  <c r="R885" i="1"/>
  <c r="R1462" i="1"/>
  <c r="R410" i="1"/>
  <c r="R984" i="1"/>
  <c r="R1060" i="1"/>
  <c r="R317" i="1"/>
  <c r="R896" i="1"/>
  <c r="R1260" i="1"/>
  <c r="R1166" i="1"/>
  <c r="R1006" i="1"/>
  <c r="R556" i="1"/>
  <c r="R1265" i="1"/>
  <c r="R1059" i="1"/>
  <c r="R951" i="1"/>
  <c r="R814" i="1"/>
  <c r="R960" i="1"/>
  <c r="R454" i="1"/>
  <c r="R244" i="1"/>
  <c r="R100" i="1"/>
  <c r="R176" i="1"/>
  <c r="R1235" i="1"/>
  <c r="R748" i="1"/>
  <c r="R1130" i="1"/>
  <c r="R1132" i="1"/>
  <c r="R217" i="1"/>
  <c r="R1463" i="1"/>
  <c r="R623" i="1"/>
  <c r="R1031" i="1"/>
  <c r="R657" i="1"/>
  <c r="R1464" i="1"/>
  <c r="R213" i="1"/>
  <c r="R492" i="1"/>
  <c r="R565" i="1"/>
  <c r="R780" i="1"/>
  <c r="R883" i="1"/>
  <c r="R865" i="1"/>
  <c r="R1465" i="1"/>
  <c r="R836" i="1"/>
  <c r="R1466" i="1"/>
  <c r="R337" i="1"/>
  <c r="R1467" i="1"/>
  <c r="R573" i="1"/>
  <c r="R544" i="1"/>
  <c r="R1123" i="1"/>
  <c r="R367" i="1"/>
  <c r="R326" i="1"/>
  <c r="R941" i="1"/>
  <c r="R1468" i="1"/>
  <c r="R1256" i="1"/>
  <c r="R425" i="1"/>
  <c r="R628" i="1"/>
  <c r="R132" i="1"/>
  <c r="R1043" i="1"/>
  <c r="R202" i="1"/>
  <c r="R818" i="1"/>
  <c r="R58" i="1"/>
  <c r="R303" i="1"/>
  <c r="R687" i="1"/>
  <c r="R157" i="1"/>
  <c r="R712" i="1"/>
  <c r="R455" i="1"/>
  <c r="R147" i="1"/>
  <c r="R588" i="1"/>
  <c r="R63" i="1"/>
  <c r="R469" i="1"/>
  <c r="R921" i="1"/>
  <c r="R85" i="1"/>
  <c r="R1268" i="1"/>
  <c r="R1019" i="1"/>
  <c r="R1107" i="1"/>
  <c r="R1229" i="1"/>
  <c r="R115" i="1"/>
  <c r="R247" i="1"/>
  <c r="R665" i="1"/>
  <c r="R764" i="1"/>
  <c r="R1118" i="1"/>
  <c r="R1021" i="1"/>
  <c r="R1202" i="1"/>
  <c r="R898" i="1"/>
  <c r="R1469" i="1"/>
  <c r="R210" i="1"/>
  <c r="R868" i="1"/>
  <c r="R1470" i="1"/>
  <c r="R114" i="1"/>
  <c r="R189" i="1"/>
  <c r="R915" i="1"/>
  <c r="R750" i="1"/>
  <c r="R154" i="1"/>
  <c r="R710" i="1"/>
  <c r="R1471" i="1"/>
  <c r="R76" i="1"/>
  <c r="R1472" i="1"/>
  <c r="R243" i="1"/>
  <c r="R1002" i="1"/>
  <c r="R316" i="1"/>
  <c r="R360" i="1"/>
  <c r="R1143" i="1"/>
  <c r="R1473" i="1"/>
  <c r="R792" i="1"/>
  <c r="R1474" i="1"/>
  <c r="R680" i="1"/>
  <c r="R660" i="1"/>
  <c r="R927" i="1"/>
  <c r="R1082" i="1"/>
  <c r="R866" i="1"/>
  <c r="R1475" i="1"/>
  <c r="R1476" i="1"/>
  <c r="R97" i="1"/>
  <c r="R1114" i="1"/>
  <c r="R858" i="1"/>
  <c r="R674" i="1"/>
  <c r="R995" i="1"/>
  <c r="R1141" i="1"/>
  <c r="R1042" i="1"/>
  <c r="R912" i="1"/>
  <c r="R1477" i="1"/>
  <c r="R659" i="1"/>
  <c r="R1478" i="1"/>
  <c r="R286" i="1"/>
  <c r="R60" i="1"/>
  <c r="R966" i="1"/>
  <c r="R200" i="1"/>
  <c r="R214" i="1"/>
  <c r="R974" i="1"/>
  <c r="R476" i="1"/>
  <c r="R1199" i="1"/>
  <c r="R747" i="1"/>
  <c r="R989" i="1"/>
  <c r="R632" i="1"/>
  <c r="R224" i="1"/>
  <c r="R902" i="1"/>
  <c r="R1479" i="1"/>
  <c r="R585" i="1"/>
  <c r="R922" i="1"/>
  <c r="R346" i="1"/>
  <c r="R239" i="1"/>
  <c r="R937" i="1"/>
  <c r="R541" i="1"/>
  <c r="R923" i="1"/>
  <c r="R582" i="1"/>
  <c r="R622" i="1"/>
  <c r="R706" i="1"/>
  <c r="R890" i="1"/>
  <c r="R766" i="1"/>
  <c r="R1480" i="1"/>
  <c r="R423" i="1"/>
  <c r="R36" i="1"/>
  <c r="R633" i="1"/>
  <c r="R1481" i="1"/>
  <c r="R534" i="1"/>
  <c r="R1482" i="1"/>
  <c r="R93" i="1"/>
  <c r="R188" i="1"/>
  <c r="R118" i="1"/>
  <c r="R1182" i="1"/>
  <c r="R733" i="1"/>
  <c r="R758" i="1"/>
  <c r="R49" i="1"/>
  <c r="R1004" i="1"/>
  <c r="R1054" i="1"/>
  <c r="R1232" i="1"/>
  <c r="R1483" i="1"/>
  <c r="R1484" i="1"/>
  <c r="R515" i="1"/>
  <c r="R248" i="1"/>
  <c r="R279" i="1"/>
  <c r="R903" i="1"/>
  <c r="R1128" i="1"/>
  <c r="R130" i="1"/>
  <c r="R347" i="1"/>
  <c r="R708" i="1"/>
  <c r="R586" i="1"/>
  <c r="R1205" i="1"/>
  <c r="R1192" i="1"/>
  <c r="R348" i="1"/>
  <c r="R159" i="1"/>
  <c r="R343" i="1"/>
  <c r="R616" i="1"/>
  <c r="R1204" i="1"/>
  <c r="R1119" i="1"/>
  <c r="R368" i="1"/>
  <c r="R1150" i="1"/>
  <c r="R314" i="1"/>
  <c r="R1485" i="1"/>
  <c r="R464" i="1"/>
  <c r="R424" i="1"/>
  <c r="R167" i="1"/>
  <c r="R10" i="1"/>
  <c r="R1048" i="1"/>
  <c r="R41" i="1"/>
  <c r="R1084" i="1"/>
  <c r="R564" i="1"/>
  <c r="R392" i="1"/>
  <c r="R203" i="1"/>
  <c r="R40" i="1"/>
  <c r="R625" i="1"/>
  <c r="R192" i="1"/>
  <c r="R109" i="1"/>
  <c r="R1146" i="1"/>
  <c r="R1079" i="1"/>
  <c r="R1486" i="1"/>
  <c r="R141" i="1"/>
  <c r="R916" i="1"/>
  <c r="R254" i="1"/>
  <c r="R704" i="1"/>
  <c r="R379" i="1"/>
  <c r="R1487" i="1"/>
  <c r="R925" i="1"/>
  <c r="R1209" i="1"/>
  <c r="R48" i="1"/>
  <c r="R617" i="1"/>
  <c r="R1011" i="1"/>
  <c r="R339" i="1"/>
  <c r="R919" i="1"/>
  <c r="R338" i="1"/>
  <c r="R399" i="1"/>
  <c r="R567" i="1"/>
  <c r="R1488" i="1"/>
  <c r="R880" i="1"/>
  <c r="R977" i="1"/>
  <c r="R988" i="1"/>
  <c r="R684" i="1"/>
  <c r="R84" i="1"/>
  <c r="R105" i="1"/>
  <c r="R236" i="1"/>
  <c r="R987" i="1"/>
  <c r="R1175" i="1"/>
  <c r="R95" i="1"/>
  <c r="R961" i="1"/>
  <c r="R849" i="1"/>
  <c r="R630" i="1"/>
  <c r="R651" i="1"/>
  <c r="R318" i="1"/>
  <c r="R231" i="1"/>
  <c r="R287" i="1"/>
  <c r="R1174" i="1"/>
  <c r="R364" i="1"/>
  <c r="R463" i="1"/>
  <c r="R591" i="1"/>
  <c r="R1489" i="1"/>
  <c r="R352" i="1"/>
  <c r="R128" i="1"/>
  <c r="R799" i="1"/>
  <c r="R483" i="1"/>
  <c r="R1490" i="1"/>
  <c r="R273" i="1"/>
  <c r="R547" i="1"/>
  <c r="R881" i="1"/>
  <c r="R229" i="1"/>
  <c r="R88" i="1"/>
  <c r="R1220" i="1"/>
  <c r="R721" i="1"/>
  <c r="R558" i="1"/>
  <c r="R449" i="1"/>
  <c r="R736" i="1"/>
  <c r="R835" i="1"/>
  <c r="R848" i="1"/>
  <c r="R826" i="1"/>
  <c r="R1491" i="1"/>
  <c r="R1492" i="1"/>
  <c r="R719" i="1"/>
  <c r="R396" i="1"/>
  <c r="R223" i="1"/>
  <c r="R825" i="1"/>
  <c r="R1240" i="1"/>
  <c r="R524" i="1"/>
  <c r="R1139" i="1"/>
  <c r="R74" i="1"/>
  <c r="R206" i="1"/>
  <c r="R33" i="1"/>
  <c r="R1493" i="1"/>
  <c r="R1180" i="1"/>
  <c r="R1156" i="1"/>
  <c r="R692" i="1"/>
  <c r="R1259" i="1"/>
  <c r="R407" i="1"/>
  <c r="R1494" i="1"/>
  <c r="R1495" i="1"/>
  <c r="R527" i="1"/>
  <c r="R289" i="1"/>
  <c r="R679" i="1"/>
  <c r="R1144" i="1"/>
  <c r="R1496" i="1"/>
  <c r="R533" i="1"/>
  <c r="R1159" i="1"/>
  <c r="R1066" i="1"/>
  <c r="R119" i="1"/>
  <c r="R505" i="1"/>
  <c r="R473" i="1"/>
  <c r="R852" i="1"/>
  <c r="R1497" i="1"/>
  <c r="R1094" i="1"/>
  <c r="R207" i="1"/>
  <c r="R453" i="1"/>
  <c r="R577" i="1"/>
  <c r="R742" i="1"/>
  <c r="R791" i="1"/>
  <c r="R290" i="1"/>
  <c r="R843" i="1"/>
  <c r="R933" i="1"/>
  <c r="R809" i="1"/>
  <c r="R441" i="1"/>
  <c r="R1169" i="1"/>
  <c r="R350" i="1"/>
  <c r="R869" i="1"/>
  <c r="R1498" i="1"/>
  <c r="R169" i="1"/>
  <c r="R375" i="1"/>
  <c r="R615" i="1"/>
  <c r="R26" i="1"/>
  <c r="R324" i="1"/>
  <c r="R435" i="1"/>
  <c r="R307" i="1"/>
  <c r="R776" i="1"/>
  <c r="R1499" i="1"/>
  <c r="R640" i="1"/>
  <c r="R1241" i="1"/>
  <c r="R376" i="1"/>
  <c r="R1500" i="1"/>
  <c r="R1501" i="1"/>
  <c r="S480" i="1"/>
  <c r="S275" i="1"/>
  <c r="S268" i="1"/>
  <c r="S1279" i="1"/>
  <c r="S954" i="1"/>
  <c r="S5" i="1"/>
  <c r="S1258" i="1"/>
  <c r="S1073" i="1"/>
  <c r="S278" i="1"/>
  <c r="S1280" i="1"/>
  <c r="S484" i="1"/>
  <c r="S599" i="1"/>
  <c r="S1062" i="1"/>
  <c r="S72" i="1"/>
  <c r="S1281" i="1"/>
  <c r="S614" i="1"/>
  <c r="S964" i="1"/>
  <c r="S230" i="1"/>
  <c r="S1134" i="1"/>
  <c r="S494" i="1"/>
  <c r="S729" i="1"/>
  <c r="S762" i="1"/>
  <c r="S386" i="1"/>
  <c r="S8" i="1"/>
  <c r="S1029" i="1"/>
  <c r="S221" i="1"/>
  <c r="S315" i="1"/>
  <c r="S955" i="1"/>
  <c r="S131" i="1"/>
  <c r="S1172" i="1"/>
  <c r="S1148" i="1"/>
  <c r="S354" i="1"/>
  <c r="S1224" i="1"/>
  <c r="S593" i="1"/>
  <c r="S168" i="1"/>
  <c r="S807" i="1"/>
  <c r="S993" i="1"/>
  <c r="S1104" i="1"/>
  <c r="S761" i="1"/>
  <c r="S1282" i="1"/>
  <c r="S755" i="1"/>
  <c r="S177" i="1"/>
  <c r="S962" i="1"/>
  <c r="S1283" i="1"/>
  <c r="S488" i="1"/>
  <c r="S1177" i="1"/>
  <c r="S242" i="1"/>
  <c r="S926" i="1"/>
  <c r="S429" i="1"/>
  <c r="S688" i="1"/>
  <c r="S1284" i="1"/>
  <c r="S1285" i="1"/>
  <c r="S156" i="1"/>
  <c r="S1188" i="1"/>
  <c r="S321" i="1"/>
  <c r="S201" i="1"/>
  <c r="S726" i="1"/>
  <c r="S1249" i="1"/>
  <c r="S1286" i="1"/>
  <c r="S4" i="1"/>
  <c r="S312" i="1"/>
  <c r="S797" i="1"/>
  <c r="S263" i="1"/>
  <c r="S535" i="1"/>
  <c r="S751" i="1"/>
  <c r="S1287" i="1"/>
  <c r="S715" i="1"/>
  <c r="S979" i="1"/>
  <c r="T979" i="1" s="1"/>
  <c r="S1160" i="1"/>
  <c r="S956" i="1"/>
  <c r="S387" i="1"/>
  <c r="S552" i="1"/>
  <c r="S267" i="1"/>
  <c r="S1288" i="1"/>
  <c r="S211" i="1"/>
  <c r="S944" i="1"/>
  <c r="S227" i="1"/>
  <c r="S219" i="1"/>
  <c r="S611" i="1"/>
  <c r="S6" i="1"/>
  <c r="S1213" i="1"/>
  <c r="S55" i="1"/>
  <c r="S1289" i="1"/>
  <c r="S854" i="1"/>
  <c r="S1290" i="1"/>
  <c r="S794" i="1"/>
  <c r="S135" i="1"/>
  <c r="S235" i="1"/>
  <c r="S887" i="1"/>
  <c r="S171" i="1"/>
  <c r="S786" i="1"/>
  <c r="S1291" i="1"/>
  <c r="S583" i="1"/>
  <c r="S777" i="1"/>
  <c r="S225" i="1"/>
  <c r="S1022" i="1"/>
  <c r="S19" i="1"/>
  <c r="S327" i="1"/>
  <c r="S1008" i="1"/>
  <c r="S111" i="1"/>
  <c r="S691" i="1"/>
  <c r="S1223" i="1"/>
  <c r="S969" i="1"/>
  <c r="S1292" i="1"/>
  <c r="S1293" i="1"/>
  <c r="S1275" i="1"/>
  <c r="S178" i="1"/>
  <c r="S1063" i="1"/>
  <c r="S1294" i="1"/>
  <c r="S636" i="1"/>
  <c r="S357" i="1"/>
  <c r="S672" i="1"/>
  <c r="S380" i="1"/>
  <c r="S1026" i="1"/>
  <c r="S342" i="1"/>
  <c r="S1227" i="1"/>
  <c r="S39" i="1"/>
  <c r="S20" i="1"/>
  <c r="S391" i="1"/>
  <c r="S645" i="1"/>
  <c r="S819" i="1"/>
  <c r="S1295" i="1"/>
  <c r="S845" i="1"/>
  <c r="S509" i="1"/>
  <c r="S1135" i="1"/>
  <c r="S669" i="1"/>
  <c r="S288" i="1"/>
  <c r="S1162" i="1"/>
  <c r="S148" i="1"/>
  <c r="S1296" i="1"/>
  <c r="S369" i="1"/>
  <c r="S952" i="1"/>
  <c r="S1152" i="1"/>
  <c r="S291" i="1"/>
  <c r="S261" i="1"/>
  <c r="S1297" i="1"/>
  <c r="S1129" i="1"/>
  <c r="S299" i="1"/>
  <c r="S702" i="1"/>
  <c r="S471" i="1"/>
  <c r="S682" i="1"/>
  <c r="S624" i="1"/>
  <c r="S294" i="1"/>
  <c r="S1154" i="1"/>
  <c r="S725" i="1"/>
  <c r="S1163" i="1"/>
  <c r="S1298" i="1"/>
  <c r="S71" i="1"/>
  <c r="S1299" i="1"/>
  <c r="S1185" i="1"/>
  <c r="S1000" i="1"/>
  <c r="S503" i="1"/>
  <c r="S331" i="1"/>
  <c r="S1300" i="1"/>
  <c r="S867" i="1"/>
  <c r="S1301" i="1"/>
  <c r="S73" i="1"/>
  <c r="S185" i="1"/>
  <c r="S1115" i="1"/>
  <c r="S444" i="1"/>
  <c r="S99" i="1"/>
  <c r="S83" i="1"/>
  <c r="S695" i="1"/>
  <c r="S1023" i="1"/>
  <c r="S30" i="1"/>
  <c r="S311" i="1"/>
  <c r="S837" i="1"/>
  <c r="S1044" i="1"/>
  <c r="S723" i="1"/>
  <c r="S1028" i="1"/>
  <c r="S741" i="1"/>
  <c r="S549" i="1"/>
  <c r="S957" i="1"/>
  <c r="S778" i="1"/>
  <c r="S1302" i="1"/>
  <c r="S967" i="1"/>
  <c r="S601" i="1"/>
  <c r="S829" i="1"/>
  <c r="S553" i="1"/>
  <c r="S371" i="1"/>
  <c r="S160" i="1"/>
  <c r="S158" i="1"/>
  <c r="S996" i="1"/>
  <c r="S1121" i="1"/>
  <c r="S1203" i="1"/>
  <c r="S164" i="1"/>
  <c r="S1116" i="1"/>
  <c r="S803" i="1"/>
  <c r="S1033" i="1"/>
  <c r="S520" i="1"/>
  <c r="S218" i="1"/>
  <c r="S1303" i="1"/>
  <c r="S292" i="1"/>
  <c r="S897" i="1"/>
  <c r="S319" i="1"/>
  <c r="S1304" i="1"/>
  <c r="S1305" i="1"/>
  <c r="S226" i="1"/>
  <c r="S3" i="1"/>
  <c r="S1077" i="1"/>
  <c r="S610" i="1"/>
  <c r="S419" i="1"/>
  <c r="S1013" i="1"/>
  <c r="S138" i="1"/>
  <c r="S430" i="1"/>
  <c r="S306" i="1"/>
  <c r="S502" i="1"/>
  <c r="S370" i="1"/>
  <c r="S442" i="1"/>
  <c r="S1187" i="1"/>
  <c r="S1306" i="1"/>
  <c r="S195" i="1"/>
  <c r="S87" i="1"/>
  <c r="S412" i="1"/>
  <c r="S730" i="1"/>
  <c r="S905" i="1"/>
  <c r="S1307" i="1"/>
  <c r="S538" i="1"/>
  <c r="S155" i="1"/>
  <c r="S1308" i="1"/>
  <c r="S1214" i="1"/>
  <c r="S620" i="1"/>
  <c r="S53" i="1"/>
  <c r="S191" i="1"/>
  <c r="S808" i="1"/>
  <c r="S1309" i="1"/>
  <c r="S1310" i="1"/>
  <c r="S561" i="1"/>
  <c r="S29" i="1"/>
  <c r="S465" i="1"/>
  <c r="S1311" i="1"/>
  <c r="S110" i="1"/>
  <c r="S212" i="1"/>
  <c r="S920" i="1"/>
  <c r="S981" i="1"/>
  <c r="S675" i="1"/>
  <c r="S301" i="1"/>
  <c r="S1050" i="1"/>
  <c r="S1193" i="1"/>
  <c r="S990" i="1"/>
  <c r="S950" i="1"/>
  <c r="S341" i="1"/>
  <c r="S817" i="1"/>
  <c r="S576" i="1"/>
  <c r="S1312" i="1"/>
  <c r="S297" i="1"/>
  <c r="S683" i="1"/>
  <c r="S133" i="1"/>
  <c r="S1071" i="1"/>
  <c r="S1313" i="1"/>
  <c r="S240" i="1"/>
  <c r="S968" i="1"/>
  <c r="S252" i="1"/>
  <c r="S1069" i="1"/>
  <c r="S584" i="1"/>
  <c r="S1238" i="1"/>
  <c r="S1167" i="1"/>
  <c r="S208" i="1"/>
  <c r="S66" i="1"/>
  <c r="S537" i="1"/>
  <c r="S787" i="1"/>
  <c r="S578" i="1"/>
  <c r="S612" i="1"/>
  <c r="S519" i="1"/>
  <c r="S373" i="1"/>
  <c r="S709" i="1"/>
  <c r="S1030" i="1"/>
  <c r="S1103" i="1"/>
  <c r="S1158" i="1"/>
  <c r="S398" i="1"/>
  <c r="S667" i="1"/>
  <c r="S1314" i="1"/>
  <c r="S822" i="1"/>
  <c r="S1315" i="1"/>
  <c r="S1316" i="1"/>
  <c r="S1317" i="1"/>
  <c r="S722" i="1"/>
  <c r="S1318" i="1"/>
  <c r="S1245" i="1"/>
  <c r="S264" i="1"/>
  <c r="S1319" i="1"/>
  <c r="S735" i="1"/>
  <c r="S408" i="1"/>
  <c r="S821" i="1"/>
  <c r="S485" i="1"/>
  <c r="S1032" i="1"/>
  <c r="S827" i="1"/>
  <c r="S113" i="1"/>
  <c r="S975" i="1"/>
  <c r="S744" i="1"/>
  <c r="S918" i="1"/>
  <c r="S1320" i="1"/>
  <c r="S332" i="1"/>
  <c r="S1157" i="1"/>
  <c r="S1250" i="1"/>
  <c r="S738" i="1"/>
  <c r="S1201" i="1"/>
  <c r="S262" i="1"/>
  <c r="S734" i="1"/>
  <c r="S163" i="1"/>
  <c r="S1321" i="1"/>
  <c r="S1322" i="1"/>
  <c r="S830" i="1"/>
  <c r="S182" i="1"/>
  <c r="S1058" i="1"/>
  <c r="S1244" i="1"/>
  <c r="S516" i="1"/>
  <c r="S775" i="1"/>
  <c r="S199" i="1"/>
  <c r="S1323" i="1"/>
  <c r="S811" i="1"/>
  <c r="S50" i="1"/>
  <c r="S1324" i="1"/>
  <c r="S985" i="1"/>
  <c r="S595" i="1"/>
  <c r="S277" i="1"/>
  <c r="S222" i="1"/>
  <c r="S1014" i="1"/>
  <c r="S1219" i="1"/>
  <c r="S65" i="1"/>
  <c r="S420" i="1"/>
  <c r="S1325" i="1"/>
  <c r="S1003" i="1"/>
  <c r="S1326" i="1"/>
  <c r="S90" i="1"/>
  <c r="S976" i="1"/>
  <c r="S834" i="1"/>
  <c r="S1327" i="1"/>
  <c r="S249" i="1"/>
  <c r="S1092" i="1"/>
  <c r="S1328" i="1"/>
  <c r="S1274" i="1"/>
  <c r="S404" i="1"/>
  <c r="S892" i="1"/>
  <c r="S1329" i="1"/>
  <c r="S1184" i="1"/>
  <c r="S1330" i="1"/>
  <c r="S414" i="1"/>
  <c r="S302" i="1"/>
  <c r="S1212" i="1"/>
  <c r="S661" i="1"/>
  <c r="S796" i="1"/>
  <c r="S458" i="1"/>
  <c r="S1331" i="1"/>
  <c r="S16" i="1"/>
  <c r="S856" i="1"/>
  <c r="S438" i="1"/>
  <c r="S498" i="1"/>
  <c r="S554" i="1"/>
  <c r="S851" i="1"/>
  <c r="S1332" i="1"/>
  <c r="S1333" i="1"/>
  <c r="S1064" i="1"/>
  <c r="S1039" i="1"/>
  <c r="S824" i="1"/>
  <c r="S1254" i="1"/>
  <c r="S1007" i="1"/>
  <c r="S713" i="1"/>
  <c r="S540" i="1"/>
  <c r="S1334" i="1"/>
  <c r="S844" i="1"/>
  <c r="S759" i="1"/>
  <c r="S495" i="1"/>
  <c r="S54" i="1"/>
  <c r="S467" i="1"/>
  <c r="S559" i="1"/>
  <c r="S274" i="1"/>
  <c r="S1335" i="1"/>
  <c r="S260" i="1"/>
  <c r="S596" i="1"/>
  <c r="S143" i="1"/>
  <c r="S513" i="1"/>
  <c r="S413" i="1"/>
  <c r="S479" i="1"/>
  <c r="S1127" i="1"/>
  <c r="S329" i="1"/>
  <c r="S932" i="1"/>
  <c r="S1336" i="1"/>
  <c r="S1337" i="1"/>
  <c r="S383" i="1"/>
  <c r="S146" i="1"/>
  <c r="S1194" i="1"/>
  <c r="S38" i="1"/>
  <c r="S608" i="1"/>
  <c r="S1027" i="1"/>
  <c r="S1338" i="1"/>
  <c r="S481" i="1"/>
  <c r="S1093" i="1"/>
  <c r="S79" i="1"/>
  <c r="S765" i="1"/>
  <c r="S106" i="1"/>
  <c r="S980" i="1"/>
  <c r="S1339" i="1"/>
  <c r="S1230" i="1"/>
  <c r="S333" i="1"/>
  <c r="S978" i="1"/>
  <c r="S1133" i="1"/>
  <c r="S42" i="1"/>
  <c r="S1340" i="1"/>
  <c r="S853" i="1"/>
  <c r="S637" i="1"/>
  <c r="S861" i="1"/>
  <c r="S215" i="1"/>
  <c r="S372" i="1"/>
  <c r="S356" i="1"/>
  <c r="S1341" i="1"/>
  <c r="S566" i="1"/>
  <c r="S1183" i="1"/>
  <c r="S930" i="1"/>
  <c r="S850" i="1"/>
  <c r="S877" i="1"/>
  <c r="S443" i="1"/>
  <c r="S427" i="1"/>
  <c r="S75" i="1"/>
  <c r="S888" i="1"/>
  <c r="S1051" i="1"/>
  <c r="S1255" i="1"/>
  <c r="S590" i="1"/>
  <c r="S345" i="1"/>
  <c r="S1045" i="1"/>
  <c r="S32" i="1"/>
  <c r="S108" i="1"/>
  <c r="S390" i="1"/>
  <c r="S973" i="1"/>
  <c r="S732" i="1"/>
  <c r="S1207" i="1"/>
  <c r="S323" i="1"/>
  <c r="S1068" i="1"/>
  <c r="S1263" i="1"/>
  <c r="S542" i="1"/>
  <c r="S45" i="1"/>
  <c r="S948" i="1"/>
  <c r="S1024" i="1"/>
  <c r="S992" i="1"/>
  <c r="S1261" i="1"/>
  <c r="S942" i="1"/>
  <c r="S514" i="1"/>
  <c r="S813" i="1"/>
  <c r="S1018" i="1"/>
  <c r="S506" i="1"/>
  <c r="S647" i="1"/>
  <c r="S536" i="1"/>
  <c r="S436" i="1"/>
  <c r="S1342" i="1"/>
  <c r="S57" i="1"/>
  <c r="S1020" i="1"/>
  <c r="S1343" i="1"/>
  <c r="S563" i="1"/>
  <c r="S882" i="1"/>
  <c r="S330" i="1"/>
  <c r="S998" i="1"/>
  <c r="S181" i="1"/>
  <c r="S472" i="1"/>
  <c r="S462" i="1"/>
  <c r="S334" i="1"/>
  <c r="S569" i="1"/>
  <c r="S1344" i="1"/>
  <c r="S771" i="1"/>
  <c r="S1145" i="1"/>
  <c r="S724" i="1"/>
  <c r="S1345" i="1"/>
  <c r="S900" i="1"/>
  <c r="S91" i="1"/>
  <c r="S1034" i="1"/>
  <c r="S571" i="1"/>
  <c r="S654" i="1"/>
  <c r="S1218" i="1"/>
  <c r="S908" i="1"/>
  <c r="S1017" i="1"/>
  <c r="S175" i="1"/>
  <c r="S336" i="1"/>
  <c r="S716" i="1"/>
  <c r="S1075" i="1"/>
  <c r="S1217" i="1"/>
  <c r="S860" i="1"/>
  <c r="S1078" i="1"/>
  <c r="S532" i="1"/>
  <c r="S504" i="1"/>
  <c r="S626" i="1"/>
  <c r="S1052" i="1"/>
  <c r="S812" i="1"/>
  <c r="S1346" i="1"/>
  <c r="S1347" i="1"/>
  <c r="S1348" i="1"/>
  <c r="S258" i="1"/>
  <c r="S1349" i="1"/>
  <c r="S1053" i="1"/>
  <c r="S1095" i="1"/>
  <c r="S598" i="1"/>
  <c r="S772" i="1"/>
  <c r="S180" i="1"/>
  <c r="S179" i="1"/>
  <c r="S743" i="1"/>
  <c r="S1247" i="1"/>
  <c r="S256" i="1"/>
  <c r="S619" i="1"/>
  <c r="S1046" i="1"/>
  <c r="S511" i="1"/>
  <c r="S1350" i="1"/>
  <c r="S255" i="1"/>
  <c r="S487" i="1"/>
  <c r="S655" i="1"/>
  <c r="S400" i="1"/>
  <c r="S361" i="1"/>
  <c r="S1351" i="1"/>
  <c r="S842" i="1"/>
  <c r="S696" i="1"/>
  <c r="S1352" i="1"/>
  <c r="T1352" i="1" s="1"/>
  <c r="S1353" i="1"/>
  <c r="S739" i="1"/>
  <c r="S876" i="1"/>
  <c r="S205" i="1"/>
  <c r="S641" i="1"/>
  <c r="S1354" i="1"/>
  <c r="S1105" i="1"/>
  <c r="S374" i="1"/>
  <c r="S269" i="1"/>
  <c r="S70" i="1"/>
  <c r="S711" i="1"/>
  <c r="S1001" i="1"/>
  <c r="S466" i="1"/>
  <c r="S650" i="1"/>
  <c r="S482" i="1"/>
  <c r="S840" i="1"/>
  <c r="S426" i="1"/>
  <c r="S422" i="1"/>
  <c r="S305" i="1"/>
  <c r="S136" i="1"/>
  <c r="S1355" i="1"/>
  <c r="S662" i="1"/>
  <c r="S1356" i="1"/>
  <c r="S1357" i="1"/>
  <c r="S460" i="1"/>
  <c r="S59" i="1"/>
  <c r="S1196" i="1"/>
  <c r="S1358" i="1"/>
  <c r="S779" i="1"/>
  <c r="S531" i="1"/>
  <c r="S250" i="1"/>
  <c r="S1222" i="1"/>
  <c r="S353" i="1"/>
  <c r="S1359" i="1"/>
  <c r="S1360" i="1"/>
  <c r="S51" i="1"/>
  <c r="S86" i="1"/>
  <c r="S1251" i="1"/>
  <c r="S194" i="1"/>
  <c r="S1361" i="1"/>
  <c r="S1362" i="1"/>
  <c r="S153" i="1"/>
  <c r="S693" i="1"/>
  <c r="S1363" i="1"/>
  <c r="S602" i="1"/>
  <c r="S769" i="1"/>
  <c r="S165" i="1"/>
  <c r="S447" i="1"/>
  <c r="S142" i="1"/>
  <c r="S1364" i="1"/>
  <c r="T1364" i="1" s="1"/>
  <c r="S806" i="1"/>
  <c r="S594" i="1"/>
  <c r="S1365" i="1"/>
  <c r="S1101" i="1"/>
  <c r="S21" i="1"/>
  <c r="S1149" i="1"/>
  <c r="S15" i="1"/>
  <c r="S627" i="1"/>
  <c r="S448" i="1"/>
  <c r="S670" i="1"/>
  <c r="S309" i="1"/>
  <c r="S161" i="1"/>
  <c r="S1036" i="1"/>
  <c r="S304" i="1"/>
  <c r="S1276" i="1"/>
  <c r="S416" i="1"/>
  <c r="S760" i="1"/>
  <c r="S1366" i="1"/>
  <c r="S1367" i="1"/>
  <c r="S1368" i="1"/>
  <c r="S1262" i="1"/>
  <c r="S366" i="1"/>
  <c r="S1161" i="1"/>
  <c r="S580" i="1"/>
  <c r="S1369" i="1"/>
  <c r="S1067" i="1"/>
  <c r="S1125" i="1"/>
  <c r="S1171" i="1"/>
  <c r="S12" i="1"/>
  <c r="S1370" i="1"/>
  <c r="S1371" i="1"/>
  <c r="S281" i="1"/>
  <c r="S102" i="1"/>
  <c r="S1372" i="1"/>
  <c r="S889" i="1"/>
  <c r="S501" i="1"/>
  <c r="S104" i="1"/>
  <c r="S328" i="1"/>
  <c r="S233" i="1"/>
  <c r="S1373" i="1"/>
  <c r="S597" i="1"/>
  <c r="S409" i="1"/>
  <c r="S634" i="1"/>
  <c r="S1374" i="1"/>
  <c r="S518" i="1"/>
  <c r="S1375" i="1"/>
  <c r="S67" i="1"/>
  <c r="S820" i="1"/>
  <c r="S986" i="1"/>
  <c r="S1376" i="1"/>
  <c r="S457" i="1"/>
  <c r="S187" i="1"/>
  <c r="S1237" i="1"/>
  <c r="S652" i="1"/>
  <c r="S971" i="1"/>
  <c r="S1377" i="1"/>
  <c r="S847" i="1"/>
  <c r="S1136" i="1"/>
  <c r="S1189" i="1"/>
  <c r="S349" i="1"/>
  <c r="S359" i="1"/>
  <c r="S904" i="1"/>
  <c r="S1140" i="1"/>
  <c r="S621" i="1"/>
  <c r="S648" i="1"/>
  <c r="S1231" i="1"/>
  <c r="S810" i="1"/>
  <c r="S727" i="1"/>
  <c r="S1378" i="1"/>
  <c r="S397" i="1"/>
  <c r="S928" i="1"/>
  <c r="S44" i="1"/>
  <c r="S1120" i="1"/>
  <c r="S731" i="1"/>
  <c r="S510" i="1"/>
  <c r="S68" i="1"/>
  <c r="S1151" i="1"/>
  <c r="S862" i="1"/>
  <c r="S991" i="1"/>
  <c r="S790" i="1"/>
  <c r="S393" i="1"/>
  <c r="S839" i="1"/>
  <c r="S1155" i="1"/>
  <c r="S362" i="1"/>
  <c r="S804" i="1"/>
  <c r="S1055" i="1"/>
  <c r="S418" i="1"/>
  <c r="S936" i="1"/>
  <c r="S126" i="1"/>
  <c r="S1072" i="1"/>
  <c r="S61" i="1"/>
  <c r="S112" i="1"/>
  <c r="S459" i="1"/>
  <c r="S550" i="1"/>
  <c r="S1379" i="1"/>
  <c r="S1109" i="1"/>
  <c r="S1164" i="1"/>
  <c r="S124" i="1"/>
  <c r="S468" i="1"/>
  <c r="S1380" i="1"/>
  <c r="S1381" i="1"/>
  <c r="S1382" i="1"/>
  <c r="S378" i="1"/>
  <c r="S940" i="1"/>
  <c r="S694" i="1"/>
  <c r="S1016" i="1"/>
  <c r="S607" i="1"/>
  <c r="S1176" i="1"/>
  <c r="S493" i="1"/>
  <c r="S1383" i="1"/>
  <c r="S389" i="1"/>
  <c r="S272" i="1"/>
  <c r="S1102" i="1"/>
  <c r="S931" i="1"/>
  <c r="S899" i="1"/>
  <c r="S1384" i="1"/>
  <c r="S798" i="1"/>
  <c r="S395" i="1"/>
  <c r="S1228" i="1"/>
  <c r="S381" i="1"/>
  <c r="S351" i="1"/>
  <c r="S1106" i="1"/>
  <c r="S592" i="1"/>
  <c r="S521" i="1"/>
  <c r="S643" i="1"/>
  <c r="S384" i="1"/>
  <c r="S909" i="1"/>
  <c r="S1112" i="1"/>
  <c r="S768" i="1"/>
  <c r="S1385" i="1"/>
  <c r="S873" i="1"/>
  <c r="S320" i="1"/>
  <c r="S452" i="1"/>
  <c r="S186" i="1"/>
  <c r="S720" i="1"/>
  <c r="S103" i="1"/>
  <c r="S107" i="1"/>
  <c r="S1100" i="1"/>
  <c r="S784" i="1"/>
  <c r="S581" i="1"/>
  <c r="S1246" i="1"/>
  <c r="S999" i="1"/>
  <c r="S22" i="1"/>
  <c r="S913" i="1"/>
  <c r="S1386" i="1"/>
  <c r="S1122" i="1"/>
  <c r="S1047" i="1"/>
  <c r="S461" i="1"/>
  <c r="S946" i="1"/>
  <c r="S440" i="1"/>
  <c r="S1165" i="1"/>
  <c r="S96" i="1"/>
  <c r="S1234" i="1"/>
  <c r="S646" i="1"/>
  <c r="S1178" i="1"/>
  <c r="S1197" i="1"/>
  <c r="S69" i="1"/>
  <c r="S446" i="1"/>
  <c r="S1387" i="1"/>
  <c r="S405" i="1"/>
  <c r="S678" i="1"/>
  <c r="S388" i="1"/>
  <c r="S94" i="1"/>
  <c r="S1388" i="1"/>
  <c r="S37" i="1"/>
  <c r="S699" i="1"/>
  <c r="S170" i="1"/>
  <c r="S507" i="1"/>
  <c r="S1168" i="1"/>
  <c r="S886" i="1"/>
  <c r="S805" i="1"/>
  <c r="S1389" i="1"/>
  <c r="S1110" i="1"/>
  <c r="S496" i="1"/>
  <c r="S911" i="1"/>
  <c r="S1206" i="1"/>
  <c r="S1390" i="1"/>
  <c r="S1088" i="1"/>
  <c r="S1081" i="1"/>
  <c r="S1391" i="1"/>
  <c r="S1147" i="1"/>
  <c r="S994" i="1"/>
  <c r="S184" i="1"/>
  <c r="S1392" i="1"/>
  <c r="S216" i="1"/>
  <c r="S1243" i="1"/>
  <c r="S313" i="1"/>
  <c r="S1015" i="1"/>
  <c r="S701" i="1"/>
  <c r="S1257" i="1"/>
  <c r="S1208" i="1"/>
  <c r="S953" i="1"/>
  <c r="S365" i="1"/>
  <c r="S879" i="1"/>
  <c r="S789" i="1"/>
  <c r="S152" i="1"/>
  <c r="S101" i="1"/>
  <c r="S728" i="1"/>
  <c r="S1393" i="1"/>
  <c r="S1394" i="1"/>
  <c r="S863" i="1"/>
  <c r="S43" i="1"/>
  <c r="S1395" i="1"/>
  <c r="S653" i="1"/>
  <c r="S1083" i="1"/>
  <c r="S478" i="1"/>
  <c r="S282" i="1"/>
  <c r="S490" i="1"/>
  <c r="S1124" i="1"/>
  <c r="S718" i="1"/>
  <c r="S1396" i="1"/>
  <c r="S859" i="1"/>
  <c r="S190" i="1"/>
  <c r="S1225" i="1"/>
  <c r="S935" i="1"/>
  <c r="S895" i="1"/>
  <c r="S697" i="1"/>
  <c r="S1267" i="1"/>
  <c r="S1397" i="1"/>
  <c r="S1111" i="1"/>
  <c r="S1398" i="1"/>
  <c r="S631" i="1"/>
  <c r="S666" i="1"/>
  <c r="S579" i="1"/>
  <c r="S121" i="1"/>
  <c r="S89" i="1"/>
  <c r="S322" i="1"/>
  <c r="S1035" i="1"/>
  <c r="S1399" i="1"/>
  <c r="S983" i="1"/>
  <c r="S1400" i="1"/>
  <c r="S1401" i="1"/>
  <c r="S28" i="1"/>
  <c r="S1041" i="1"/>
  <c r="S1402" i="1"/>
  <c r="S934" i="1"/>
  <c r="S663" i="1"/>
  <c r="S943" i="1"/>
  <c r="S870" i="1"/>
  <c r="S31" i="1"/>
  <c r="S1403" i="1"/>
  <c r="S1061" i="1"/>
  <c r="S403" i="1"/>
  <c r="S958" i="1"/>
  <c r="S394" i="1"/>
  <c r="S635" i="1"/>
  <c r="S828" i="1"/>
  <c r="S197" i="1"/>
  <c r="S144" i="1"/>
  <c r="S1080" i="1"/>
  <c r="S906" i="1"/>
  <c r="S14" i="1"/>
  <c r="S838" i="1"/>
  <c r="S9" i="1"/>
  <c r="S754" i="1"/>
  <c r="S972" i="1"/>
  <c r="S1404" i="1"/>
  <c r="S145" i="1"/>
  <c r="S18" i="1"/>
  <c r="S17" i="1"/>
  <c r="S1070" i="1"/>
  <c r="S283" i="1"/>
  <c r="S745" i="1"/>
  <c r="S1405" i="1"/>
  <c r="S1233" i="1"/>
  <c r="S752" i="1"/>
  <c r="S508" i="1"/>
  <c r="S783" i="1"/>
  <c r="S162" i="1"/>
  <c r="S1406" i="1"/>
  <c r="S572" i="1"/>
  <c r="S355" i="1"/>
  <c r="S1091" i="1"/>
  <c r="T1091" i="1" s="1"/>
  <c r="S470" i="1"/>
  <c r="S477" i="1"/>
  <c r="S907" i="1"/>
  <c r="S757" i="1"/>
  <c r="S1407" i="1"/>
  <c r="S402" i="1"/>
  <c r="S833" i="1"/>
  <c r="S1408" i="1"/>
  <c r="S437" i="1"/>
  <c r="S1181" i="1"/>
  <c r="S901" i="1"/>
  <c r="S363" i="1"/>
  <c r="S500" i="1"/>
  <c r="S546" i="1"/>
  <c r="S265" i="1"/>
  <c r="S894" i="1"/>
  <c r="S1409" i="1"/>
  <c r="S1239" i="1"/>
  <c r="S344" i="1"/>
  <c r="S600" i="1"/>
  <c r="S924" i="1"/>
  <c r="S11" i="1"/>
  <c r="S1410" i="1"/>
  <c r="S123" i="1"/>
  <c r="S917" i="1"/>
  <c r="S1411" i="1"/>
  <c r="S1117" i="1"/>
  <c r="S1412" i="1"/>
  <c r="S1012" i="1"/>
  <c r="S234" i="1"/>
  <c r="T234" i="1" s="1"/>
  <c r="S92" i="1"/>
  <c r="S183" i="1"/>
  <c r="S1413" i="1"/>
  <c r="S1057" i="1"/>
  <c r="S1414" i="1"/>
  <c r="S439" i="1"/>
  <c r="S1226" i="1"/>
  <c r="S52" i="1"/>
  <c r="S209" i="1"/>
  <c r="S841" i="1"/>
  <c r="T841" i="1" s="1"/>
  <c r="S517" i="1"/>
  <c r="S686" i="1"/>
  <c r="S1415" i="1"/>
  <c r="S1179" i="1"/>
  <c r="S1416" i="1"/>
  <c r="S271" i="1"/>
  <c r="S781" i="1"/>
  <c r="S1087" i="1"/>
  <c r="S78" i="1"/>
  <c r="S1417" i="1"/>
  <c r="S1418" i="1"/>
  <c r="S1248" i="1"/>
  <c r="S1419" i="1"/>
  <c r="S1137" i="1"/>
  <c r="S717" i="1"/>
  <c r="S241" i="1"/>
  <c r="S891" i="1"/>
  <c r="S788" i="1"/>
  <c r="S82" i="1"/>
  <c r="T82" i="1" s="1"/>
  <c r="S644" i="1"/>
  <c r="S802" i="1"/>
  <c r="S1215" i="1"/>
  <c r="S228" i="1"/>
  <c r="S335" i="1"/>
  <c r="S456" i="1"/>
  <c r="S122" i="1"/>
  <c r="S523" i="1"/>
  <c r="S1420" i="1"/>
  <c r="S528" i="1"/>
  <c r="S589" i="1"/>
  <c r="T589" i="1" s="1"/>
  <c r="S1186" i="1"/>
  <c r="S1086" i="1"/>
  <c r="S1195" i="1"/>
  <c r="S1173" i="1"/>
  <c r="S539" i="1"/>
  <c r="S938" i="1"/>
  <c r="S649" i="1"/>
  <c r="S25" i="1"/>
  <c r="S864" i="1"/>
  <c r="S237" i="1"/>
  <c r="S705" i="1"/>
  <c r="S893" i="1"/>
  <c r="S548" i="1"/>
  <c r="S173" i="1"/>
  <c r="S1076" i="1"/>
  <c r="S982" i="1"/>
  <c r="S1421" i="1"/>
  <c r="S13" i="1"/>
  <c r="S1422" i="1"/>
  <c r="T1422" i="1" s="1"/>
  <c r="S689" i="1"/>
  <c r="T689" i="1" s="1"/>
  <c r="S1423" i="1"/>
  <c r="S382" i="1"/>
  <c r="S270" i="1"/>
  <c r="S910" i="1"/>
  <c r="S284" i="1"/>
  <c r="S150" i="1"/>
  <c r="S1089" i="1"/>
  <c r="S1271" i="1"/>
  <c r="S253" i="1"/>
  <c r="S251" i="1"/>
  <c r="T251" i="1" s="1"/>
  <c r="S945" i="1"/>
  <c r="S1424" i="1"/>
  <c r="S1425" i="1"/>
  <c r="S77" i="1"/>
  <c r="S871" i="1"/>
  <c r="S774" i="1"/>
  <c r="S491" i="1"/>
  <c r="S23" i="1"/>
  <c r="S1242" i="1"/>
  <c r="S1131" i="1"/>
  <c r="S411" i="1"/>
  <c r="S846" i="1"/>
  <c r="S526" i="1"/>
  <c r="S707" i="1"/>
  <c r="S1010" i="1"/>
  <c r="S300" i="1"/>
  <c r="S98" i="1"/>
  <c r="S947" i="1"/>
  <c r="S27" i="1"/>
  <c r="S1426" i="1"/>
  <c r="T1426" i="1" s="1"/>
  <c r="S1427" i="1"/>
  <c r="S1428" i="1"/>
  <c r="S56" i="1"/>
  <c r="S815" i="1"/>
  <c r="S832" i="1"/>
  <c r="S562" i="1"/>
  <c r="S997" i="1"/>
  <c r="S406" i="1"/>
  <c r="S172" i="1"/>
  <c r="S1211" i="1"/>
  <c r="S642" i="1"/>
  <c r="S280" i="1"/>
  <c r="S198" i="1"/>
  <c r="S703" i="1"/>
  <c r="S884" i="1"/>
  <c r="S629" i="1"/>
  <c r="S1097" i="1"/>
  <c r="S1429" i="1"/>
  <c r="S64" i="1"/>
  <c r="T64" i="1" s="1"/>
  <c r="S1430" i="1"/>
  <c r="S220" i="1"/>
  <c r="S245" i="1"/>
  <c r="S1278" i="1"/>
  <c r="S795" i="1"/>
  <c r="S257" i="1"/>
  <c r="S1085" i="1"/>
  <c r="S81" i="1"/>
  <c r="S1252" i="1"/>
  <c r="S232" i="1"/>
  <c r="S878" i="1"/>
  <c r="S1142" i="1"/>
  <c r="S770" i="1"/>
  <c r="S415" i="1"/>
  <c r="S857" i="1"/>
  <c r="S700" i="1"/>
  <c r="S1431" i="1"/>
  <c r="S1266" i="1"/>
  <c r="S499" i="1"/>
  <c r="S1126" i="1"/>
  <c r="S1236" i="1"/>
  <c r="S116" i="1"/>
  <c r="S1264" i="1"/>
  <c r="S823" i="1"/>
  <c r="S1432" i="1"/>
  <c r="S62" i="1"/>
  <c r="S875" i="1"/>
  <c r="S1277" i="1"/>
  <c r="S310" i="1"/>
  <c r="S431" i="1"/>
  <c r="S117" i="1"/>
  <c r="T117" i="1" s="1"/>
  <c r="S35" i="1"/>
  <c r="S605" i="1"/>
  <c r="S673" i="1"/>
  <c r="S1113" i="1"/>
  <c r="S872" i="1"/>
  <c r="S1221" i="1"/>
  <c r="S658" i="1"/>
  <c r="S1433" i="1"/>
  <c r="S753" i="1"/>
  <c r="S555" i="1"/>
  <c r="S530" i="1"/>
  <c r="S1434" i="1"/>
  <c r="S377" i="1"/>
  <c r="S7" i="1"/>
  <c r="S698" i="1"/>
  <c r="S140" i="1"/>
  <c r="S497" i="1"/>
  <c r="S1074" i="1"/>
  <c r="S486" i="1"/>
  <c r="S174" i="1"/>
  <c r="S714" i="1"/>
  <c r="S434" i="1"/>
  <c r="S1153" i="1"/>
  <c r="S1435" i="1"/>
  <c r="S151" i="1"/>
  <c r="S421" i="1"/>
  <c r="S432" i="1"/>
  <c r="S1098" i="1"/>
  <c r="S1170" i="1"/>
  <c r="S1436" i="1"/>
  <c r="S604" i="1"/>
  <c r="S80" i="1"/>
  <c r="S259" i="1"/>
  <c r="S325" i="1"/>
  <c r="S1437" i="1"/>
  <c r="S1438" i="1"/>
  <c r="S475" i="1"/>
  <c r="S204" i="1"/>
  <c r="S613" i="1"/>
  <c r="S358" i="1"/>
  <c r="S34" i="1"/>
  <c r="S1108" i="1"/>
  <c r="S756" i="1"/>
  <c r="S1439" i="1"/>
  <c r="S522" i="1"/>
  <c r="S474" i="1"/>
  <c r="S782" i="1"/>
  <c r="S166" i="1"/>
  <c r="S855" i="1"/>
  <c r="S1440" i="1"/>
  <c r="S746" i="1"/>
  <c r="S134" i="1"/>
  <c r="S1253" i="1"/>
  <c r="S664" i="1"/>
  <c r="S737" i="1"/>
  <c r="S433" i="1"/>
  <c r="S543" i="1"/>
  <c r="S1441" i="1"/>
  <c r="S512" i="1"/>
  <c r="S2" i="1"/>
  <c r="S831" i="1"/>
  <c r="S603" i="1"/>
  <c r="S551" i="1"/>
  <c r="S773" i="1"/>
  <c r="S785" i="1"/>
  <c r="S949" i="1"/>
  <c r="S340" i="1"/>
  <c r="S1191" i="1"/>
  <c r="S959" i="1"/>
  <c r="S266" i="1"/>
  <c r="S428" i="1"/>
  <c r="S816" i="1"/>
  <c r="S685" i="1"/>
  <c r="S1025" i="1"/>
  <c r="S127" i="1"/>
  <c r="S1442" i="1"/>
  <c r="S749" i="1"/>
  <c r="S1065" i="1"/>
  <c r="S767" i="1"/>
  <c r="S587" i="1"/>
  <c r="S671" i="1"/>
  <c r="S285" i="1"/>
  <c r="S1210" i="1"/>
  <c r="S1443" i="1"/>
  <c r="S568" i="1"/>
  <c r="S606" i="1"/>
  <c r="S1099" i="1"/>
  <c r="S874" i="1"/>
  <c r="S1444" i="1"/>
  <c r="S489" i="1"/>
  <c r="T489" i="1" s="1"/>
  <c r="S1009" i="1"/>
  <c r="S1445" i="1"/>
  <c r="S417" i="1"/>
  <c r="S1446" i="1"/>
  <c r="S575" i="1"/>
  <c r="S450" i="1"/>
  <c r="S293" i="1"/>
  <c r="S196" i="1"/>
  <c r="S1447" i="1"/>
  <c r="S1448" i="1"/>
  <c r="S681" i="1"/>
  <c r="S965" i="1"/>
  <c r="S1037" i="1"/>
  <c r="S676" i="1"/>
  <c r="S677" i="1"/>
  <c r="S963" i="1"/>
  <c r="S668" i="1"/>
  <c r="S1449" i="1"/>
  <c r="S1049" i="1"/>
  <c r="S970" i="1"/>
  <c r="S1450" i="1"/>
  <c r="S129" i="1"/>
  <c r="S295" i="1"/>
  <c r="S525" i="1"/>
  <c r="S1451" i="1"/>
  <c r="S618" i="1"/>
  <c r="S24" i="1"/>
  <c r="S1452" i="1"/>
  <c r="S1453" i="1"/>
  <c r="S793" i="1"/>
  <c r="S1056" i="1"/>
  <c r="S1040" i="1"/>
  <c r="S914" i="1"/>
  <c r="S740" i="1"/>
  <c r="S139" i="1"/>
  <c r="S929" i="1"/>
  <c r="S939" i="1"/>
  <c r="S238" i="1"/>
  <c r="S125" i="1"/>
  <c r="S638" i="1"/>
  <c r="S451" i="1"/>
  <c r="S1454" i="1"/>
  <c r="S308" i="1"/>
  <c r="S1273" i="1"/>
  <c r="S1455" i="1"/>
  <c r="S801" i="1"/>
  <c r="S276" i="1"/>
  <c r="S1456" i="1"/>
  <c r="S46" i="1"/>
  <c r="S1216" i="1"/>
  <c r="S545" i="1"/>
  <c r="S246" i="1"/>
  <c r="S557" i="1"/>
  <c r="S1138" i="1"/>
  <c r="S149" i="1"/>
  <c r="S193" i="1"/>
  <c r="S1457" i="1"/>
  <c r="S529" i="1"/>
  <c r="S1096" i="1"/>
  <c r="S401" i="1"/>
  <c r="S574" i="1"/>
  <c r="S1190" i="1"/>
  <c r="S445" i="1"/>
  <c r="S298" i="1"/>
  <c r="S800" i="1"/>
  <c r="S639" i="1"/>
  <c r="S47" i="1"/>
  <c r="S1458" i="1"/>
  <c r="S1270" i="1"/>
  <c r="S1005" i="1"/>
  <c r="S1459" i="1"/>
  <c r="S385" i="1"/>
  <c r="S1038" i="1"/>
  <c r="S1090" i="1"/>
  <c r="S1460" i="1"/>
  <c r="S690" i="1"/>
  <c r="S570" i="1"/>
  <c r="S1272" i="1"/>
  <c r="S560" i="1"/>
  <c r="S656" i="1"/>
  <c r="S1198" i="1"/>
  <c r="S763" i="1"/>
  <c r="S120" i="1"/>
  <c r="S1200" i="1"/>
  <c r="S137" i="1"/>
  <c r="S1461" i="1"/>
  <c r="S609" i="1"/>
  <c r="S1269" i="1"/>
  <c r="S885" i="1"/>
  <c r="S1462" i="1"/>
  <c r="S410" i="1"/>
  <c r="S984" i="1"/>
  <c r="S1060" i="1"/>
  <c r="S317" i="1"/>
  <c r="S896" i="1"/>
  <c r="S1260" i="1"/>
  <c r="S1166" i="1"/>
  <c r="S1006" i="1"/>
  <c r="S556" i="1"/>
  <c r="S1265" i="1"/>
  <c r="S1059" i="1"/>
  <c r="S951" i="1"/>
  <c r="S814" i="1"/>
  <c r="S960" i="1"/>
  <c r="S454" i="1"/>
  <c r="S244" i="1"/>
  <c r="S100" i="1"/>
  <c r="S176" i="1"/>
  <c r="S1235" i="1"/>
  <c r="S748" i="1"/>
  <c r="S1130" i="1"/>
  <c r="S1132" i="1"/>
  <c r="S217" i="1"/>
  <c r="S1463" i="1"/>
  <c r="S623" i="1"/>
  <c r="S1031" i="1"/>
  <c r="S657" i="1"/>
  <c r="S1464" i="1"/>
  <c r="S213" i="1"/>
  <c r="S492" i="1"/>
  <c r="S565" i="1"/>
  <c r="S780" i="1"/>
  <c r="S883" i="1"/>
  <c r="S865" i="1"/>
  <c r="S1465" i="1"/>
  <c r="S836" i="1"/>
  <c r="S1466" i="1"/>
  <c r="S337" i="1"/>
  <c r="S1467" i="1"/>
  <c r="S573" i="1"/>
  <c r="S544" i="1"/>
  <c r="S1123" i="1"/>
  <c r="S367" i="1"/>
  <c r="S326" i="1"/>
  <c r="S941" i="1"/>
  <c r="S1468" i="1"/>
  <c r="S1256" i="1"/>
  <c r="S425" i="1"/>
  <c r="S628" i="1"/>
  <c r="S132" i="1"/>
  <c r="S1043" i="1"/>
  <c r="S202" i="1"/>
  <c r="S818" i="1"/>
  <c r="S58" i="1"/>
  <c r="S303" i="1"/>
  <c r="S687" i="1"/>
  <c r="S157" i="1"/>
  <c r="S712" i="1"/>
  <c r="S455" i="1"/>
  <c r="S147" i="1"/>
  <c r="S588" i="1"/>
  <c r="S63" i="1"/>
  <c r="S469" i="1"/>
  <c r="S921" i="1"/>
  <c r="S85" i="1"/>
  <c r="S1268" i="1"/>
  <c r="S1019" i="1"/>
  <c r="T1019" i="1" s="1"/>
  <c r="S1107" i="1"/>
  <c r="S1229" i="1"/>
  <c r="S115" i="1"/>
  <c r="S247" i="1"/>
  <c r="S665" i="1"/>
  <c r="S764" i="1"/>
  <c r="S1118" i="1"/>
  <c r="S1021" i="1"/>
  <c r="S1202" i="1"/>
  <c r="S898" i="1"/>
  <c r="S1469" i="1"/>
  <c r="S210" i="1"/>
  <c r="T210" i="1" s="1"/>
  <c r="S868" i="1"/>
  <c r="T868" i="1" s="1"/>
  <c r="S1470" i="1"/>
  <c r="S114" i="1"/>
  <c r="S189" i="1"/>
  <c r="S915" i="1"/>
  <c r="S750" i="1"/>
  <c r="S154" i="1"/>
  <c r="S710" i="1"/>
  <c r="S1471" i="1"/>
  <c r="S76" i="1"/>
  <c r="S1472" i="1"/>
  <c r="S243" i="1"/>
  <c r="S1002" i="1"/>
  <c r="S316" i="1"/>
  <c r="S360" i="1"/>
  <c r="S1143" i="1"/>
  <c r="S1473" i="1"/>
  <c r="S792" i="1"/>
  <c r="S1474" i="1"/>
  <c r="S680" i="1"/>
  <c r="S660" i="1"/>
  <c r="S927" i="1"/>
  <c r="S1082" i="1"/>
  <c r="S866" i="1"/>
  <c r="S1475" i="1"/>
  <c r="S1476" i="1"/>
  <c r="S97" i="1"/>
  <c r="S1114" i="1"/>
  <c r="S858" i="1"/>
  <c r="S674" i="1"/>
  <c r="S995" i="1"/>
  <c r="S1141" i="1"/>
  <c r="S1042" i="1"/>
  <c r="S912" i="1"/>
  <c r="S1477" i="1"/>
  <c r="S659" i="1"/>
  <c r="S1478" i="1"/>
  <c r="S286" i="1"/>
  <c r="S60" i="1"/>
  <c r="S966" i="1"/>
  <c r="S200" i="1"/>
  <c r="S214" i="1"/>
  <c r="S974" i="1"/>
  <c r="S476" i="1"/>
  <c r="S1199" i="1"/>
  <c r="S747" i="1"/>
  <c r="S989" i="1"/>
  <c r="S632" i="1"/>
  <c r="S224" i="1"/>
  <c r="S902" i="1"/>
  <c r="S1479" i="1"/>
  <c r="S585" i="1"/>
  <c r="S922" i="1"/>
  <c r="S346" i="1"/>
  <c r="S239" i="1"/>
  <c r="S937" i="1"/>
  <c r="S541" i="1"/>
  <c r="S923" i="1"/>
  <c r="S582" i="1"/>
  <c r="S622" i="1"/>
  <c r="S706" i="1"/>
  <c r="S890" i="1"/>
  <c r="S766" i="1"/>
  <c r="S1480" i="1"/>
  <c r="S423" i="1"/>
  <c r="S36" i="1"/>
  <c r="S633" i="1"/>
  <c r="S1481" i="1"/>
  <c r="S534" i="1"/>
  <c r="S1482" i="1"/>
  <c r="S93" i="1"/>
  <c r="S188" i="1"/>
  <c r="S118" i="1"/>
  <c r="S1182" i="1"/>
  <c r="S733" i="1"/>
  <c r="S758" i="1"/>
  <c r="S49" i="1"/>
  <c r="S1004" i="1"/>
  <c r="S1054" i="1"/>
  <c r="S1232" i="1"/>
  <c r="S1483" i="1"/>
  <c r="S1484" i="1"/>
  <c r="S515" i="1"/>
  <c r="S248" i="1"/>
  <c r="S279" i="1"/>
  <c r="S903" i="1"/>
  <c r="S1128" i="1"/>
  <c r="S130" i="1"/>
  <c r="S347" i="1"/>
  <c r="S708" i="1"/>
  <c r="S586" i="1"/>
  <c r="S1205" i="1"/>
  <c r="S1192" i="1"/>
  <c r="S348" i="1"/>
  <c r="S159" i="1"/>
  <c r="S343" i="1"/>
  <c r="S616" i="1"/>
  <c r="S1204" i="1"/>
  <c r="S1119" i="1"/>
  <c r="S368" i="1"/>
  <c r="S1150" i="1"/>
  <c r="S314" i="1"/>
  <c r="S1485" i="1"/>
  <c r="S464" i="1"/>
  <c r="S424" i="1"/>
  <c r="S167" i="1"/>
  <c r="S10" i="1"/>
  <c r="S1048" i="1"/>
  <c r="S41" i="1"/>
  <c r="S1084" i="1"/>
  <c r="S564" i="1"/>
  <c r="S392" i="1"/>
  <c r="S203" i="1"/>
  <c r="S40" i="1"/>
  <c r="S625" i="1"/>
  <c r="S192" i="1"/>
  <c r="S109" i="1"/>
  <c r="S1146" i="1"/>
  <c r="S1079" i="1"/>
  <c r="S1486" i="1"/>
  <c r="S141" i="1"/>
  <c r="S916" i="1"/>
  <c r="S254" i="1"/>
  <c r="S704" i="1"/>
  <c r="S379" i="1"/>
  <c r="S1487" i="1"/>
  <c r="S925" i="1"/>
  <c r="S1209" i="1"/>
  <c r="S48" i="1"/>
  <c r="S617" i="1"/>
  <c r="S1011" i="1"/>
  <c r="S339" i="1"/>
  <c r="S919" i="1"/>
  <c r="S338" i="1"/>
  <c r="S399" i="1"/>
  <c r="S567" i="1"/>
  <c r="S1488" i="1"/>
  <c r="S880" i="1"/>
  <c r="S977" i="1"/>
  <c r="S988" i="1"/>
  <c r="S684" i="1"/>
  <c r="T684" i="1" s="1"/>
  <c r="S84" i="1"/>
  <c r="S105" i="1"/>
  <c r="S236" i="1"/>
  <c r="S987" i="1"/>
  <c r="S1175" i="1"/>
  <c r="S95" i="1"/>
  <c r="S961" i="1"/>
  <c r="S849" i="1"/>
  <c r="S630" i="1"/>
  <c r="S651" i="1"/>
  <c r="S318" i="1"/>
  <c r="S231" i="1"/>
  <c r="S287" i="1"/>
  <c r="S1174" i="1"/>
  <c r="S364" i="1"/>
  <c r="S463" i="1"/>
  <c r="S591" i="1"/>
  <c r="S1489" i="1"/>
  <c r="S352" i="1"/>
  <c r="T352" i="1" s="1"/>
  <c r="S128" i="1"/>
  <c r="T128" i="1" s="1"/>
  <c r="S799" i="1"/>
  <c r="S483" i="1"/>
  <c r="S1490" i="1"/>
  <c r="S273" i="1"/>
  <c r="S547" i="1"/>
  <c r="S881" i="1"/>
  <c r="S229" i="1"/>
  <c r="S88" i="1"/>
  <c r="S1220" i="1"/>
  <c r="S721" i="1"/>
  <c r="S558" i="1"/>
  <c r="S449" i="1"/>
  <c r="S736" i="1"/>
  <c r="S835" i="1"/>
  <c r="S848" i="1"/>
  <c r="S826" i="1"/>
  <c r="S1491" i="1"/>
  <c r="S1492" i="1"/>
  <c r="S719" i="1"/>
  <c r="T719" i="1" s="1"/>
  <c r="S396" i="1"/>
  <c r="S223" i="1"/>
  <c r="S825" i="1"/>
  <c r="S1240" i="1"/>
  <c r="S524" i="1"/>
  <c r="S1139" i="1"/>
  <c r="S74" i="1"/>
  <c r="S206" i="1"/>
  <c r="S33" i="1"/>
  <c r="S1493" i="1"/>
  <c r="S1180" i="1"/>
  <c r="S1156" i="1"/>
  <c r="S692" i="1"/>
  <c r="S1259" i="1"/>
  <c r="S407" i="1"/>
  <c r="S1494" i="1"/>
  <c r="S1495" i="1"/>
  <c r="S527" i="1"/>
  <c r="S289" i="1"/>
  <c r="S679" i="1"/>
  <c r="S1144" i="1"/>
  <c r="S1496" i="1"/>
  <c r="S533" i="1"/>
  <c r="S1159" i="1"/>
  <c r="S1066" i="1"/>
  <c r="S119" i="1"/>
  <c r="S505" i="1"/>
  <c r="S473" i="1"/>
  <c r="S852" i="1"/>
  <c r="S1497" i="1"/>
  <c r="S1094" i="1"/>
  <c r="S207" i="1"/>
  <c r="S453" i="1"/>
  <c r="S577" i="1"/>
  <c r="S742" i="1"/>
  <c r="S791" i="1"/>
  <c r="S290" i="1"/>
  <c r="S843" i="1"/>
  <c r="S933" i="1"/>
  <c r="S809" i="1"/>
  <c r="S441" i="1"/>
  <c r="S1169" i="1"/>
  <c r="S350" i="1"/>
  <c r="S869" i="1"/>
  <c r="S1498" i="1"/>
  <c r="S169" i="1"/>
  <c r="S375" i="1"/>
  <c r="S615" i="1"/>
  <c r="S26" i="1"/>
  <c r="S324" i="1"/>
  <c r="S435" i="1"/>
  <c r="S307" i="1"/>
  <c r="S776" i="1"/>
  <c r="S1499" i="1"/>
  <c r="S640" i="1"/>
  <c r="S1241" i="1"/>
  <c r="S376" i="1"/>
  <c r="S1500" i="1"/>
  <c r="S1501" i="1"/>
  <c r="S296" i="1"/>
  <c r="R296" i="1"/>
  <c r="B54" i="5" l="1"/>
  <c r="T396" i="1"/>
  <c r="T132" i="1"/>
  <c r="T573" i="1"/>
  <c r="T1005" i="1"/>
  <c r="T628" i="1"/>
  <c r="W1500" i="1"/>
  <c r="W615" i="1"/>
  <c r="W843" i="1"/>
  <c r="W473" i="1"/>
  <c r="W527" i="1"/>
  <c r="W206" i="1"/>
  <c r="W1491" i="1"/>
  <c r="W229" i="1"/>
  <c r="T1312" i="1"/>
  <c r="W961" i="1"/>
  <c r="W1048" i="1"/>
  <c r="W1004" i="1"/>
  <c r="W710" i="1"/>
  <c r="W609" i="1"/>
  <c r="W47" i="1"/>
  <c r="W668" i="1"/>
  <c r="W475" i="1"/>
  <c r="W1277" i="1"/>
  <c r="W491" i="1"/>
  <c r="W781" i="1"/>
  <c r="W1226" i="1"/>
  <c r="W869" i="1"/>
  <c r="W1240" i="1"/>
  <c r="W704" i="1"/>
  <c r="W1182" i="1"/>
  <c r="W912" i="1"/>
  <c r="W316" i="1"/>
  <c r="W189" i="1"/>
  <c r="W469" i="1"/>
  <c r="W883" i="1"/>
  <c r="W673" i="1"/>
  <c r="W533" i="1"/>
  <c r="T988" i="1"/>
  <c r="T1482" i="1"/>
  <c r="T902" i="1"/>
  <c r="T76" i="1"/>
  <c r="T1467" i="1"/>
  <c r="T560" i="1"/>
  <c r="T1270" i="1"/>
  <c r="T855" i="1"/>
  <c r="T431" i="1"/>
  <c r="T344" i="1"/>
  <c r="W1114" i="1"/>
  <c r="W657" i="1"/>
  <c r="W276" i="1"/>
  <c r="W749" i="1"/>
  <c r="W658" i="1"/>
  <c r="W98" i="1"/>
  <c r="W523" i="1"/>
  <c r="W833" i="1"/>
  <c r="T224" i="1"/>
  <c r="T176" i="1"/>
  <c r="W376" i="1"/>
  <c r="W375" i="1"/>
  <c r="W290" i="1"/>
  <c r="W505" i="1"/>
  <c r="W1495" i="1"/>
  <c r="W74" i="1"/>
  <c r="W826" i="1"/>
  <c r="W881" i="1"/>
  <c r="W463" i="1"/>
  <c r="W95" i="1"/>
  <c r="W1488" i="1"/>
  <c r="W925" i="1"/>
  <c r="W109" i="1"/>
  <c r="W10" i="1"/>
  <c r="W616" i="1"/>
  <c r="W1128" i="1"/>
  <c r="W49" i="1"/>
  <c r="W633" i="1"/>
  <c r="W541" i="1"/>
  <c r="W989" i="1"/>
  <c r="W1478" i="1"/>
  <c r="W97" i="1"/>
  <c r="W1473" i="1"/>
  <c r="W154" i="1"/>
  <c r="W1202" i="1"/>
  <c r="W1268" i="1"/>
  <c r="W687" i="1"/>
  <c r="W1468" i="1"/>
  <c r="W836" i="1"/>
  <c r="W1031" i="1"/>
  <c r="W244" i="1"/>
  <c r="W1260" i="1"/>
  <c r="W1461" i="1"/>
  <c r="W690" i="1"/>
  <c r="W639" i="1"/>
  <c r="W193" i="1"/>
  <c r="W801" i="1"/>
  <c r="W929" i="1"/>
  <c r="W618" i="1"/>
  <c r="W963" i="1"/>
  <c r="W450" i="1"/>
  <c r="W606" i="1"/>
  <c r="W1442" i="1"/>
  <c r="W949" i="1"/>
  <c r="W433" i="1"/>
  <c r="W474" i="1"/>
  <c r="W1438" i="1"/>
  <c r="W421" i="1"/>
  <c r="W140" i="1"/>
  <c r="W1221" i="1"/>
  <c r="W875" i="1"/>
  <c r="W1431" i="1"/>
  <c r="W1085" i="1"/>
  <c r="W629" i="1"/>
  <c r="W562" i="1"/>
  <c r="W300" i="1"/>
  <c r="W774" i="1"/>
  <c r="W150" i="1"/>
  <c r="W982" i="1"/>
  <c r="W938" i="1"/>
  <c r="W122" i="1"/>
  <c r="W241" i="1"/>
  <c r="W271" i="1"/>
  <c r="W439" i="1"/>
  <c r="W1411" i="1"/>
  <c r="W894" i="1"/>
  <c r="W402" i="1"/>
  <c r="W162" i="1"/>
  <c r="W18" i="1"/>
  <c r="W632" i="1"/>
  <c r="W157" i="1"/>
  <c r="W570" i="1"/>
  <c r="W293" i="1"/>
  <c r="W782" i="1"/>
  <c r="W81" i="1"/>
  <c r="W649" i="1"/>
  <c r="W17" i="1"/>
  <c r="T977" i="1"/>
  <c r="T1107" i="1"/>
  <c r="W1241" i="1"/>
  <c r="W169" i="1"/>
  <c r="W791" i="1"/>
  <c r="W119" i="1"/>
  <c r="W1494" i="1"/>
  <c r="W1139" i="1"/>
  <c r="W848" i="1"/>
  <c r="W547" i="1"/>
  <c r="W364" i="1"/>
  <c r="W1175" i="1"/>
  <c r="W567" i="1"/>
  <c r="W1487" i="1"/>
  <c r="W192" i="1"/>
  <c r="W167" i="1"/>
  <c r="W343" i="1"/>
  <c r="W903" i="1"/>
  <c r="W758" i="1"/>
  <c r="W36" i="1"/>
  <c r="W937" i="1"/>
  <c r="W747" i="1"/>
  <c r="W659" i="1"/>
  <c r="W1476" i="1"/>
  <c r="W1143" i="1"/>
  <c r="W750" i="1"/>
  <c r="W1021" i="1"/>
  <c r="W85" i="1"/>
  <c r="W303" i="1"/>
  <c r="W941" i="1"/>
  <c r="W1465" i="1"/>
  <c r="W623" i="1"/>
  <c r="W454" i="1"/>
  <c r="W896" i="1"/>
  <c r="W137" i="1"/>
  <c r="W1460" i="1"/>
  <c r="W800" i="1"/>
  <c r="W149" i="1"/>
  <c r="W1455" i="1"/>
  <c r="W139" i="1"/>
  <c r="W1451" i="1"/>
  <c r="W677" i="1"/>
  <c r="W575" i="1"/>
  <c r="W568" i="1"/>
  <c r="W127" i="1"/>
  <c r="W785" i="1"/>
  <c r="W737" i="1"/>
  <c r="W522" i="1"/>
  <c r="W1437" i="1"/>
  <c r="W151" i="1"/>
  <c r="W698" i="1"/>
  <c r="W872" i="1"/>
  <c r="W62" i="1"/>
  <c r="W700" i="1"/>
  <c r="W257" i="1"/>
  <c r="W884" i="1"/>
  <c r="W832" i="1"/>
  <c r="W1010" i="1"/>
  <c r="W871" i="1"/>
  <c r="W284" i="1"/>
  <c r="W1076" i="1"/>
  <c r="W539" i="1"/>
  <c r="W456" i="1"/>
  <c r="W717" i="1"/>
  <c r="W1416" i="1"/>
  <c r="W1414" i="1"/>
  <c r="W917" i="1"/>
  <c r="W265" i="1"/>
  <c r="W1407" i="1"/>
  <c r="W783" i="1"/>
  <c r="W145" i="1"/>
  <c r="W286" i="1"/>
  <c r="W1256" i="1"/>
  <c r="W1457" i="1"/>
  <c r="W1099" i="1"/>
  <c r="W497" i="1"/>
  <c r="W997" i="1"/>
  <c r="W1421" i="1"/>
  <c r="W1117" i="1"/>
  <c r="T534" i="1"/>
  <c r="T1458" i="1"/>
  <c r="W640" i="1"/>
  <c r="W1498" i="1"/>
  <c r="W742" i="1"/>
  <c r="W1066" i="1"/>
  <c r="W407" i="1"/>
  <c r="W524" i="1"/>
  <c r="W835" i="1"/>
  <c r="W273" i="1"/>
  <c r="W1174" i="1"/>
  <c r="W987" i="1"/>
  <c r="W399" i="1"/>
  <c r="W379" i="1"/>
  <c r="W625" i="1"/>
  <c r="W424" i="1"/>
  <c r="W159" i="1"/>
  <c r="W279" i="1"/>
  <c r="W733" i="1"/>
  <c r="W423" i="1"/>
  <c r="W239" i="1"/>
  <c r="W1199" i="1"/>
  <c r="W1477" i="1"/>
  <c r="W1475" i="1"/>
  <c r="W360" i="1"/>
  <c r="W915" i="1"/>
  <c r="W1118" i="1"/>
  <c r="W921" i="1"/>
  <c r="W58" i="1"/>
  <c r="W326" i="1"/>
  <c r="W865" i="1"/>
  <c r="W1463" i="1"/>
  <c r="W960" i="1"/>
  <c r="W317" i="1"/>
  <c r="W1200" i="1"/>
  <c r="W1090" i="1"/>
  <c r="W298" i="1"/>
  <c r="W1138" i="1"/>
  <c r="W1273" i="1"/>
  <c r="W740" i="1"/>
  <c r="W525" i="1"/>
  <c r="W676" i="1"/>
  <c r="W1446" i="1"/>
  <c r="W1443" i="1"/>
  <c r="W1025" i="1"/>
  <c r="W773" i="1"/>
  <c r="W664" i="1"/>
  <c r="W1439" i="1"/>
  <c r="W325" i="1"/>
  <c r="W1435" i="1"/>
  <c r="W7" i="1"/>
  <c r="W1113" i="1"/>
  <c r="W1432" i="1"/>
  <c r="W857" i="1"/>
  <c r="W795" i="1"/>
  <c r="W703" i="1"/>
  <c r="W815" i="1"/>
  <c r="W707" i="1"/>
  <c r="W77" i="1"/>
  <c r="W910" i="1"/>
  <c r="W173" i="1"/>
  <c r="W1173" i="1"/>
  <c r="W335" i="1"/>
  <c r="W1137" i="1"/>
  <c r="W1179" i="1"/>
  <c r="W1057" i="1"/>
  <c r="W923" i="1"/>
  <c r="W1466" i="1"/>
  <c r="W24" i="1"/>
  <c r="W543" i="1"/>
  <c r="W1266" i="1"/>
  <c r="W1089" i="1"/>
  <c r="W1409" i="1"/>
  <c r="T1489" i="1"/>
  <c r="T1471" i="1"/>
  <c r="T1272" i="1"/>
  <c r="W1159" i="1"/>
  <c r="W236" i="1"/>
  <c r="W346" i="1"/>
  <c r="W866" i="1"/>
  <c r="W818" i="1"/>
  <c r="W367" i="1"/>
  <c r="W217" i="1"/>
  <c r="W814" i="1"/>
  <c r="W1060" i="1"/>
  <c r="W120" i="1"/>
  <c r="W1038" i="1"/>
  <c r="W445" i="1"/>
  <c r="W557" i="1"/>
  <c r="W308" i="1"/>
  <c r="W914" i="1"/>
  <c r="W295" i="1"/>
  <c r="W417" i="1"/>
  <c r="W1210" i="1"/>
  <c r="W685" i="1"/>
  <c r="W551" i="1"/>
  <c r="W1253" i="1"/>
  <c r="W756" i="1"/>
  <c r="W259" i="1"/>
  <c r="W415" i="1"/>
  <c r="W1278" i="1"/>
  <c r="W198" i="1"/>
  <c r="W56" i="1"/>
  <c r="W526" i="1"/>
  <c r="W1425" i="1"/>
  <c r="W270" i="1"/>
  <c r="W548" i="1"/>
  <c r="W1195" i="1"/>
  <c r="W228" i="1"/>
  <c r="W1419" i="1"/>
  <c r="W1415" i="1"/>
  <c r="W1413" i="1"/>
  <c r="W792" i="1"/>
  <c r="W100" i="1"/>
  <c r="W939" i="1"/>
  <c r="W340" i="1"/>
  <c r="W432" i="1"/>
  <c r="W1097" i="1"/>
  <c r="W891" i="1"/>
  <c r="W1406" i="1"/>
  <c r="T1079" i="1"/>
  <c r="T1464" i="1"/>
  <c r="T1452" i="1"/>
  <c r="W577" i="1"/>
  <c r="W287" i="1"/>
  <c r="W248" i="1"/>
  <c r="W1037" i="1"/>
  <c r="W880" i="1"/>
  <c r="W1204" i="1"/>
  <c r="W1019" i="1"/>
  <c r="W1499" i="1"/>
  <c r="W1490" i="1"/>
  <c r="W464" i="1"/>
  <c r="W1153" i="1"/>
  <c r="W453" i="1"/>
  <c r="W825" i="1"/>
  <c r="W449" i="1"/>
  <c r="W231" i="1"/>
  <c r="W254" i="1"/>
  <c r="W1485" i="1"/>
  <c r="W1192" i="1"/>
  <c r="W118" i="1"/>
  <c r="W922" i="1"/>
  <c r="W1042" i="1"/>
  <c r="W1002" i="1"/>
  <c r="W665" i="1"/>
  <c r="W63" i="1"/>
  <c r="W1123" i="1"/>
  <c r="W1132" i="1"/>
  <c r="W984" i="1"/>
  <c r="W763" i="1"/>
  <c r="W385" i="1"/>
  <c r="W246" i="1"/>
  <c r="W1454" i="1"/>
  <c r="W129" i="1"/>
  <c r="W965" i="1"/>
  <c r="W591" i="1"/>
  <c r="W1146" i="1"/>
  <c r="W1481" i="1"/>
  <c r="W1166" i="1"/>
  <c r="W1259" i="1"/>
  <c r="W338" i="1"/>
  <c r="W348" i="1"/>
  <c r="W476" i="1"/>
  <c r="W764" i="1"/>
  <c r="W823" i="1"/>
  <c r="W776" i="1"/>
  <c r="W350" i="1"/>
  <c r="W692" i="1"/>
  <c r="W483" i="1"/>
  <c r="W105" i="1"/>
  <c r="W919" i="1"/>
  <c r="W203" i="1"/>
  <c r="W515" i="1"/>
  <c r="W766" i="1"/>
  <c r="W974" i="1"/>
  <c r="W1082" i="1"/>
  <c r="W114" i="1"/>
  <c r="W202" i="1"/>
  <c r="W780" i="1"/>
  <c r="W951" i="1"/>
  <c r="W1040" i="1"/>
  <c r="W1209" i="1"/>
  <c r="W130" i="1"/>
  <c r="W898" i="1"/>
  <c r="W736" i="1"/>
  <c r="W40" i="1"/>
  <c r="W1480" i="1"/>
  <c r="W377" i="1"/>
  <c r="W1190" i="1"/>
  <c r="T586" i="1"/>
  <c r="T93" i="1"/>
  <c r="T706" i="1"/>
  <c r="T1472" i="1"/>
  <c r="T1462" i="1"/>
  <c r="T793" i="1"/>
  <c r="T1430" i="1"/>
  <c r="T1417" i="1"/>
  <c r="T600" i="1"/>
  <c r="T1496" i="1"/>
  <c r="T1156" i="1"/>
  <c r="T223" i="1"/>
  <c r="T558" i="1"/>
  <c r="T799" i="1"/>
  <c r="T318" i="1"/>
  <c r="T314" i="1"/>
  <c r="T1205" i="1"/>
  <c r="T1484" i="1"/>
  <c r="T188" i="1"/>
  <c r="T1141" i="1"/>
  <c r="T927" i="1"/>
  <c r="T588" i="1"/>
  <c r="T410" i="1"/>
  <c r="T1459" i="1"/>
  <c r="T1056" i="1"/>
  <c r="T681" i="1"/>
  <c r="T1009" i="1"/>
  <c r="T34" i="1"/>
  <c r="T642" i="1"/>
  <c r="T9" i="1"/>
  <c r="T579" i="1"/>
  <c r="T550" i="1"/>
  <c r="T362" i="1"/>
  <c r="T652" i="1"/>
  <c r="T1359" i="1"/>
  <c r="T205" i="1"/>
  <c r="T655" i="1"/>
  <c r="T536" i="1"/>
  <c r="T443" i="1"/>
  <c r="T1333" i="1"/>
  <c r="T735" i="1"/>
  <c r="T158" i="1"/>
  <c r="T952" i="1"/>
  <c r="T672" i="1"/>
  <c r="T797" i="1"/>
  <c r="T599" i="1"/>
  <c r="T275" i="1"/>
  <c r="W1501" i="1"/>
  <c r="W26" i="1"/>
  <c r="W933" i="1"/>
  <c r="W852" i="1"/>
  <c r="W289" i="1"/>
  <c r="W33" i="1"/>
  <c r="W1492" i="1"/>
  <c r="W88" i="1"/>
  <c r="W1489" i="1"/>
  <c r="W849" i="1"/>
  <c r="W977" i="1"/>
  <c r="W48" i="1"/>
  <c r="W1079" i="1"/>
  <c r="W41" i="1"/>
  <c r="W1119" i="1"/>
  <c r="W347" i="1"/>
  <c r="W1054" i="1"/>
  <c r="W534" i="1"/>
  <c r="W582" i="1"/>
  <c r="W224" i="1"/>
  <c r="W60" i="1"/>
  <c r="W858" i="1"/>
  <c r="W1474" i="1"/>
  <c r="W1471" i="1"/>
  <c r="W1469" i="1"/>
  <c r="W1107" i="1"/>
  <c r="W712" i="1"/>
  <c r="W425" i="1"/>
  <c r="W337" i="1"/>
  <c r="W1464" i="1"/>
  <c r="W176" i="1"/>
  <c r="W1006" i="1"/>
  <c r="W1269" i="1"/>
  <c r="W1272" i="1"/>
  <c r="W1458" i="1"/>
  <c r="W529" i="1"/>
  <c r="W1456" i="1"/>
  <c r="W238" i="1"/>
  <c r="W1452" i="1"/>
  <c r="W1449" i="1"/>
  <c r="W196" i="1"/>
  <c r="W874" i="1"/>
  <c r="W1065" i="1"/>
  <c r="W1191" i="1"/>
  <c r="W1441" i="1"/>
  <c r="W166" i="1"/>
  <c r="W204" i="1"/>
  <c r="W1098" i="1"/>
  <c r="W1074" i="1"/>
  <c r="W1433" i="1"/>
  <c r="W310" i="1"/>
  <c r="W499" i="1"/>
  <c r="W1252" i="1"/>
  <c r="W1429" i="1"/>
  <c r="W406" i="1"/>
  <c r="W947" i="1"/>
  <c r="W23" i="1"/>
  <c r="W1271" i="1"/>
  <c r="W13" i="1"/>
  <c r="W25" i="1"/>
  <c r="W1420" i="1"/>
  <c r="W788" i="1"/>
  <c r="W1087" i="1"/>
  <c r="W52" i="1"/>
  <c r="W1080" i="1"/>
  <c r="W31" i="1"/>
  <c r="W983" i="1"/>
  <c r="W1111" i="1"/>
  <c r="W718" i="1"/>
  <c r="W1394" i="1"/>
  <c r="W1257" i="1"/>
  <c r="W1391" i="1"/>
  <c r="W886" i="1"/>
  <c r="W405" i="1"/>
  <c r="W440" i="1"/>
  <c r="W581" i="1"/>
  <c r="W1385" i="1"/>
  <c r="W381" i="1"/>
  <c r="W1383" i="1"/>
  <c r="W1380" i="1"/>
  <c r="W1072" i="1"/>
  <c r="W790" i="1"/>
  <c r="W397" i="1"/>
  <c r="W349" i="1"/>
  <c r="W1376" i="1"/>
  <c r="W1373" i="1"/>
  <c r="W1370" i="1"/>
  <c r="W1368" i="1"/>
  <c r="W670" i="1"/>
  <c r="W1364" i="1"/>
  <c r="W1361" i="1"/>
  <c r="W531" i="1"/>
  <c r="W136" i="1"/>
  <c r="W70" i="1"/>
  <c r="W1352" i="1"/>
  <c r="W511" i="1"/>
  <c r="W1095" i="1"/>
  <c r="W504" i="1"/>
  <c r="W908" i="1"/>
  <c r="W771" i="1"/>
  <c r="W563" i="1"/>
  <c r="W813" i="1"/>
  <c r="W1068" i="1"/>
  <c r="W590" i="1"/>
  <c r="W1183" i="1"/>
  <c r="W42" i="1"/>
  <c r="W1093" i="1"/>
  <c r="W1336" i="1"/>
  <c r="W1335" i="1"/>
  <c r="W713" i="1"/>
  <c r="W498" i="1"/>
  <c r="W414" i="1"/>
  <c r="W1327" i="1"/>
  <c r="W1014" i="1"/>
  <c r="W775" i="1"/>
  <c r="W262" i="1"/>
  <c r="W113" i="1"/>
  <c r="W1318" i="1"/>
  <c r="W1103" i="1"/>
  <c r="W208" i="1"/>
  <c r="W133" i="1"/>
  <c r="W1050" i="1"/>
  <c r="W561" i="1"/>
  <c r="W538" i="1"/>
  <c r="W370" i="1"/>
  <c r="W226" i="1"/>
  <c r="W803" i="1"/>
  <c r="W829" i="1"/>
  <c r="W1044" i="1"/>
  <c r="W185" i="1"/>
  <c r="W71" i="1"/>
  <c r="W299" i="1"/>
  <c r="W1162" i="1"/>
  <c r="W20" i="1"/>
  <c r="W1063" i="1"/>
  <c r="W327" i="1"/>
  <c r="W235" i="1"/>
  <c r="W219" i="1"/>
  <c r="W979" i="1"/>
  <c r="W1249" i="1"/>
  <c r="W926" i="1"/>
  <c r="W1104" i="1"/>
  <c r="W955" i="1"/>
  <c r="W230" i="1"/>
  <c r="W144" i="1"/>
  <c r="W870" i="1"/>
  <c r="W1399" i="1"/>
  <c r="W1397" i="1"/>
  <c r="W1124" i="1"/>
  <c r="W1393" i="1"/>
  <c r="W701" i="1"/>
  <c r="W1081" i="1"/>
  <c r="W1168" i="1"/>
  <c r="W1387" i="1"/>
  <c r="W946" i="1"/>
  <c r="W784" i="1"/>
  <c r="W768" i="1"/>
  <c r="W1228" i="1"/>
  <c r="W493" i="1"/>
  <c r="W468" i="1"/>
  <c r="W126" i="1"/>
  <c r="W991" i="1"/>
  <c r="W1378" i="1"/>
  <c r="W1189" i="1"/>
  <c r="W986" i="1"/>
  <c r="W233" i="1"/>
  <c r="W12" i="1"/>
  <c r="W1367" i="1"/>
  <c r="W448" i="1"/>
  <c r="W142" i="1"/>
  <c r="W194" i="1"/>
  <c r="W779" i="1"/>
  <c r="W305" i="1"/>
  <c r="W269" i="1"/>
  <c r="W696" i="1"/>
  <c r="W1046" i="1"/>
  <c r="W1053" i="1"/>
  <c r="W532" i="1"/>
  <c r="W1218" i="1"/>
  <c r="W1344" i="1"/>
  <c r="W1343" i="1"/>
  <c r="W514" i="1"/>
  <c r="W323" i="1"/>
  <c r="W1255" i="1"/>
  <c r="W566" i="1"/>
  <c r="W1133" i="1"/>
  <c r="W481" i="1"/>
  <c r="W932" i="1"/>
  <c r="W274" i="1"/>
  <c r="W1007" i="1"/>
  <c r="W438" i="1"/>
  <c r="W1330" i="1"/>
  <c r="W834" i="1"/>
  <c r="W222" i="1"/>
  <c r="W516" i="1"/>
  <c r="W1201" i="1"/>
  <c r="W827" i="1"/>
  <c r="W722" i="1"/>
  <c r="W1030" i="1"/>
  <c r="W1167" i="1"/>
  <c r="W683" i="1"/>
  <c r="W301" i="1"/>
  <c r="W1310" i="1"/>
  <c r="W1307" i="1"/>
  <c r="W502" i="1"/>
  <c r="W1305" i="1"/>
  <c r="W1116" i="1"/>
  <c r="W601" i="1"/>
  <c r="W837" i="1"/>
  <c r="W73" i="1"/>
  <c r="W1298" i="1"/>
  <c r="W1129" i="1"/>
  <c r="W288" i="1"/>
  <c r="W39" i="1"/>
  <c r="W178" i="1"/>
  <c r="W19" i="1"/>
  <c r="W135" i="1"/>
  <c r="W227" i="1"/>
  <c r="W715" i="1"/>
  <c r="W726" i="1"/>
  <c r="W242" i="1"/>
  <c r="W993" i="1"/>
  <c r="W315" i="1"/>
  <c r="W964" i="1"/>
  <c r="W197" i="1"/>
  <c r="W943" i="1"/>
  <c r="W1035" i="1"/>
  <c r="W1267" i="1"/>
  <c r="W490" i="1"/>
  <c r="W728" i="1"/>
  <c r="W1015" i="1"/>
  <c r="W1088" i="1"/>
  <c r="W507" i="1"/>
  <c r="W446" i="1"/>
  <c r="W461" i="1"/>
  <c r="W1100" i="1"/>
  <c r="W1112" i="1"/>
  <c r="W395" i="1"/>
  <c r="W1176" i="1"/>
  <c r="W124" i="1"/>
  <c r="W936" i="1"/>
  <c r="W862" i="1"/>
  <c r="W727" i="1"/>
  <c r="W1136" i="1"/>
  <c r="W820" i="1"/>
  <c r="W328" i="1"/>
  <c r="W1171" i="1"/>
  <c r="W1366" i="1"/>
  <c r="W627" i="1"/>
  <c r="W447" i="1"/>
  <c r="W1251" i="1"/>
  <c r="W1358" i="1"/>
  <c r="W422" i="1"/>
  <c r="W374" i="1"/>
  <c r="W842" i="1"/>
  <c r="W619" i="1"/>
  <c r="W1349" i="1"/>
  <c r="W1078" i="1"/>
  <c r="W654" i="1"/>
  <c r="W569" i="1"/>
  <c r="W1020" i="1"/>
  <c r="W942" i="1"/>
  <c r="W1207" i="1"/>
  <c r="W1051" i="1"/>
  <c r="W1341" i="1"/>
  <c r="W978" i="1"/>
  <c r="W1338" i="1"/>
  <c r="W329" i="1"/>
  <c r="W559" i="1"/>
  <c r="W1254" i="1"/>
  <c r="W856" i="1"/>
  <c r="W1184" i="1"/>
  <c r="W976" i="1"/>
  <c r="W277" i="1"/>
  <c r="W1244" i="1"/>
  <c r="W738" i="1"/>
  <c r="W1032" i="1"/>
  <c r="W1317" i="1"/>
  <c r="W709" i="1"/>
  <c r="W1238" i="1"/>
  <c r="W297" i="1"/>
  <c r="W675" i="1"/>
  <c r="W1309" i="1"/>
  <c r="W905" i="1"/>
  <c r="W306" i="1"/>
  <c r="W1304" i="1"/>
  <c r="W164" i="1"/>
  <c r="W967" i="1"/>
  <c r="W311" i="1"/>
  <c r="W1301" i="1"/>
  <c r="W1163" i="1"/>
  <c r="W1297" i="1"/>
  <c r="W669" i="1"/>
  <c r="W1227" i="1"/>
  <c r="W1275" i="1"/>
  <c r="W1022" i="1"/>
  <c r="W794" i="1"/>
  <c r="W944" i="1"/>
  <c r="W1287" i="1"/>
  <c r="W201" i="1"/>
  <c r="W1177" i="1"/>
  <c r="W807" i="1"/>
  <c r="W221" i="1"/>
  <c r="W614" i="1"/>
  <c r="W123" i="1"/>
  <c r="W546" i="1"/>
  <c r="W757" i="1"/>
  <c r="W508" i="1"/>
  <c r="W1404" i="1"/>
  <c r="W828" i="1"/>
  <c r="W663" i="1"/>
  <c r="W322" i="1"/>
  <c r="W697" i="1"/>
  <c r="W282" i="1"/>
  <c r="W101" i="1"/>
  <c r="W313" i="1"/>
  <c r="W1390" i="1"/>
  <c r="W170" i="1"/>
  <c r="W69" i="1"/>
  <c r="W1047" i="1"/>
  <c r="W107" i="1"/>
  <c r="W909" i="1"/>
  <c r="W798" i="1"/>
  <c r="W607" i="1"/>
  <c r="W1164" i="1"/>
  <c r="W418" i="1"/>
  <c r="W1151" i="1"/>
  <c r="W810" i="1"/>
  <c r="W847" i="1"/>
  <c r="W67" i="1"/>
  <c r="W104" i="1"/>
  <c r="W1125" i="1"/>
  <c r="W760" i="1"/>
  <c r="W15" i="1"/>
  <c r="W165" i="1"/>
  <c r="W86" i="1"/>
  <c r="W1196" i="1"/>
  <c r="W426" i="1"/>
  <c r="W1105" i="1"/>
  <c r="W1351" i="1"/>
  <c r="W256" i="1"/>
  <c r="W258" i="1"/>
  <c r="W860" i="1"/>
  <c r="W571" i="1"/>
  <c r="W334" i="1"/>
  <c r="W57" i="1"/>
  <c r="W1261" i="1"/>
  <c r="W732" i="1"/>
  <c r="W888" i="1"/>
  <c r="W356" i="1"/>
  <c r="W333" i="1"/>
  <c r="W1027" i="1"/>
  <c r="W1127" i="1"/>
  <c r="W467" i="1"/>
  <c r="W824" i="1"/>
  <c r="W16" i="1"/>
  <c r="W1329" i="1"/>
  <c r="W90" i="1"/>
  <c r="W595" i="1"/>
  <c r="W1058" i="1"/>
  <c r="W1250" i="1"/>
  <c r="W485" i="1"/>
  <c r="W1316" i="1"/>
  <c r="W373" i="1"/>
  <c r="W584" i="1"/>
  <c r="W1312" i="1"/>
  <c r="W981" i="1"/>
  <c r="W808" i="1"/>
  <c r="W730" i="1"/>
  <c r="W430" i="1"/>
  <c r="W319" i="1"/>
  <c r="W1203" i="1"/>
  <c r="W1302" i="1"/>
  <c r="W30" i="1"/>
  <c r="W867" i="1"/>
  <c r="W725" i="1"/>
  <c r="W261" i="1"/>
  <c r="W1135" i="1"/>
  <c r="W342" i="1"/>
  <c r="W1293" i="1"/>
  <c r="W225" i="1"/>
  <c r="W1290" i="1"/>
  <c r="W211" i="1"/>
  <c r="W751" i="1"/>
  <c r="W321" i="1"/>
  <c r="W488" i="1"/>
  <c r="W1029" i="1"/>
  <c r="W1281" i="1"/>
  <c r="W1410" i="1"/>
  <c r="W500" i="1"/>
  <c r="W907" i="1"/>
  <c r="W752" i="1"/>
  <c r="W972" i="1"/>
  <c r="W635" i="1"/>
  <c r="W934" i="1"/>
  <c r="W89" i="1"/>
  <c r="W895" i="1"/>
  <c r="W478" i="1"/>
  <c r="W152" i="1"/>
  <c r="W1243" i="1"/>
  <c r="W1206" i="1"/>
  <c r="W699" i="1"/>
  <c r="W1197" i="1"/>
  <c r="W1122" i="1"/>
  <c r="W103" i="1"/>
  <c r="W384" i="1"/>
  <c r="W1384" i="1"/>
  <c r="W1016" i="1"/>
  <c r="W1109" i="1"/>
  <c r="W1055" i="1"/>
  <c r="W68" i="1"/>
  <c r="W1231" i="1"/>
  <c r="W1377" i="1"/>
  <c r="W1375" i="1"/>
  <c r="W501" i="1"/>
  <c r="W1067" i="1"/>
  <c r="W416" i="1"/>
  <c r="W1149" i="1"/>
  <c r="W769" i="1"/>
  <c r="W51" i="1"/>
  <c r="W59" i="1"/>
  <c r="W840" i="1"/>
  <c r="W1354" i="1"/>
  <c r="W361" i="1"/>
  <c r="W1247" i="1"/>
  <c r="W1348" i="1"/>
  <c r="W1217" i="1"/>
  <c r="W1034" i="1"/>
  <c r="W462" i="1"/>
  <c r="W1342" i="1"/>
  <c r="W992" i="1"/>
  <c r="W973" i="1"/>
  <c r="W75" i="1"/>
  <c r="W372" i="1"/>
  <c r="W1230" i="1"/>
  <c r="W608" i="1"/>
  <c r="W479" i="1"/>
  <c r="W54" i="1"/>
  <c r="W1039" i="1"/>
  <c r="W1331" i="1"/>
  <c r="W892" i="1"/>
  <c r="W1326" i="1"/>
  <c r="W985" i="1"/>
  <c r="W182" i="1"/>
  <c r="W1157" i="1"/>
  <c r="W821" i="1"/>
  <c r="W1315" i="1"/>
  <c r="W519" i="1"/>
  <c r="W1069" i="1"/>
  <c r="W576" i="1"/>
  <c r="W920" i="1"/>
  <c r="W191" i="1"/>
  <c r="W412" i="1"/>
  <c r="W138" i="1"/>
  <c r="W897" i="1"/>
  <c r="W1121" i="1"/>
  <c r="W778" i="1"/>
  <c r="W1023" i="1"/>
  <c r="W1300" i="1"/>
  <c r="W1154" i="1"/>
  <c r="W291" i="1"/>
  <c r="W509" i="1"/>
  <c r="W1026" i="1"/>
  <c r="W1292" i="1"/>
  <c r="W777" i="1"/>
  <c r="W854" i="1"/>
  <c r="W1288" i="1"/>
  <c r="W535" i="1"/>
  <c r="W1188" i="1"/>
  <c r="W1283" i="1"/>
  <c r="W593" i="1"/>
  <c r="W8" i="1"/>
  <c r="W72" i="1"/>
  <c r="W1445" i="1"/>
  <c r="W285" i="1"/>
  <c r="W816" i="1"/>
  <c r="W603" i="1"/>
  <c r="W134" i="1"/>
  <c r="W1108" i="1"/>
  <c r="W80" i="1"/>
  <c r="W434" i="1"/>
  <c r="W1434" i="1"/>
  <c r="W605" i="1"/>
  <c r="W1264" i="1"/>
  <c r="W770" i="1"/>
  <c r="W245" i="1"/>
  <c r="W280" i="1"/>
  <c r="W1428" i="1"/>
  <c r="W846" i="1"/>
  <c r="W1424" i="1"/>
  <c r="W382" i="1"/>
  <c r="W893" i="1"/>
  <c r="W1086" i="1"/>
  <c r="W1215" i="1"/>
  <c r="W1248" i="1"/>
  <c r="W686" i="1"/>
  <c r="W183" i="1"/>
  <c r="W11" i="1"/>
  <c r="W363" i="1"/>
  <c r="W477" i="1"/>
  <c r="W1233" i="1"/>
  <c r="W754" i="1"/>
  <c r="W394" i="1"/>
  <c r="W1402" i="1"/>
  <c r="W121" i="1"/>
  <c r="W935" i="1"/>
  <c r="W1083" i="1"/>
  <c r="W789" i="1"/>
  <c r="W216" i="1"/>
  <c r="W911" i="1"/>
  <c r="W37" i="1"/>
  <c r="W1178" i="1"/>
  <c r="W1386" i="1"/>
  <c r="W720" i="1"/>
  <c r="W643" i="1"/>
  <c r="W899" i="1"/>
  <c r="W694" i="1"/>
  <c r="W1379" i="1"/>
  <c r="W804" i="1"/>
  <c r="W510" i="1"/>
  <c r="W648" i="1"/>
  <c r="W971" i="1"/>
  <c r="W518" i="1"/>
  <c r="W889" i="1"/>
  <c r="W1369" i="1"/>
  <c r="W1276" i="1"/>
  <c r="W21" i="1"/>
  <c r="W602" i="1"/>
  <c r="W1360" i="1"/>
  <c r="W460" i="1"/>
  <c r="W482" i="1"/>
  <c r="W641" i="1"/>
  <c r="W400" i="1"/>
  <c r="W743" i="1"/>
  <c r="W1347" i="1"/>
  <c r="W1075" i="1"/>
  <c r="W91" i="1"/>
  <c r="W472" i="1"/>
  <c r="W436" i="1"/>
  <c r="W1024" i="1"/>
  <c r="W390" i="1"/>
  <c r="W427" i="1"/>
  <c r="W215" i="1"/>
  <c r="W1339" i="1"/>
  <c r="W38" i="1"/>
  <c r="W413" i="1"/>
  <c r="W495" i="1"/>
  <c r="W1064" i="1"/>
  <c r="W458" i="1"/>
  <c r="W404" i="1"/>
  <c r="W1003" i="1"/>
  <c r="W1324" i="1"/>
  <c r="W830" i="1"/>
  <c r="W332" i="1"/>
  <c r="W408" i="1"/>
  <c r="W822" i="1"/>
  <c r="W612" i="1"/>
  <c r="W252" i="1"/>
  <c r="W817" i="1"/>
  <c r="W212" i="1"/>
  <c r="W53" i="1"/>
  <c r="W87" i="1"/>
  <c r="W1013" i="1"/>
  <c r="W292" i="1"/>
  <c r="W996" i="1"/>
  <c r="W957" i="1"/>
  <c r="W695" i="1"/>
  <c r="T654" i="1"/>
  <c r="W307" i="1"/>
  <c r="W1169" i="1"/>
  <c r="W207" i="1"/>
  <c r="W1496" i="1"/>
  <c r="W1156" i="1"/>
  <c r="W223" i="1"/>
  <c r="W558" i="1"/>
  <c r="W799" i="1"/>
  <c r="W318" i="1"/>
  <c r="W84" i="1"/>
  <c r="W339" i="1"/>
  <c r="W916" i="1"/>
  <c r="W392" i="1"/>
  <c r="W314" i="1"/>
  <c r="W1205" i="1"/>
  <c r="W1484" i="1"/>
  <c r="W188" i="1"/>
  <c r="W890" i="1"/>
  <c r="W585" i="1"/>
  <c r="W214" i="1"/>
  <c r="W1141" i="1"/>
  <c r="W927" i="1"/>
  <c r="W243" i="1"/>
  <c r="W1470" i="1"/>
  <c r="W247" i="1"/>
  <c r="W588" i="1"/>
  <c r="W1043" i="1"/>
  <c r="W544" i="1"/>
  <c r="W565" i="1"/>
  <c r="W1130" i="1"/>
  <c r="W1059" i="1"/>
  <c r="W410" i="1"/>
  <c r="W1198" i="1"/>
  <c r="W1459" i="1"/>
  <c r="W574" i="1"/>
  <c r="W545" i="1"/>
  <c r="W451" i="1"/>
  <c r="W1056" i="1"/>
  <c r="W1450" i="1"/>
  <c r="W681" i="1"/>
  <c r="W1009" i="1"/>
  <c r="W671" i="1"/>
  <c r="W428" i="1"/>
  <c r="W831" i="1"/>
  <c r="W746" i="1"/>
  <c r="W34" i="1"/>
  <c r="W604" i="1"/>
  <c r="W714" i="1"/>
  <c r="W530" i="1"/>
  <c r="W35" i="1"/>
  <c r="W116" i="1"/>
  <c r="W1142" i="1"/>
  <c r="W220" i="1"/>
  <c r="W642" i="1"/>
  <c r="W1427" i="1"/>
  <c r="W435" i="1"/>
  <c r="W441" i="1"/>
  <c r="W1094" i="1"/>
  <c r="W1144" i="1"/>
  <c r="W1180" i="1"/>
  <c r="W396" i="1"/>
  <c r="W721" i="1"/>
  <c r="W128" i="1"/>
  <c r="W651" i="1"/>
  <c r="W684" i="1"/>
  <c r="W1011" i="1"/>
  <c r="W141" i="1"/>
  <c r="W564" i="1"/>
  <c r="W1150" i="1"/>
  <c r="W586" i="1"/>
  <c r="W1483" i="1"/>
  <c r="W93" i="1"/>
  <c r="W706" i="1"/>
  <c r="W1479" i="1"/>
  <c r="W200" i="1"/>
  <c r="W995" i="1"/>
  <c r="W660" i="1"/>
  <c r="W1472" i="1"/>
  <c r="W868" i="1"/>
  <c r="W115" i="1"/>
  <c r="T427" i="1"/>
  <c r="T1064" i="1"/>
  <c r="T380" i="1"/>
  <c r="T268" i="1"/>
  <c r="W324" i="1"/>
  <c r="W809" i="1"/>
  <c r="W1497" i="1"/>
  <c r="W679" i="1"/>
  <c r="W1493" i="1"/>
  <c r="W719" i="1"/>
  <c r="W1220" i="1"/>
  <c r="W352" i="1"/>
  <c r="W630" i="1"/>
  <c r="W988" i="1"/>
  <c r="W617" i="1"/>
  <c r="W1486" i="1"/>
  <c r="W1084" i="1"/>
  <c r="W368" i="1"/>
  <c r="W708" i="1"/>
  <c r="W1232" i="1"/>
  <c r="W1482" i="1"/>
  <c r="W622" i="1"/>
  <c r="W902" i="1"/>
  <c r="W966" i="1"/>
  <c r="W674" i="1"/>
  <c r="W680" i="1"/>
  <c r="W76" i="1"/>
  <c r="W210" i="1"/>
  <c r="W1229" i="1"/>
  <c r="W455" i="1"/>
  <c r="W628" i="1"/>
  <c r="W1467" i="1"/>
  <c r="W213" i="1"/>
  <c r="W1235" i="1"/>
  <c r="W556" i="1"/>
  <c r="W885" i="1"/>
  <c r="W560" i="1"/>
  <c r="W1270" i="1"/>
  <c r="W1096" i="1"/>
  <c r="W46" i="1"/>
  <c r="W125" i="1"/>
  <c r="W1453" i="1"/>
  <c r="W1049" i="1"/>
  <c r="W1447" i="1"/>
  <c r="W1444" i="1"/>
  <c r="W767" i="1"/>
  <c r="W959" i="1"/>
  <c r="W512" i="1"/>
  <c r="W855" i="1"/>
  <c r="W613" i="1"/>
  <c r="W1170" i="1"/>
  <c r="W486" i="1"/>
  <c r="W753" i="1"/>
  <c r="W431" i="1"/>
  <c r="W1412" i="1"/>
  <c r="W1239" i="1"/>
  <c r="W1408" i="1"/>
  <c r="W572" i="1"/>
  <c r="W1070" i="1"/>
  <c r="W906" i="1"/>
  <c r="W1403" i="1"/>
  <c r="W1400" i="1"/>
  <c r="W1398" i="1"/>
  <c r="W1396" i="1"/>
  <c r="W863" i="1"/>
  <c r="W1208" i="1"/>
  <c r="W1147" i="1"/>
  <c r="W805" i="1"/>
  <c r="W678" i="1"/>
  <c r="W1165" i="1"/>
  <c r="W1246" i="1"/>
  <c r="W873" i="1"/>
  <c r="W351" i="1"/>
  <c r="W389" i="1"/>
  <c r="W1381" i="1"/>
  <c r="W61" i="1"/>
  <c r="W393" i="1"/>
  <c r="W928" i="1"/>
  <c r="W359" i="1"/>
  <c r="W457" i="1"/>
  <c r="W597" i="1"/>
  <c r="W1371" i="1"/>
  <c r="W1262" i="1"/>
  <c r="W309" i="1"/>
  <c r="W806" i="1"/>
  <c r="W1362" i="1"/>
  <c r="W250" i="1"/>
  <c r="W1355" i="1"/>
  <c r="W711" i="1"/>
  <c r="W1353" i="1"/>
  <c r="W1350" i="1"/>
  <c r="W598" i="1"/>
  <c r="W626" i="1"/>
  <c r="W1017" i="1"/>
  <c r="W1145" i="1"/>
  <c r="W882" i="1"/>
  <c r="W1018" i="1"/>
  <c r="W1263" i="1"/>
  <c r="W345" i="1"/>
  <c r="W930" i="1"/>
  <c r="W1340" i="1"/>
  <c r="W79" i="1"/>
  <c r="W1337" i="1"/>
  <c r="W260" i="1"/>
  <c r="W540" i="1"/>
  <c r="W554" i="1"/>
  <c r="W302" i="1"/>
  <c r="W249" i="1"/>
  <c r="W1219" i="1"/>
  <c r="W199" i="1"/>
  <c r="W734" i="1"/>
  <c r="W975" i="1"/>
  <c r="W1245" i="1"/>
  <c r="W1158" i="1"/>
  <c r="W66" i="1"/>
  <c r="W1071" i="1"/>
  <c r="W1193" i="1"/>
  <c r="W29" i="1"/>
  <c r="W155" i="1"/>
  <c r="W442" i="1"/>
  <c r="W3" i="1"/>
  <c r="W1033" i="1"/>
  <c r="W553" i="1"/>
  <c r="W723" i="1"/>
  <c r="W1115" i="1"/>
  <c r="W1299" i="1"/>
  <c r="W702" i="1"/>
  <c r="W148" i="1"/>
  <c r="W391" i="1"/>
  <c r="W1294" i="1"/>
  <c r="W1008" i="1"/>
  <c r="W887" i="1"/>
  <c r="W611" i="1"/>
  <c r="W1160" i="1"/>
  <c r="W1286" i="1"/>
  <c r="W429" i="1"/>
  <c r="W761" i="1"/>
  <c r="W131" i="1"/>
  <c r="W1134" i="1"/>
  <c r="W411" i="1"/>
  <c r="W945" i="1"/>
  <c r="W1423" i="1"/>
  <c r="W705" i="1"/>
  <c r="W1186" i="1"/>
  <c r="W802" i="1"/>
  <c r="W1418" i="1"/>
  <c r="W517" i="1"/>
  <c r="W92" i="1"/>
  <c r="W924" i="1"/>
  <c r="W901" i="1"/>
  <c r="W470" i="1"/>
  <c r="W1405" i="1"/>
  <c r="W9" i="1"/>
  <c r="W958" i="1"/>
  <c r="W1041" i="1"/>
  <c r="W579" i="1"/>
  <c r="W1225" i="1"/>
  <c r="W653" i="1"/>
  <c r="W879" i="1"/>
  <c r="W1392" i="1"/>
  <c r="W496" i="1"/>
  <c r="W1388" i="1"/>
  <c r="W646" i="1"/>
  <c r="W913" i="1"/>
  <c r="W186" i="1"/>
  <c r="W521" i="1"/>
  <c r="W931" i="1"/>
  <c r="W940" i="1"/>
  <c r="W550" i="1"/>
  <c r="W362" i="1"/>
  <c r="W731" i="1"/>
  <c r="W621" i="1"/>
  <c r="W652" i="1"/>
  <c r="W1374" i="1"/>
  <c r="W1372" i="1"/>
  <c r="W580" i="1"/>
  <c r="W304" i="1"/>
  <c r="W1101" i="1"/>
  <c r="W1363" i="1"/>
  <c r="W1359" i="1"/>
  <c r="W1357" i="1"/>
  <c r="W650" i="1"/>
  <c r="W205" i="1"/>
  <c r="W655" i="1"/>
  <c r="W179" i="1"/>
  <c r="W1346" i="1"/>
  <c r="W716" i="1"/>
  <c r="W900" i="1"/>
  <c r="W181" i="1"/>
  <c r="W536" i="1"/>
  <c r="W948" i="1"/>
  <c r="W108" i="1"/>
  <c r="W443" i="1"/>
  <c r="W861" i="1"/>
  <c r="W980" i="1"/>
  <c r="W1194" i="1"/>
  <c r="W513" i="1"/>
  <c r="W759" i="1"/>
  <c r="W1333" i="1"/>
  <c r="W796" i="1"/>
  <c r="W1274" i="1"/>
  <c r="W1325" i="1"/>
  <c r="W50" i="1"/>
  <c r="W1322" i="1"/>
  <c r="W1320" i="1"/>
  <c r="W735" i="1"/>
  <c r="W1314" i="1"/>
  <c r="W578" i="1"/>
  <c r="W968" i="1"/>
  <c r="W341" i="1"/>
  <c r="W110" i="1"/>
  <c r="W620" i="1"/>
  <c r="W195" i="1"/>
  <c r="W419" i="1"/>
  <c r="W1303" i="1"/>
  <c r="W158" i="1"/>
  <c r="W549" i="1"/>
  <c r="W83" i="1"/>
  <c r="W503" i="1"/>
  <c r="W624" i="1"/>
  <c r="W952" i="1"/>
  <c r="W1295" i="1"/>
  <c r="W672" i="1"/>
  <c r="W147" i="1"/>
  <c r="W132" i="1"/>
  <c r="W573" i="1"/>
  <c r="W492" i="1"/>
  <c r="W748" i="1"/>
  <c r="W1265" i="1"/>
  <c r="W1462" i="1"/>
  <c r="W656" i="1"/>
  <c r="W1005" i="1"/>
  <c r="W401" i="1"/>
  <c r="W1216" i="1"/>
  <c r="W638" i="1"/>
  <c r="W793" i="1"/>
  <c r="W970" i="1"/>
  <c r="W1448" i="1"/>
  <c r="W489" i="1"/>
  <c r="W587" i="1"/>
  <c r="W266" i="1"/>
  <c r="W2" i="1"/>
  <c r="W1440" i="1"/>
  <c r="W358" i="1"/>
  <c r="W1436" i="1"/>
  <c r="W174" i="1"/>
  <c r="W555" i="1"/>
  <c r="W117" i="1"/>
  <c r="W1236" i="1"/>
  <c r="W878" i="1"/>
  <c r="W1430" i="1"/>
  <c r="W1211" i="1"/>
  <c r="W1426" i="1"/>
  <c r="W1131" i="1"/>
  <c r="W251" i="1"/>
  <c r="W689" i="1"/>
  <c r="W237" i="1"/>
  <c r="W589" i="1"/>
  <c r="W644" i="1"/>
  <c r="W1417" i="1"/>
  <c r="W841" i="1"/>
  <c r="W234" i="1"/>
  <c r="W600" i="1"/>
  <c r="W1181" i="1"/>
  <c r="W1091" i="1"/>
  <c r="W745" i="1"/>
  <c r="W838" i="1"/>
  <c r="W403" i="1"/>
  <c r="W28" i="1"/>
  <c r="W666" i="1"/>
  <c r="W190" i="1"/>
  <c r="W1395" i="1"/>
  <c r="W365" i="1"/>
  <c r="W184" i="1"/>
  <c r="W1110" i="1"/>
  <c r="W94" i="1"/>
  <c r="W1234" i="1"/>
  <c r="W22" i="1"/>
  <c r="W452" i="1"/>
  <c r="W592" i="1"/>
  <c r="W1102" i="1"/>
  <c r="W378" i="1"/>
  <c r="W459" i="1"/>
  <c r="W1155" i="1"/>
  <c r="W1120" i="1"/>
  <c r="W1140" i="1"/>
  <c r="W1237" i="1"/>
  <c r="W634" i="1"/>
  <c r="W102" i="1"/>
  <c r="W1161" i="1"/>
  <c r="W1036" i="1"/>
  <c r="W1365" i="1"/>
  <c r="W693" i="1"/>
  <c r="W353" i="1"/>
  <c r="W1356" i="1"/>
  <c r="W466" i="1"/>
  <c r="W876" i="1"/>
  <c r="W487" i="1"/>
  <c r="W180" i="1"/>
  <c r="W812" i="1"/>
  <c r="W336" i="1"/>
  <c r="W1345" i="1"/>
  <c r="W998" i="1"/>
  <c r="W647" i="1"/>
  <c r="W45" i="1"/>
  <c r="W32" i="1"/>
  <c r="W877" i="1"/>
  <c r="W637" i="1"/>
  <c r="W106" i="1"/>
  <c r="W146" i="1"/>
  <c r="W143" i="1"/>
  <c r="W844" i="1"/>
  <c r="W1332" i="1"/>
  <c r="W661" i="1"/>
  <c r="W1126" i="1"/>
  <c r="W232" i="1"/>
  <c r="W64" i="1"/>
  <c r="W172" i="1"/>
  <c r="W27" i="1"/>
  <c r="W1242" i="1"/>
  <c r="W253" i="1"/>
  <c r="W1422" i="1"/>
  <c r="W864" i="1"/>
  <c r="W528" i="1"/>
  <c r="W82" i="1"/>
  <c r="W78" i="1"/>
  <c r="W209" i="1"/>
  <c r="W1012" i="1"/>
  <c r="W344" i="1"/>
  <c r="W437" i="1"/>
  <c r="W355" i="1"/>
  <c r="W283" i="1"/>
  <c r="W14" i="1"/>
  <c r="W1061" i="1"/>
  <c r="W1401" i="1"/>
  <c r="W631" i="1"/>
  <c r="W859" i="1"/>
  <c r="W43" i="1"/>
  <c r="W953" i="1"/>
  <c r="W994" i="1"/>
  <c r="W1389" i="1"/>
  <c r="W388" i="1"/>
  <c r="W96" i="1"/>
  <c r="W999" i="1"/>
  <c r="W320" i="1"/>
  <c r="W1106" i="1"/>
  <c r="W272" i="1"/>
  <c r="W1382" i="1"/>
  <c r="W112" i="1"/>
  <c r="W839" i="1"/>
  <c r="W44" i="1"/>
  <c r="W904" i="1"/>
  <c r="W187" i="1"/>
  <c r="W409" i="1"/>
  <c r="W281" i="1"/>
  <c r="W366" i="1"/>
  <c r="W161" i="1"/>
  <c r="W594" i="1"/>
  <c r="W153" i="1"/>
  <c r="W1222" i="1"/>
  <c r="W662" i="1"/>
  <c r="W1001" i="1"/>
  <c r="W739" i="1"/>
  <c r="W255" i="1"/>
  <c r="W772" i="1"/>
  <c r="W1052" i="1"/>
  <c r="W175" i="1"/>
  <c r="W724" i="1"/>
  <c r="W330" i="1"/>
  <c r="W506" i="1"/>
  <c r="W542" i="1"/>
  <c r="W1045" i="1"/>
  <c r="W850" i="1"/>
  <c r="W853" i="1"/>
  <c r="W765" i="1"/>
  <c r="W383" i="1"/>
  <c r="W596" i="1"/>
  <c r="W1334" i="1"/>
  <c r="W851" i="1"/>
  <c r="W1212" i="1"/>
  <c r="W1092" i="1"/>
  <c r="W65" i="1"/>
  <c r="W1323" i="1"/>
  <c r="W163" i="1"/>
  <c r="W744" i="1"/>
  <c r="W264" i="1"/>
  <c r="W398" i="1"/>
  <c r="W537" i="1"/>
  <c r="W1313" i="1"/>
  <c r="W990" i="1"/>
  <c r="W465" i="1"/>
  <c r="W1308" i="1"/>
  <c r="W1187" i="1"/>
  <c r="W1077" i="1"/>
  <c r="W520" i="1"/>
  <c r="W371" i="1"/>
  <c r="W1028" i="1"/>
  <c r="W444" i="1"/>
  <c r="W1185" i="1"/>
  <c r="W471" i="1"/>
  <c r="W1296" i="1"/>
  <c r="W645" i="1"/>
  <c r="W636" i="1"/>
  <c r="W111" i="1"/>
  <c r="W171" i="1"/>
  <c r="W6" i="1"/>
  <c r="W956" i="1"/>
  <c r="W4" i="1"/>
  <c r="W688" i="1"/>
  <c r="W1282" i="1"/>
  <c r="W1172" i="1"/>
  <c r="W494" i="1"/>
  <c r="W1280" i="1"/>
  <c r="W296" i="1"/>
  <c r="W278" i="1"/>
  <c r="W1073" i="1"/>
  <c r="W1258" i="1"/>
  <c r="W5" i="1"/>
  <c r="W168" i="1"/>
  <c r="W954" i="1"/>
  <c r="W1279" i="1"/>
  <c r="W331" i="1"/>
  <c r="W294" i="1"/>
  <c r="W1152" i="1"/>
  <c r="W845" i="1"/>
  <c r="W380" i="1"/>
  <c r="W969" i="1"/>
  <c r="W583" i="1"/>
  <c r="W1289" i="1"/>
  <c r="W267" i="1"/>
  <c r="W263" i="1"/>
  <c r="W156" i="1"/>
  <c r="W962" i="1"/>
  <c r="W1224" i="1"/>
  <c r="W386" i="1"/>
  <c r="W1062" i="1"/>
  <c r="W268" i="1"/>
  <c r="W1223" i="1"/>
  <c r="W1291" i="1"/>
  <c r="W55" i="1"/>
  <c r="W552" i="1"/>
  <c r="W797" i="1"/>
  <c r="W1285" i="1"/>
  <c r="W177" i="1"/>
  <c r="W354" i="1"/>
  <c r="W762" i="1"/>
  <c r="W599" i="1"/>
  <c r="W275" i="1"/>
  <c r="W1328" i="1"/>
  <c r="W420" i="1"/>
  <c r="W811" i="1"/>
  <c r="W1321" i="1"/>
  <c r="W918" i="1"/>
  <c r="W1319" i="1"/>
  <c r="W667" i="1"/>
  <c r="W787" i="1"/>
  <c r="W240" i="1"/>
  <c r="W950" i="1"/>
  <c r="W1311" i="1"/>
  <c r="W1214" i="1"/>
  <c r="W1306" i="1"/>
  <c r="W610" i="1"/>
  <c r="W218" i="1"/>
  <c r="W160" i="1"/>
  <c r="W741" i="1"/>
  <c r="W99" i="1"/>
  <c r="W1000" i="1"/>
  <c r="W682" i="1"/>
  <c r="W369" i="1"/>
  <c r="W819" i="1"/>
  <c r="W357" i="1"/>
  <c r="W691" i="1"/>
  <c r="W786" i="1"/>
  <c r="W1213" i="1"/>
  <c r="W387" i="1"/>
  <c r="W312" i="1"/>
  <c r="W1284" i="1"/>
  <c r="W755" i="1"/>
  <c r="W1148" i="1"/>
  <c r="W729" i="1"/>
  <c r="W484" i="1"/>
  <c r="W480" i="1"/>
  <c r="T376" i="1"/>
  <c r="T375" i="1"/>
  <c r="T290" i="1"/>
  <c r="T505" i="1"/>
  <c r="T1495" i="1"/>
  <c r="T74" i="1"/>
  <c r="T826" i="1"/>
  <c r="T881" i="1"/>
  <c r="T463" i="1"/>
  <c r="T95" i="1"/>
  <c r="T1488" i="1"/>
  <c r="T925" i="1"/>
  <c r="T109" i="1"/>
  <c r="T10" i="1"/>
  <c r="T616" i="1"/>
  <c r="T1128" i="1"/>
  <c r="T49" i="1"/>
  <c r="T633" i="1"/>
  <c r="T541" i="1"/>
  <c r="T989" i="1"/>
  <c r="T1478" i="1"/>
  <c r="T97" i="1"/>
  <c r="T1473" i="1"/>
  <c r="T154" i="1"/>
  <c r="T1202" i="1"/>
  <c r="T1268" i="1"/>
  <c r="T687" i="1"/>
  <c r="T1468" i="1"/>
  <c r="T836" i="1"/>
  <c r="T1031" i="1"/>
  <c r="T244" i="1"/>
  <c r="T1260" i="1"/>
  <c r="T1461" i="1"/>
  <c r="T690" i="1"/>
  <c r="T639" i="1"/>
  <c r="T193" i="1"/>
  <c r="T801" i="1"/>
  <c r="T929" i="1"/>
  <c r="T618" i="1"/>
  <c r="T640" i="1"/>
  <c r="T776" i="1"/>
  <c r="T350" i="1"/>
  <c r="T453" i="1"/>
  <c r="T533" i="1"/>
  <c r="T692" i="1"/>
  <c r="T825" i="1"/>
  <c r="T449" i="1"/>
  <c r="T483" i="1"/>
  <c r="T231" i="1"/>
  <c r="T105" i="1"/>
  <c r="T919" i="1"/>
  <c r="T254" i="1"/>
  <c r="T203" i="1"/>
  <c r="T1485" i="1"/>
  <c r="T1192" i="1"/>
  <c r="T515" i="1"/>
  <c r="T118" i="1"/>
  <c r="T766" i="1"/>
  <c r="T922" i="1"/>
  <c r="T974" i="1"/>
  <c r="T1042" i="1"/>
  <c r="T1082" i="1"/>
  <c r="T1002" i="1"/>
  <c r="T114" i="1"/>
  <c r="T665" i="1"/>
  <c r="T63" i="1"/>
  <c r="T202" i="1"/>
  <c r="T1123" i="1"/>
  <c r="T780" i="1"/>
  <c r="T1132" i="1"/>
  <c r="T951" i="1"/>
  <c r="T984" i="1"/>
  <c r="T763" i="1"/>
  <c r="T385" i="1"/>
  <c r="T1190" i="1"/>
  <c r="T246" i="1"/>
  <c r="T1454" i="1"/>
  <c r="T1040" i="1"/>
  <c r="T129" i="1"/>
  <c r="T965" i="1"/>
  <c r="T1445" i="1"/>
  <c r="T285" i="1"/>
  <c r="T816" i="1"/>
  <c r="T603" i="1"/>
  <c r="T134" i="1"/>
  <c r="T1108" i="1"/>
  <c r="T80" i="1"/>
  <c r="T434" i="1"/>
  <c r="T1434" i="1"/>
  <c r="T605" i="1"/>
  <c r="T1264" i="1"/>
  <c r="T770" i="1"/>
  <c r="T245" i="1"/>
  <c r="T280" i="1"/>
  <c r="T1428" i="1"/>
  <c r="T846" i="1"/>
  <c r="T1424" i="1"/>
  <c r="T382" i="1"/>
  <c r="T893" i="1"/>
  <c r="T1086" i="1"/>
  <c r="T1215" i="1"/>
  <c r="T1248" i="1"/>
  <c r="T830" i="1"/>
  <c r="T1220" i="1"/>
  <c r="T630" i="1"/>
  <c r="T680" i="1"/>
  <c r="T213" i="1"/>
  <c r="T1096" i="1"/>
  <c r="T1049" i="1"/>
  <c r="T1444" i="1"/>
  <c r="T657" i="1"/>
  <c r="T782" i="1"/>
  <c r="T1277" i="1"/>
  <c r="T1421" i="1"/>
  <c r="T891" i="1"/>
  <c r="T963" i="1"/>
  <c r="T450" i="1"/>
  <c r="T606" i="1"/>
  <c r="T1442" i="1"/>
  <c r="T949" i="1"/>
  <c r="T433" i="1"/>
  <c r="T474" i="1"/>
  <c r="T1438" i="1"/>
  <c r="T421" i="1"/>
  <c r="T140" i="1"/>
  <c r="T1221" i="1"/>
  <c r="T875" i="1"/>
  <c r="T1431" i="1"/>
  <c r="T1085" i="1"/>
  <c r="T629" i="1"/>
  <c r="T562" i="1"/>
  <c r="T300" i="1"/>
  <c r="T774" i="1"/>
  <c r="T150" i="1"/>
  <c r="T982" i="1"/>
  <c r="T938" i="1"/>
  <c r="T122" i="1"/>
  <c r="T241" i="1"/>
  <c r="T271" i="1"/>
  <c r="T439" i="1"/>
  <c r="T1411" i="1"/>
  <c r="T894" i="1"/>
  <c r="T402" i="1"/>
  <c r="T162" i="1"/>
  <c r="T18" i="1"/>
  <c r="T144" i="1"/>
  <c r="T870" i="1"/>
  <c r="T1399" i="1"/>
  <c r="T1397" i="1"/>
  <c r="T1124" i="1"/>
  <c r="T1393" i="1"/>
  <c r="T701" i="1"/>
  <c r="T1081" i="1"/>
  <c r="T1168" i="1"/>
  <c r="T1387" i="1"/>
  <c r="T946" i="1"/>
  <c r="T784" i="1"/>
  <c r="T768" i="1"/>
  <c r="T1228" i="1"/>
  <c r="T493" i="1"/>
  <c r="T468" i="1"/>
  <c r="T126" i="1"/>
  <c r="T991" i="1"/>
  <c r="T1378" i="1"/>
  <c r="T1189" i="1"/>
  <c r="T986" i="1"/>
  <c r="T233" i="1"/>
  <c r="T12" i="1"/>
  <c r="T1367" i="1"/>
  <c r="T448" i="1"/>
  <c r="T142" i="1"/>
  <c r="T194" i="1"/>
  <c r="T779" i="1"/>
  <c r="T305" i="1"/>
  <c r="T269" i="1"/>
  <c r="T696" i="1"/>
  <c r="T1046" i="1"/>
  <c r="T1053" i="1"/>
  <c r="T532" i="1"/>
  <c r="T1218" i="1"/>
  <c r="T1344" i="1"/>
  <c r="T896" i="1"/>
  <c r="T783" i="1"/>
  <c r="T1100" i="1"/>
  <c r="B4" i="5"/>
  <c r="T1243" i="1"/>
  <c r="T51" i="1"/>
  <c r="T59" i="1"/>
  <c r="T1217" i="1"/>
  <c r="T462" i="1"/>
  <c r="T973" i="1"/>
  <c r="T75" i="1"/>
  <c r="T372" i="1"/>
  <c r="T686" i="1"/>
  <c r="T183" i="1"/>
  <c r="T11" i="1"/>
  <c r="T363" i="1"/>
  <c r="T477" i="1"/>
  <c r="T1233" i="1"/>
  <c r="T754" i="1"/>
  <c r="T394" i="1"/>
  <c r="T1402" i="1"/>
  <c r="T121" i="1"/>
  <c r="T935" i="1"/>
  <c r="T1083" i="1"/>
  <c r="T789" i="1"/>
  <c r="T216" i="1"/>
  <c r="T911" i="1"/>
  <c r="T37" i="1"/>
  <c r="T1178" i="1"/>
  <c r="T1386" i="1"/>
  <c r="T720" i="1"/>
  <c r="T643" i="1"/>
  <c r="T899" i="1"/>
  <c r="T694" i="1"/>
  <c r="T1379" i="1"/>
  <c r="T804" i="1"/>
  <c r="T510" i="1"/>
  <c r="T648" i="1"/>
  <c r="T971" i="1"/>
  <c r="T518" i="1"/>
  <c r="T889" i="1"/>
  <c r="T1369" i="1"/>
  <c r="T1276" i="1"/>
  <c r="T21" i="1"/>
  <c r="T602" i="1"/>
  <c r="T1360" i="1"/>
  <c r="T460" i="1"/>
  <c r="T482" i="1"/>
  <c r="T641" i="1"/>
  <c r="T400" i="1"/>
  <c r="T743" i="1"/>
  <c r="T1347" i="1"/>
  <c r="T1075" i="1"/>
  <c r="T91" i="1"/>
  <c r="T472" i="1"/>
  <c r="T436" i="1"/>
  <c r="T1024" i="1"/>
  <c r="T390" i="1"/>
  <c r="T215" i="1"/>
  <c r="T1339" i="1"/>
  <c r="T38" i="1"/>
  <c r="T413" i="1"/>
  <c r="T495" i="1"/>
  <c r="T458" i="1"/>
  <c r="T404" i="1"/>
  <c r="T1003" i="1"/>
  <c r="T1324" i="1"/>
  <c r="T332" i="1"/>
  <c r="T408" i="1"/>
  <c r="T822" i="1"/>
  <c r="T612" i="1"/>
  <c r="T252" i="1"/>
  <c r="T817" i="1"/>
  <c r="T212" i="1"/>
  <c r="T53" i="1"/>
  <c r="T87" i="1"/>
  <c r="T1013" i="1"/>
  <c r="T292" i="1"/>
  <c r="T996" i="1"/>
  <c r="T957" i="1"/>
  <c r="T695" i="1"/>
  <c r="T331" i="1"/>
  <c r="T294" i="1"/>
  <c r="T1152" i="1"/>
  <c r="T845" i="1"/>
  <c r="T969" i="1"/>
  <c r="T583" i="1"/>
  <c r="T1289" i="1"/>
  <c r="T267" i="1"/>
  <c r="T263" i="1"/>
  <c r="T156" i="1"/>
  <c r="T962" i="1"/>
  <c r="T1224" i="1"/>
  <c r="T386" i="1"/>
  <c r="T1062" i="1"/>
  <c r="T243" i="1"/>
  <c r="T1043" i="1"/>
  <c r="T565" i="1"/>
  <c r="T1198" i="1"/>
  <c r="T831" i="1"/>
  <c r="T604" i="1"/>
  <c r="T530" i="1"/>
  <c r="T35" i="1"/>
  <c r="T1427" i="1"/>
  <c r="T945" i="1"/>
  <c r="T1423" i="1"/>
  <c r="T1186" i="1"/>
  <c r="T958" i="1"/>
  <c r="T879" i="1"/>
  <c r="T913" i="1"/>
  <c r="T1357" i="1"/>
  <c r="T1346" i="1"/>
  <c r="T1194" i="1"/>
  <c r="T50" i="1"/>
  <c r="T968" i="1"/>
  <c r="T195" i="1"/>
  <c r="T1223" i="1"/>
  <c r="T354" i="1"/>
  <c r="T1180" i="1"/>
  <c r="T721" i="1"/>
  <c r="T651" i="1"/>
  <c r="T1483" i="1"/>
  <c r="T660" i="1"/>
  <c r="T656" i="1"/>
  <c r="T638" i="1"/>
  <c r="T587" i="1"/>
  <c r="T2" i="1"/>
  <c r="T1436" i="1"/>
  <c r="T878" i="1"/>
  <c r="T617" i="1"/>
  <c r="T1232" i="1"/>
  <c r="T622" i="1"/>
  <c r="T125" i="1"/>
  <c r="T767" i="1"/>
  <c r="T512" i="1"/>
  <c r="T1170" i="1"/>
  <c r="T753" i="1"/>
  <c r="T232" i="1"/>
  <c r="T27" i="1"/>
  <c r="T528" i="1"/>
  <c r="T209" i="1"/>
  <c r="T88" i="1"/>
  <c r="T849" i="1"/>
  <c r="T48" i="1"/>
  <c r="T582" i="1"/>
  <c r="T1469" i="1"/>
  <c r="T337" i="1"/>
  <c r="T529" i="1"/>
  <c r="T1449" i="1"/>
  <c r="T874" i="1"/>
  <c r="T1500" i="1"/>
  <c r="T615" i="1"/>
  <c r="T843" i="1"/>
  <c r="T473" i="1"/>
  <c r="T527" i="1"/>
  <c r="T206" i="1"/>
  <c r="T1491" i="1"/>
  <c r="T229" i="1"/>
  <c r="T591" i="1"/>
  <c r="T961" i="1"/>
  <c r="T880" i="1"/>
  <c r="T1209" i="1"/>
  <c r="T1146" i="1"/>
  <c r="T1048" i="1"/>
  <c r="T1204" i="1"/>
  <c r="T130" i="1"/>
  <c r="T1004" i="1"/>
  <c r="T1481" i="1"/>
  <c r="T923" i="1"/>
  <c r="T632" i="1"/>
  <c r="T286" i="1"/>
  <c r="T1114" i="1"/>
  <c r="T792" i="1"/>
  <c r="T710" i="1"/>
  <c r="T898" i="1"/>
  <c r="T157" i="1"/>
  <c r="T1256" i="1"/>
  <c r="T1466" i="1"/>
  <c r="T100" i="1"/>
  <c r="T1166" i="1"/>
  <c r="T609" i="1"/>
  <c r="T570" i="1"/>
  <c r="T47" i="1"/>
  <c r="T1457" i="1"/>
  <c r="T276" i="1"/>
  <c r="T939" i="1"/>
  <c r="T24" i="1"/>
  <c r="T668" i="1"/>
  <c r="T293" i="1"/>
  <c r="T1099" i="1"/>
  <c r="T749" i="1"/>
  <c r="T340" i="1"/>
  <c r="T543" i="1"/>
  <c r="T475" i="1"/>
  <c r="T432" i="1"/>
  <c r="T497" i="1"/>
  <c r="T658" i="1"/>
  <c r="T1266" i="1"/>
  <c r="T81" i="1"/>
  <c r="T1097" i="1"/>
  <c r="T997" i="1"/>
  <c r="T98" i="1"/>
  <c r="T491" i="1"/>
  <c r="T1089" i="1"/>
  <c r="T649" i="1"/>
  <c r="T523" i="1"/>
  <c r="T781" i="1"/>
  <c r="T1226" i="1"/>
  <c r="T1117" i="1"/>
  <c r="T1409" i="1"/>
  <c r="T833" i="1"/>
  <c r="T1406" i="1"/>
  <c r="T17" i="1"/>
  <c r="T1080" i="1"/>
  <c r="T31" i="1"/>
  <c r="T983" i="1"/>
  <c r="T1111" i="1"/>
  <c r="T718" i="1"/>
  <c r="T1394" i="1"/>
  <c r="T1257" i="1"/>
  <c r="T1391" i="1"/>
  <c r="T886" i="1"/>
  <c r="T405" i="1"/>
  <c r="T440" i="1"/>
  <c r="T581" i="1"/>
  <c r="T1385" i="1"/>
  <c r="T381" i="1"/>
  <c r="T1383" i="1"/>
  <c r="T1380" i="1"/>
  <c r="T1072" i="1"/>
  <c r="T790" i="1"/>
  <c r="T397" i="1"/>
  <c r="T349" i="1"/>
  <c r="T1376" i="1"/>
  <c r="T1373" i="1"/>
  <c r="T1370" i="1"/>
  <c r="T1368" i="1"/>
  <c r="T670" i="1"/>
  <c r="T1361" i="1"/>
  <c r="T531" i="1"/>
  <c r="T136" i="1"/>
  <c r="T70" i="1"/>
  <c r="T504" i="1"/>
  <c r="T908" i="1"/>
  <c r="T813" i="1"/>
  <c r="T1183" i="1"/>
  <c r="T1336" i="1"/>
  <c r="T713" i="1"/>
  <c r="T1014" i="1"/>
  <c r="T775" i="1"/>
  <c r="T1318" i="1"/>
  <c r="T1103" i="1"/>
  <c r="T1044" i="1"/>
  <c r="T1063" i="1"/>
  <c r="T219" i="1"/>
  <c r="T955" i="1"/>
  <c r="T1343" i="1"/>
  <c r="T514" i="1"/>
  <c r="T323" i="1"/>
  <c r="T1255" i="1"/>
  <c r="T566" i="1"/>
  <c r="T1133" i="1"/>
  <c r="T481" i="1"/>
  <c r="T932" i="1"/>
  <c r="T274" i="1"/>
  <c r="T1007" i="1"/>
  <c r="T438" i="1"/>
  <c r="T1330" i="1"/>
  <c r="T834" i="1"/>
  <c r="T222" i="1"/>
  <c r="T516" i="1"/>
  <c r="T1201" i="1"/>
  <c r="T827" i="1"/>
  <c r="T722" i="1"/>
  <c r="T1030" i="1"/>
  <c r="T1167" i="1"/>
  <c r="T683" i="1"/>
  <c r="T301" i="1"/>
  <c r="T1310" i="1"/>
  <c r="T1307" i="1"/>
  <c r="T502" i="1"/>
  <c r="T1305" i="1"/>
  <c r="T1116" i="1"/>
  <c r="T601" i="1"/>
  <c r="T837" i="1"/>
  <c r="T73" i="1"/>
  <c r="T1298" i="1"/>
  <c r="T1129" i="1"/>
  <c r="T288" i="1"/>
  <c r="T39" i="1"/>
  <c r="T178" i="1"/>
  <c r="T19" i="1"/>
  <c r="T135" i="1"/>
  <c r="T227" i="1"/>
  <c r="T715" i="1"/>
  <c r="T726" i="1"/>
  <c r="T242" i="1"/>
  <c r="T993" i="1"/>
  <c r="T315" i="1"/>
  <c r="T964" i="1"/>
  <c r="T1258" i="1"/>
  <c r="T1241" i="1"/>
  <c r="T169" i="1"/>
  <c r="T791" i="1"/>
  <c r="T119" i="1"/>
  <c r="T1494" i="1"/>
  <c r="T1139" i="1"/>
  <c r="T848" i="1"/>
  <c r="T547" i="1"/>
  <c r="T364" i="1"/>
  <c r="T1175" i="1"/>
  <c r="T567" i="1"/>
  <c r="T1487" i="1"/>
  <c r="T192" i="1"/>
  <c r="T167" i="1"/>
  <c r="T343" i="1"/>
  <c r="T903" i="1"/>
  <c r="T758" i="1"/>
  <c r="T36" i="1"/>
  <c r="T937" i="1"/>
  <c r="T747" i="1"/>
  <c r="T659" i="1"/>
  <c r="T1476" i="1"/>
  <c r="T1143" i="1"/>
  <c r="T750" i="1"/>
  <c r="T1021" i="1"/>
  <c r="T85" i="1"/>
  <c r="T303" i="1"/>
  <c r="T941" i="1"/>
  <c r="T1465" i="1"/>
  <c r="T623" i="1"/>
  <c r="T454" i="1"/>
  <c r="T137" i="1"/>
  <c r="T1460" i="1"/>
  <c r="T800" i="1"/>
  <c r="T149" i="1"/>
  <c r="T1455" i="1"/>
  <c r="T139" i="1"/>
  <c r="T1451" i="1"/>
  <c r="T677" i="1"/>
  <c r="T575" i="1"/>
  <c r="T568" i="1"/>
  <c r="T127" i="1"/>
  <c r="T785" i="1"/>
  <c r="T737" i="1"/>
  <c r="T522" i="1"/>
  <c r="T1437" i="1"/>
  <c r="T151" i="1"/>
  <c r="T698" i="1"/>
  <c r="T872" i="1"/>
  <c r="T62" i="1"/>
  <c r="T700" i="1"/>
  <c r="T257" i="1"/>
  <c r="T884" i="1"/>
  <c r="T832" i="1"/>
  <c r="T1010" i="1"/>
  <c r="T871" i="1"/>
  <c r="T284" i="1"/>
  <c r="T1076" i="1"/>
  <c r="T539" i="1"/>
  <c r="T456" i="1"/>
  <c r="T717" i="1"/>
  <c r="T1416" i="1"/>
  <c r="T1414" i="1"/>
  <c r="T917" i="1"/>
  <c r="T265" i="1"/>
  <c r="T1407" i="1"/>
  <c r="T145" i="1"/>
  <c r="T197" i="1"/>
  <c r="T943" i="1"/>
  <c r="T1035" i="1"/>
  <c r="T1267" i="1"/>
  <c r="T490" i="1"/>
  <c r="T728" i="1"/>
  <c r="T1015" i="1"/>
  <c r="T1088" i="1"/>
  <c r="T507" i="1"/>
  <c r="T446" i="1"/>
  <c r="T461" i="1"/>
  <c r="T1112" i="1"/>
  <c r="T395" i="1"/>
  <c r="T1176" i="1"/>
  <c r="T124" i="1"/>
  <c r="T936" i="1"/>
  <c r="T862" i="1"/>
  <c r="T727" i="1"/>
  <c r="T1136" i="1"/>
  <c r="T820" i="1"/>
  <c r="T328" i="1"/>
  <c r="T1171" i="1"/>
  <c r="T1366" i="1"/>
  <c r="T627" i="1"/>
  <c r="T447" i="1"/>
  <c r="T1358" i="1"/>
  <c r="T422" i="1"/>
  <c r="T1051" i="1"/>
  <c r="T1338" i="1"/>
  <c r="T1184" i="1"/>
  <c r="T976" i="1"/>
  <c r="T1032" i="1"/>
  <c r="T1317" i="1"/>
  <c r="T297" i="1"/>
  <c r="T675" i="1"/>
  <c r="T1297" i="1"/>
  <c r="T944" i="1"/>
  <c r="T1177" i="1"/>
  <c r="T807" i="1"/>
  <c r="T1498" i="1"/>
  <c r="T742" i="1"/>
  <c r="T1066" i="1"/>
  <c r="T407" i="1"/>
  <c r="T524" i="1"/>
  <c r="T835" i="1"/>
  <c r="T273" i="1"/>
  <c r="T1174" i="1"/>
  <c r="T987" i="1"/>
  <c r="T399" i="1"/>
  <c r="T379" i="1"/>
  <c r="T625" i="1"/>
  <c r="T424" i="1"/>
  <c r="T159" i="1"/>
  <c r="T279" i="1"/>
  <c r="T733" i="1"/>
  <c r="T423" i="1"/>
  <c r="T239" i="1"/>
  <c r="T1199" i="1"/>
  <c r="T1477" i="1"/>
  <c r="T1475" i="1"/>
  <c r="T360" i="1"/>
  <c r="T915" i="1"/>
  <c r="T1118" i="1"/>
  <c r="T921" i="1"/>
  <c r="T58" i="1"/>
  <c r="T326" i="1"/>
  <c r="T865" i="1"/>
  <c r="T1463" i="1"/>
  <c r="T960" i="1"/>
  <c r="T317" i="1"/>
  <c r="T1200" i="1"/>
  <c r="T1090" i="1"/>
  <c r="T298" i="1"/>
  <c r="T1138" i="1"/>
  <c r="T1273" i="1"/>
  <c r="T740" i="1"/>
  <c r="T525" i="1"/>
  <c r="T676" i="1"/>
  <c r="T1446" i="1"/>
  <c r="T1443" i="1"/>
  <c r="T1025" i="1"/>
  <c r="T773" i="1"/>
  <c r="T664" i="1"/>
  <c r="T1439" i="1"/>
  <c r="T325" i="1"/>
  <c r="T1435" i="1"/>
  <c r="T7" i="1"/>
  <c r="T1113" i="1"/>
  <c r="T1432" i="1"/>
  <c r="T857" i="1"/>
  <c r="T795" i="1"/>
  <c r="T703" i="1"/>
  <c r="T815" i="1"/>
  <c r="T707" i="1"/>
  <c r="T77" i="1"/>
  <c r="T910" i="1"/>
  <c r="T173" i="1"/>
  <c r="T1173" i="1"/>
  <c r="T335" i="1"/>
  <c r="T1137" i="1"/>
  <c r="T1179" i="1"/>
  <c r="T1057" i="1"/>
  <c r="T123" i="1"/>
  <c r="T546" i="1"/>
  <c r="T757" i="1"/>
  <c r="T508" i="1"/>
  <c r="T1404" i="1"/>
  <c r="T828" i="1"/>
  <c r="T663" i="1"/>
  <c r="T322" i="1"/>
  <c r="T697" i="1"/>
  <c r="T282" i="1"/>
  <c r="T101" i="1"/>
  <c r="T313" i="1"/>
  <c r="T1390" i="1"/>
  <c r="T170" i="1"/>
  <c r="T69" i="1"/>
  <c r="T1047" i="1"/>
  <c r="T107" i="1"/>
  <c r="T909" i="1"/>
  <c r="T798" i="1"/>
  <c r="T607" i="1"/>
  <c r="T1164" i="1"/>
  <c r="T418" i="1"/>
  <c r="T1151" i="1"/>
  <c r="T810" i="1"/>
  <c r="T847" i="1"/>
  <c r="T67" i="1"/>
  <c r="T104" i="1"/>
  <c r="T1125" i="1"/>
  <c r="T760" i="1"/>
  <c r="T15" i="1"/>
  <c r="T165" i="1"/>
  <c r="T86" i="1"/>
  <c r="T57" i="1"/>
  <c r="T888" i="1"/>
  <c r="T1027" i="1"/>
  <c r="T16" i="1"/>
  <c r="T595" i="1"/>
  <c r="T730" i="1"/>
  <c r="T1203" i="1"/>
  <c r="T30" i="1"/>
  <c r="T725" i="1"/>
  <c r="T261" i="1"/>
  <c r="T751" i="1"/>
  <c r="T488" i="1"/>
  <c r="T1499" i="1"/>
  <c r="T869" i="1"/>
  <c r="T577" i="1"/>
  <c r="T1159" i="1"/>
  <c r="T1259" i="1"/>
  <c r="T1240" i="1"/>
  <c r="T736" i="1"/>
  <c r="T1490" i="1"/>
  <c r="T287" i="1"/>
  <c r="T236" i="1"/>
  <c r="T338" i="1"/>
  <c r="T704" i="1"/>
  <c r="T40" i="1"/>
  <c r="T464" i="1"/>
  <c r="T348" i="1"/>
  <c r="T248" i="1"/>
  <c r="T1182" i="1"/>
  <c r="T1480" i="1"/>
  <c r="T346" i="1"/>
  <c r="T476" i="1"/>
  <c r="T912" i="1"/>
  <c r="T866" i="1"/>
  <c r="T316" i="1"/>
  <c r="T189" i="1"/>
  <c r="T764" i="1"/>
  <c r="T469" i="1"/>
  <c r="T818" i="1"/>
  <c r="T367" i="1"/>
  <c r="T883" i="1"/>
  <c r="T217" i="1"/>
  <c r="T814" i="1"/>
  <c r="T1060" i="1"/>
  <c r="T120" i="1"/>
  <c r="T1038" i="1"/>
  <c r="T445" i="1"/>
  <c r="T557" i="1"/>
  <c r="T308" i="1"/>
  <c r="T914" i="1"/>
  <c r="T295" i="1"/>
  <c r="T1037" i="1"/>
  <c r="T417" i="1"/>
  <c r="T1210" i="1"/>
  <c r="T685" i="1"/>
  <c r="T551" i="1"/>
  <c r="T1253" i="1"/>
  <c r="T756" i="1"/>
  <c r="T259" i="1"/>
  <c r="T1153" i="1"/>
  <c r="T377" i="1"/>
  <c r="T673" i="1"/>
  <c r="T823" i="1"/>
  <c r="T415" i="1"/>
  <c r="T1278" i="1"/>
  <c r="T198" i="1"/>
  <c r="T56" i="1"/>
  <c r="T526" i="1"/>
  <c r="T1425" i="1"/>
  <c r="T270" i="1"/>
  <c r="T548" i="1"/>
  <c r="T1195" i="1"/>
  <c r="T228" i="1"/>
  <c r="T1419" i="1"/>
  <c r="T1415" i="1"/>
  <c r="T1413" i="1"/>
  <c r="T1410" i="1"/>
  <c r="T500" i="1"/>
  <c r="T907" i="1"/>
  <c r="T752" i="1"/>
  <c r="T972" i="1"/>
  <c r="T635" i="1"/>
  <c r="T934" i="1"/>
  <c r="T89" i="1"/>
  <c r="T895" i="1"/>
  <c r="T478" i="1"/>
  <c r="T152" i="1"/>
  <c r="T1206" i="1"/>
  <c r="T699" i="1"/>
  <c r="T1197" i="1"/>
  <c r="T1122" i="1"/>
  <c r="T103" i="1"/>
  <c r="T384" i="1"/>
  <c r="T1384" i="1"/>
  <c r="T1016" i="1"/>
  <c r="T1109" i="1"/>
  <c r="T1055" i="1"/>
  <c r="T68" i="1"/>
  <c r="T1231" i="1"/>
  <c r="T1377" i="1"/>
  <c r="T1375" i="1"/>
  <c r="T501" i="1"/>
  <c r="T1067" i="1"/>
  <c r="T416" i="1"/>
  <c r="T1149" i="1"/>
  <c r="T769" i="1"/>
  <c r="T1501" i="1"/>
  <c r="T26" i="1"/>
  <c r="T933" i="1"/>
  <c r="T852" i="1"/>
  <c r="T289" i="1"/>
  <c r="T33" i="1"/>
  <c r="T1492" i="1"/>
  <c r="T41" i="1"/>
  <c r="T1119" i="1"/>
  <c r="T347" i="1"/>
  <c r="T1054" i="1"/>
  <c r="T60" i="1"/>
  <c r="T858" i="1"/>
  <c r="T1474" i="1"/>
  <c r="T712" i="1"/>
  <c r="T425" i="1"/>
  <c r="T1006" i="1"/>
  <c r="T1269" i="1"/>
  <c r="T1456" i="1"/>
  <c r="T238" i="1"/>
  <c r="T196" i="1"/>
  <c r="T1065" i="1"/>
  <c r="T1191" i="1"/>
  <c r="T1441" i="1"/>
  <c r="T166" i="1"/>
  <c r="T204" i="1"/>
  <c r="T1098" i="1"/>
  <c r="T1074" i="1"/>
  <c r="T1433" i="1"/>
  <c r="T310" i="1"/>
  <c r="T499" i="1"/>
  <c r="T1252" i="1"/>
  <c r="T1429" i="1"/>
  <c r="T406" i="1"/>
  <c r="T947" i="1"/>
  <c r="T23" i="1"/>
  <c r="T1271" i="1"/>
  <c r="T511" i="1"/>
  <c r="T1095" i="1"/>
  <c r="T771" i="1"/>
  <c r="T563" i="1"/>
  <c r="T1068" i="1"/>
  <c r="T590" i="1"/>
  <c r="T42" i="1"/>
  <c r="T1093" i="1"/>
  <c r="T1335" i="1"/>
  <c r="T498" i="1"/>
  <c r="T414" i="1"/>
  <c r="T1327" i="1"/>
  <c r="T262" i="1"/>
  <c r="T113" i="1"/>
  <c r="T208" i="1"/>
  <c r="T133" i="1"/>
  <c r="T1050" i="1"/>
  <c r="T561" i="1"/>
  <c r="T538" i="1"/>
  <c r="T370" i="1"/>
  <c r="T226" i="1"/>
  <c r="T803" i="1"/>
  <c r="T829" i="1"/>
  <c r="T185" i="1"/>
  <c r="T71" i="1"/>
  <c r="T299" i="1"/>
  <c r="T1162" i="1"/>
  <c r="T20" i="1"/>
  <c r="T327" i="1"/>
  <c r="T235" i="1"/>
  <c r="T1249" i="1"/>
  <c r="T926" i="1"/>
  <c r="T1104" i="1"/>
  <c r="T230" i="1"/>
  <c r="T1073" i="1"/>
  <c r="T1251" i="1"/>
  <c r="T374" i="1"/>
  <c r="T842" i="1"/>
  <c r="T619" i="1"/>
  <c r="T1349" i="1"/>
  <c r="T1078" i="1"/>
  <c r="T569" i="1"/>
  <c r="T1020" i="1"/>
  <c r="T942" i="1"/>
  <c r="T1207" i="1"/>
  <c r="T1341" i="1"/>
  <c r="T978" i="1"/>
  <c r="T329" i="1"/>
  <c r="T559" i="1"/>
  <c r="T1254" i="1"/>
  <c r="T856" i="1"/>
  <c r="T277" i="1"/>
  <c r="T1244" i="1"/>
  <c r="T738" i="1"/>
  <c r="T709" i="1"/>
  <c r="T1238" i="1"/>
  <c r="T1309" i="1"/>
  <c r="T905" i="1"/>
  <c r="T306" i="1"/>
  <c r="T1304" i="1"/>
  <c r="T164" i="1"/>
  <c r="T967" i="1"/>
  <c r="T311" i="1"/>
  <c r="T1301" i="1"/>
  <c r="T1163" i="1"/>
  <c r="T669" i="1"/>
  <c r="T1227" i="1"/>
  <c r="T1275" i="1"/>
  <c r="T1022" i="1"/>
  <c r="T794" i="1"/>
  <c r="T1287" i="1"/>
  <c r="T201" i="1"/>
  <c r="T221" i="1"/>
  <c r="T614" i="1"/>
  <c r="T5" i="1"/>
  <c r="T1196" i="1"/>
  <c r="T426" i="1"/>
  <c r="T1105" i="1"/>
  <c r="T1351" i="1"/>
  <c r="T256" i="1"/>
  <c r="T258" i="1"/>
  <c r="T860" i="1"/>
  <c r="T571" i="1"/>
  <c r="T334" i="1"/>
  <c r="T1261" i="1"/>
  <c r="T732" i="1"/>
  <c r="T356" i="1"/>
  <c r="T333" i="1"/>
  <c r="T1127" i="1"/>
  <c r="T467" i="1"/>
  <c r="T824" i="1"/>
  <c r="T1329" i="1"/>
  <c r="T90" i="1"/>
  <c r="T1058" i="1"/>
  <c r="T1250" i="1"/>
  <c r="T485" i="1"/>
  <c r="T1316" i="1"/>
  <c r="T373" i="1"/>
  <c r="T584" i="1"/>
  <c r="T981" i="1"/>
  <c r="T808" i="1"/>
  <c r="T430" i="1"/>
  <c r="T319" i="1"/>
  <c r="T1302" i="1"/>
  <c r="T867" i="1"/>
  <c r="T1135" i="1"/>
  <c r="T342" i="1"/>
  <c r="T1293" i="1"/>
  <c r="T225" i="1"/>
  <c r="T1290" i="1"/>
  <c r="T211" i="1"/>
  <c r="T321" i="1"/>
  <c r="T168" i="1"/>
  <c r="T1029" i="1"/>
  <c r="T1281" i="1"/>
  <c r="T954" i="1"/>
  <c r="T840" i="1"/>
  <c r="T1354" i="1"/>
  <c r="T361" i="1"/>
  <c r="T1247" i="1"/>
  <c r="T1348" i="1"/>
  <c r="T1034" i="1"/>
  <c r="T1342" i="1"/>
  <c r="T992" i="1"/>
  <c r="T1230" i="1"/>
  <c r="T608" i="1"/>
  <c r="T479" i="1"/>
  <c r="T54" i="1"/>
  <c r="T1039" i="1"/>
  <c r="T1331" i="1"/>
  <c r="T892" i="1"/>
  <c r="T1326" i="1"/>
  <c r="T985" i="1"/>
  <c r="T182" i="1"/>
  <c r="T1157" i="1"/>
  <c r="T821" i="1"/>
  <c r="T1315" i="1"/>
  <c r="T519" i="1"/>
  <c r="T1069" i="1"/>
  <c r="T576" i="1"/>
  <c r="T920" i="1"/>
  <c r="T191" i="1"/>
  <c r="T412" i="1"/>
  <c r="T138" i="1"/>
  <c r="T897" i="1"/>
  <c r="T1121" i="1"/>
  <c r="T778" i="1"/>
  <c r="T1023" i="1"/>
  <c r="T1300" i="1"/>
  <c r="T1154" i="1"/>
  <c r="T291" i="1"/>
  <c r="T509" i="1"/>
  <c r="T1026" i="1"/>
  <c r="T1292" i="1"/>
  <c r="T777" i="1"/>
  <c r="T854" i="1"/>
  <c r="T1288" i="1"/>
  <c r="T535" i="1"/>
  <c r="T1188" i="1"/>
  <c r="T1283" i="1"/>
  <c r="T593" i="1"/>
  <c r="T8" i="1"/>
  <c r="T72" i="1"/>
  <c r="T1279" i="1"/>
  <c r="T307" i="1"/>
  <c r="T1169" i="1"/>
  <c r="T207" i="1"/>
  <c r="T84" i="1"/>
  <c r="T339" i="1"/>
  <c r="T916" i="1"/>
  <c r="T392" i="1"/>
  <c r="T890" i="1"/>
  <c r="T585" i="1"/>
  <c r="T214" i="1"/>
  <c r="T1470" i="1"/>
  <c r="T247" i="1"/>
  <c r="T1130" i="1"/>
  <c r="T1059" i="1"/>
  <c r="T574" i="1"/>
  <c r="T545" i="1"/>
  <c r="T1450" i="1"/>
  <c r="T428" i="1"/>
  <c r="T746" i="1"/>
  <c r="T714" i="1"/>
  <c r="T116" i="1"/>
  <c r="T220" i="1"/>
  <c r="T411" i="1"/>
  <c r="T705" i="1"/>
  <c r="T1392" i="1"/>
  <c r="T496" i="1"/>
  <c r="T521" i="1"/>
  <c r="T731" i="1"/>
  <c r="T1374" i="1"/>
  <c r="T580" i="1"/>
  <c r="T1363" i="1"/>
  <c r="T948" i="1"/>
  <c r="T759" i="1"/>
  <c r="T1274" i="1"/>
  <c r="T1322" i="1"/>
  <c r="T578" i="1"/>
  <c r="T110" i="1"/>
  <c r="T83" i="1"/>
  <c r="T55" i="1"/>
  <c r="T1285" i="1"/>
  <c r="T435" i="1"/>
  <c r="T441" i="1"/>
  <c r="T1094" i="1"/>
  <c r="T1144" i="1"/>
  <c r="T1011" i="1"/>
  <c r="T141" i="1"/>
  <c r="T564" i="1"/>
  <c r="T1150" i="1"/>
  <c r="T1479" i="1"/>
  <c r="T200" i="1"/>
  <c r="T995" i="1"/>
  <c r="T115" i="1"/>
  <c r="T147" i="1"/>
  <c r="T492" i="1"/>
  <c r="T748" i="1"/>
  <c r="T1265" i="1"/>
  <c r="T401" i="1"/>
  <c r="T1216" i="1"/>
  <c r="T970" i="1"/>
  <c r="T1448" i="1"/>
  <c r="T266" i="1"/>
  <c r="T1440" i="1"/>
  <c r="T358" i="1"/>
  <c r="T174" i="1"/>
  <c r="T555" i="1"/>
  <c r="T1236" i="1"/>
  <c r="T1211" i="1"/>
  <c r="T1131" i="1"/>
  <c r="T644" i="1"/>
  <c r="T1181" i="1"/>
  <c r="T296" i="1"/>
  <c r="T324" i="1"/>
  <c r="T809" i="1"/>
  <c r="T1497" i="1"/>
  <c r="T679" i="1"/>
  <c r="T1493" i="1"/>
  <c r="T1486" i="1"/>
  <c r="T1084" i="1"/>
  <c r="T368" i="1"/>
  <c r="T708" i="1"/>
  <c r="T674" i="1"/>
  <c r="T1229" i="1"/>
  <c r="T455" i="1"/>
  <c r="T556" i="1"/>
  <c r="T885" i="1"/>
  <c r="T46" i="1"/>
  <c r="T1447" i="1"/>
  <c r="T959" i="1"/>
  <c r="T486" i="1"/>
  <c r="T1126" i="1"/>
  <c r="T172" i="1"/>
  <c r="T253" i="1"/>
  <c r="T864" i="1"/>
  <c r="T1012" i="1"/>
  <c r="T437" i="1"/>
  <c r="T13" i="1"/>
  <c r="T25" i="1"/>
  <c r="T1420" i="1"/>
  <c r="T788" i="1"/>
  <c r="T1087" i="1"/>
  <c r="T52" i="1"/>
  <c r="T1412" i="1"/>
  <c r="T1239" i="1"/>
  <c r="T1408" i="1"/>
  <c r="T572" i="1"/>
  <c r="T1070" i="1"/>
  <c r="T906" i="1"/>
  <c r="T1403" i="1"/>
  <c r="T1400" i="1"/>
  <c r="T1398" i="1"/>
  <c r="T1396" i="1"/>
  <c r="T863" i="1"/>
  <c r="T1208" i="1"/>
  <c r="T1147" i="1"/>
  <c r="T805" i="1"/>
  <c r="T678" i="1"/>
  <c r="T1165" i="1"/>
  <c r="T1246" i="1"/>
  <c r="T873" i="1"/>
  <c r="T351" i="1"/>
  <c r="T389" i="1"/>
  <c r="T1381" i="1"/>
  <c r="T61" i="1"/>
  <c r="T393" i="1"/>
  <c r="T928" i="1"/>
  <c r="T359" i="1"/>
  <c r="T457" i="1"/>
  <c r="T597" i="1"/>
  <c r="T1371" i="1"/>
  <c r="T1262" i="1"/>
  <c r="T309" i="1"/>
  <c r="T806" i="1"/>
  <c r="T1362" i="1"/>
  <c r="T250" i="1"/>
  <c r="T1355" i="1"/>
  <c r="T711" i="1"/>
  <c r="T1353" i="1"/>
  <c r="T1350" i="1"/>
  <c r="T598" i="1"/>
  <c r="T626" i="1"/>
  <c r="T1017" i="1"/>
  <c r="T1145" i="1"/>
  <c r="T882" i="1"/>
  <c r="T1018" i="1"/>
  <c r="T1263" i="1"/>
  <c r="T345" i="1"/>
  <c r="T930" i="1"/>
  <c r="T1340" i="1"/>
  <c r="T79" i="1"/>
  <c r="T1337" i="1"/>
  <c r="T260" i="1"/>
  <c r="T540" i="1"/>
  <c r="T554" i="1"/>
  <c r="T302" i="1"/>
  <c r="T249" i="1"/>
  <c r="T1219" i="1"/>
  <c r="T199" i="1"/>
  <c r="T734" i="1"/>
  <c r="T975" i="1"/>
  <c r="T1245" i="1"/>
  <c r="T1158" i="1"/>
  <c r="T66" i="1"/>
  <c r="T1071" i="1"/>
  <c r="T1193" i="1"/>
  <c r="T29" i="1"/>
  <c r="T155" i="1"/>
  <c r="T442" i="1"/>
  <c r="T3" i="1"/>
  <c r="T1033" i="1"/>
  <c r="T553" i="1"/>
  <c r="T723" i="1"/>
  <c r="T1115" i="1"/>
  <c r="T1299" i="1"/>
  <c r="T702" i="1"/>
  <c r="T148" i="1"/>
  <c r="T391" i="1"/>
  <c r="T1294" i="1"/>
  <c r="T1008" i="1"/>
  <c r="T887" i="1"/>
  <c r="T611" i="1"/>
  <c r="T1160" i="1"/>
  <c r="T1286" i="1"/>
  <c r="T429" i="1"/>
  <c r="T761" i="1"/>
  <c r="T131" i="1"/>
  <c r="T1134" i="1"/>
  <c r="T278" i="1"/>
  <c r="T544" i="1"/>
  <c r="T451" i="1"/>
  <c r="T671" i="1"/>
  <c r="T1142" i="1"/>
  <c r="T802" i="1"/>
  <c r="T1418" i="1"/>
  <c r="T517" i="1"/>
  <c r="T92" i="1"/>
  <c r="T924" i="1"/>
  <c r="T901" i="1"/>
  <c r="T470" i="1"/>
  <c r="T1405" i="1"/>
  <c r="T1041" i="1"/>
  <c r="T1225" i="1"/>
  <c r="T653" i="1"/>
  <c r="T1388" i="1"/>
  <c r="T646" i="1"/>
  <c r="T186" i="1"/>
  <c r="T931" i="1"/>
  <c r="T940" i="1"/>
  <c r="T621" i="1"/>
  <c r="T1372" i="1"/>
  <c r="T304" i="1"/>
  <c r="T1101" i="1"/>
  <c r="T650" i="1"/>
  <c r="T179" i="1"/>
  <c r="T716" i="1"/>
  <c r="T900" i="1"/>
  <c r="T181" i="1"/>
  <c r="T108" i="1"/>
  <c r="T861" i="1"/>
  <c r="T980" i="1"/>
  <c r="T513" i="1"/>
  <c r="T796" i="1"/>
  <c r="T1325" i="1"/>
  <c r="T1320" i="1"/>
  <c r="T1314" i="1"/>
  <c r="T341" i="1"/>
  <c r="T620" i="1"/>
  <c r="T419" i="1"/>
  <c r="T1303" i="1"/>
  <c r="T549" i="1"/>
  <c r="T503" i="1"/>
  <c r="T624" i="1"/>
  <c r="T1295" i="1"/>
  <c r="T1291" i="1"/>
  <c r="T552" i="1"/>
  <c r="T177" i="1"/>
  <c r="T762" i="1"/>
  <c r="T237" i="1"/>
  <c r="T745" i="1"/>
  <c r="T838" i="1"/>
  <c r="T403" i="1"/>
  <c r="T28" i="1"/>
  <c r="T666" i="1"/>
  <c r="T190" i="1"/>
  <c r="T1395" i="1"/>
  <c r="T365" i="1"/>
  <c r="T184" i="1"/>
  <c r="T1110" i="1"/>
  <c r="T94" i="1"/>
  <c r="T1234" i="1"/>
  <c r="T22" i="1"/>
  <c r="T452" i="1"/>
  <c r="T592" i="1"/>
  <c r="T1102" i="1"/>
  <c r="T378" i="1"/>
  <c r="T459" i="1"/>
  <c r="T1155" i="1"/>
  <c r="T1120" i="1"/>
  <c r="T1140" i="1"/>
  <c r="T1237" i="1"/>
  <c r="T634" i="1"/>
  <c r="T102" i="1"/>
  <c r="T1161" i="1"/>
  <c r="T1036" i="1"/>
  <c r="T1365" i="1"/>
  <c r="T693" i="1"/>
  <c r="T353" i="1"/>
  <c r="T1356" i="1"/>
  <c r="T466" i="1"/>
  <c r="T876" i="1"/>
  <c r="T487" i="1"/>
  <c r="T180" i="1"/>
  <c r="T812" i="1"/>
  <c r="T336" i="1"/>
  <c r="T1345" i="1"/>
  <c r="T998" i="1"/>
  <c r="T647" i="1"/>
  <c r="T45" i="1"/>
  <c r="T32" i="1"/>
  <c r="T877" i="1"/>
  <c r="T637" i="1"/>
  <c r="T106" i="1"/>
  <c r="T146" i="1"/>
  <c r="T143" i="1"/>
  <c r="T844" i="1"/>
  <c r="T1332" i="1"/>
  <c r="T661" i="1"/>
  <c r="T1328" i="1"/>
  <c r="T420" i="1"/>
  <c r="T811" i="1"/>
  <c r="T1321" i="1"/>
  <c r="T918" i="1"/>
  <c r="T1319" i="1"/>
  <c r="T667" i="1"/>
  <c r="T787" i="1"/>
  <c r="T240" i="1"/>
  <c r="T950" i="1"/>
  <c r="T1311" i="1"/>
  <c r="T1214" i="1"/>
  <c r="T1306" i="1"/>
  <c r="T610" i="1"/>
  <c r="T218" i="1"/>
  <c r="T160" i="1"/>
  <c r="T741" i="1"/>
  <c r="T99" i="1"/>
  <c r="T1000" i="1"/>
  <c r="T682" i="1"/>
  <c r="T369" i="1"/>
  <c r="T819" i="1"/>
  <c r="T357" i="1"/>
  <c r="T691" i="1"/>
  <c r="T786" i="1"/>
  <c r="T1213" i="1"/>
  <c r="T387" i="1"/>
  <c r="T312" i="1"/>
  <c r="T1284" i="1"/>
  <c r="T755" i="1"/>
  <c r="T1148" i="1"/>
  <c r="T729" i="1"/>
  <c r="T484" i="1"/>
  <c r="T480" i="1"/>
  <c r="T966" i="1"/>
  <c r="T1235" i="1"/>
  <c r="T1453" i="1"/>
  <c r="T613" i="1"/>
  <c r="T1242" i="1"/>
  <c r="T78" i="1"/>
  <c r="T355" i="1"/>
  <c r="T283" i="1"/>
  <c r="T14" i="1"/>
  <c r="T1061" i="1"/>
  <c r="T1401" i="1"/>
  <c r="T631" i="1"/>
  <c r="T859" i="1"/>
  <c r="T43" i="1"/>
  <c r="T953" i="1"/>
  <c r="T994" i="1"/>
  <c r="T1389" i="1"/>
  <c r="T388" i="1"/>
  <c r="T96" i="1"/>
  <c r="T999" i="1"/>
  <c r="T320" i="1"/>
  <c r="T1106" i="1"/>
  <c r="T272" i="1"/>
  <c r="T1382" i="1"/>
  <c r="T112" i="1"/>
  <c r="T839" i="1"/>
  <c r="T44" i="1"/>
  <c r="T904" i="1"/>
  <c r="T187" i="1"/>
  <c r="T409" i="1"/>
  <c r="T281" i="1"/>
  <c r="T366" i="1"/>
  <c r="T161" i="1"/>
  <c r="T594" i="1"/>
  <c r="T153" i="1"/>
  <c r="T1222" i="1"/>
  <c r="T662" i="1"/>
  <c r="T1001" i="1"/>
  <c r="T739" i="1"/>
  <c r="T255" i="1"/>
  <c r="T772" i="1"/>
  <c r="T1052" i="1"/>
  <c r="T175" i="1"/>
  <c r="T724" i="1"/>
  <c r="T330" i="1"/>
  <c r="T506" i="1"/>
  <c r="T542" i="1"/>
  <c r="T1045" i="1"/>
  <c r="T850" i="1"/>
  <c r="T853" i="1"/>
  <c r="T765" i="1"/>
  <c r="T383" i="1"/>
  <c r="T596" i="1"/>
  <c r="T1334" i="1"/>
  <c r="T851" i="1"/>
  <c r="T1212" i="1"/>
  <c r="T1092" i="1"/>
  <c r="T65" i="1"/>
  <c r="T1323" i="1"/>
  <c r="T163" i="1"/>
  <c r="T744" i="1"/>
  <c r="T264" i="1"/>
  <c r="T398" i="1"/>
  <c r="T537" i="1"/>
  <c r="T1313" i="1"/>
  <c r="T990" i="1"/>
  <c r="T465" i="1"/>
  <c r="T1308" i="1"/>
  <c r="T1187" i="1"/>
  <c r="T1077" i="1"/>
  <c r="T520" i="1"/>
  <c r="T371" i="1"/>
  <c r="T1028" i="1"/>
  <c r="T444" i="1"/>
  <c r="T1185" i="1"/>
  <c r="T471" i="1"/>
  <c r="T1296" i="1"/>
  <c r="T645" i="1"/>
  <c r="T636" i="1"/>
  <c r="T111" i="1"/>
  <c r="T171" i="1"/>
  <c r="T6" i="1"/>
  <c r="T956" i="1"/>
  <c r="T4" i="1"/>
  <c r="T688" i="1"/>
  <c r="T1282" i="1"/>
  <c r="T1172" i="1"/>
  <c r="T494" i="1"/>
  <c r="T1280" i="1"/>
  <c r="B16" i="5" l="1"/>
  <c r="B14" i="5"/>
  <c r="B25" i="5"/>
  <c r="B22" i="5"/>
  <c r="B31" i="5"/>
  <c r="B29" i="5"/>
  <c r="B13" i="5"/>
  <c r="B30" i="5"/>
  <c r="B17" i="5"/>
  <c r="B23" i="5"/>
  <c r="B3" i="5"/>
  <c r="B9" i="5"/>
  <c r="B21" i="5"/>
  <c r="B24" i="5"/>
  <c r="B15" i="5"/>
</calcChain>
</file>

<file path=xl/sharedStrings.xml><?xml version="1.0" encoding="utf-8"?>
<sst xmlns="http://schemas.openxmlformats.org/spreadsheetml/2006/main" count="12217" uniqueCount="1823">
  <si>
    <t>Supplier_ID</t>
  </si>
  <si>
    <t>Supplier_Name</t>
  </si>
  <si>
    <t>Region</t>
  </si>
  <si>
    <t>Industry</t>
  </si>
  <si>
    <t>Supplier_Size</t>
  </si>
  <si>
    <t>Annual_Spend</t>
  </si>
  <si>
    <t>Invoice_ID</t>
  </si>
  <si>
    <t>Invoice_Amount</t>
  </si>
  <si>
    <t>Invoice_Date</t>
  </si>
  <si>
    <t>Payment_Terms_Days</t>
  </si>
  <si>
    <t>Days_To_Approval</t>
  </si>
  <si>
    <t>Supplier_Borrowing_Rate</t>
  </si>
  <si>
    <t>SCF_Rate</t>
  </si>
  <si>
    <t>Early_Payment_Days</t>
  </si>
  <si>
    <t>Critical_Supplier_Flag</t>
  </si>
  <si>
    <t>Program_Eligible</t>
  </si>
  <si>
    <t>Estimated_Adoption</t>
  </si>
  <si>
    <t>Financing_Cost_Without_SCF</t>
  </si>
  <si>
    <t>Financing_Cost_With_SCF</t>
  </si>
  <si>
    <t>Supplier_Savings</t>
  </si>
  <si>
    <t>Liquidity_Days_Improved</t>
  </si>
  <si>
    <t>SUP103</t>
  </si>
  <si>
    <t>Precision Partners</t>
  </si>
  <si>
    <t>Mexico</t>
  </si>
  <si>
    <t>MRO</t>
  </si>
  <si>
    <t>Medium</t>
  </si>
  <si>
    <t>INV00001</t>
  </si>
  <si>
    <t>No</t>
  </si>
  <si>
    <t>Yes</t>
  </si>
  <si>
    <t>SUP087</t>
  </si>
  <si>
    <t>Precision Logistics</t>
  </si>
  <si>
    <t>Europe</t>
  </si>
  <si>
    <t>Components</t>
  </si>
  <si>
    <t>INV00002</t>
  </si>
  <si>
    <t>SUP050</t>
  </si>
  <si>
    <t>SwiftHaul Supply</t>
  </si>
  <si>
    <t>US</t>
  </si>
  <si>
    <t>Logistics</t>
  </si>
  <si>
    <t>INV00003</t>
  </si>
  <si>
    <t>SUP038</t>
  </si>
  <si>
    <t>Pacific Crest Co</t>
  </si>
  <si>
    <t>Canada</t>
  </si>
  <si>
    <t>INV00004</t>
  </si>
  <si>
    <t>SUP025</t>
  </si>
  <si>
    <t>Titan Co</t>
  </si>
  <si>
    <t>INV00005</t>
  </si>
  <si>
    <t>SUP039</t>
  </si>
  <si>
    <t>Titan Supply</t>
  </si>
  <si>
    <t>Packaging</t>
  </si>
  <si>
    <t>Small</t>
  </si>
  <si>
    <t>INV00006</t>
  </si>
  <si>
    <t>SUP137</t>
  </si>
  <si>
    <t>IronRoute Systems</t>
  </si>
  <si>
    <t>INV00007</t>
  </si>
  <si>
    <t>SUP042</t>
  </si>
  <si>
    <t>NorthPeak Group</t>
  </si>
  <si>
    <t>Large</t>
  </si>
  <si>
    <t>INV00008</t>
  </si>
  <si>
    <t>SUP065</t>
  </si>
  <si>
    <t>SilverLine Group</t>
  </si>
  <si>
    <t>INV00009</t>
  </si>
  <si>
    <t>SUP083</t>
  </si>
  <si>
    <t>SwiftHaul Components</t>
  </si>
  <si>
    <t>INV00010</t>
  </si>
  <si>
    <t>SUP027</t>
  </si>
  <si>
    <t>Nova Systems</t>
  </si>
  <si>
    <t>Ingredients</t>
  </si>
  <si>
    <t>INV00011</t>
  </si>
  <si>
    <t>SUP145</t>
  </si>
  <si>
    <t>CoreTech Partners</t>
  </si>
  <si>
    <t>INV00012</t>
  </si>
  <si>
    <t>INV00013</t>
  </si>
  <si>
    <t>SUP125</t>
  </si>
  <si>
    <t>Pacific Crest Group</t>
  </si>
  <si>
    <t>INV00014</t>
  </si>
  <si>
    <t>SUP003</t>
  </si>
  <si>
    <t>Titan Partners</t>
  </si>
  <si>
    <t>APAC</t>
  </si>
  <si>
    <t>INV00015</t>
  </si>
  <si>
    <t>SUP012</t>
  </si>
  <si>
    <t>NorthPeak Industries</t>
  </si>
  <si>
    <t>INV00016</t>
  </si>
  <si>
    <t>SUP057</t>
  </si>
  <si>
    <t>FreightBridge Partners</t>
  </si>
  <si>
    <t>INV00017</t>
  </si>
  <si>
    <t>SUP032</t>
  </si>
  <si>
    <t>Atlas Group</t>
  </si>
  <si>
    <t>INV00018</t>
  </si>
  <si>
    <t>SUP054</t>
  </si>
  <si>
    <t>RedRock Supply</t>
  </si>
  <si>
    <t>INV00019</t>
  </si>
  <si>
    <t>SUP132</t>
  </si>
  <si>
    <t>CoreTech Solutions</t>
  </si>
  <si>
    <t>INV00020</t>
  </si>
  <si>
    <t>SUP058</t>
  </si>
  <si>
    <t>NorthPeak Systems</t>
  </si>
  <si>
    <t>INV00021</t>
  </si>
  <si>
    <t>SUP009</t>
  </si>
  <si>
    <t>Atlas Industries</t>
  </si>
  <si>
    <t>INV00022</t>
  </si>
  <si>
    <t>SUP115</t>
  </si>
  <si>
    <t>CoreTech Supply</t>
  </si>
  <si>
    <t>INV00023</t>
  </si>
  <si>
    <t>SUP134</t>
  </si>
  <si>
    <t>INV00024</t>
  </si>
  <si>
    <t>SUP106</t>
  </si>
  <si>
    <t>GreenField Co</t>
  </si>
  <si>
    <t>INV00025</t>
  </si>
  <si>
    <t>INV00026</t>
  </si>
  <si>
    <t>SUP035</t>
  </si>
  <si>
    <t>Delta Partners</t>
  </si>
  <si>
    <t>INV00027</t>
  </si>
  <si>
    <t>SUP067</t>
  </si>
  <si>
    <t>PrimeLine Logistics</t>
  </si>
  <si>
    <t>INV00028</t>
  </si>
  <si>
    <t>SUP029</t>
  </si>
  <si>
    <t>INV00029</t>
  </si>
  <si>
    <t>SUP022</t>
  </si>
  <si>
    <t>Nova Supply</t>
  </si>
  <si>
    <t>INV00030</t>
  </si>
  <si>
    <t>SUP056</t>
  </si>
  <si>
    <t>RedRock Co</t>
  </si>
  <si>
    <t>INV00031</t>
  </si>
  <si>
    <t>SUP122</t>
  </si>
  <si>
    <t>ProServe Supply</t>
  </si>
  <si>
    <t>INV00032</t>
  </si>
  <si>
    <t>INV00033</t>
  </si>
  <si>
    <t>SUP073</t>
  </si>
  <si>
    <t>Skyline Group</t>
  </si>
  <si>
    <t>INV00034</t>
  </si>
  <si>
    <t>SUP146</t>
  </si>
  <si>
    <t>GreenField Logistics</t>
  </si>
  <si>
    <t>INV00035</t>
  </si>
  <si>
    <t>SUP047</t>
  </si>
  <si>
    <t>ProServe Solutions</t>
  </si>
  <si>
    <t>INV00036</t>
  </si>
  <si>
    <t>SUP068</t>
  </si>
  <si>
    <t>FreightBridge Industries</t>
  </si>
  <si>
    <t>INV00037</t>
  </si>
  <si>
    <t>SUP014</t>
  </si>
  <si>
    <t>Summit Partners</t>
  </si>
  <si>
    <t>INV00038</t>
  </si>
  <si>
    <t>SUP118</t>
  </si>
  <si>
    <t>CoreTech Systems</t>
  </si>
  <si>
    <t>INV00039</t>
  </si>
  <si>
    <t>SUP063</t>
  </si>
  <si>
    <t>IronRoute Partners</t>
  </si>
  <si>
    <t>INV00040</t>
  </si>
  <si>
    <t>INV00041</t>
  </si>
  <si>
    <t>SUP011</t>
  </si>
  <si>
    <t>INV00042</t>
  </si>
  <si>
    <t>SUP066</t>
  </si>
  <si>
    <t>INV00043</t>
  </si>
  <si>
    <t>SUP147</t>
  </si>
  <si>
    <t>Maple Leaf Components</t>
  </si>
  <si>
    <t>INV00044</t>
  </si>
  <si>
    <t>SUP046</t>
  </si>
  <si>
    <t>Vertex Industries</t>
  </si>
  <si>
    <t>INV00045</t>
  </si>
  <si>
    <t>INV00046</t>
  </si>
  <si>
    <t>SUP051</t>
  </si>
  <si>
    <t>Skyline Co</t>
  </si>
  <si>
    <t>INV00047</t>
  </si>
  <si>
    <t>SUP149</t>
  </si>
  <si>
    <t>Vertex Systems</t>
  </si>
  <si>
    <t>INV00048</t>
  </si>
  <si>
    <t>SUP045</t>
  </si>
  <si>
    <t>Delta Solutions</t>
  </si>
  <si>
    <t>INV00049</t>
  </si>
  <si>
    <t>SUP126</t>
  </si>
  <si>
    <t>PrimeLine Industries</t>
  </si>
  <si>
    <t>INV00050</t>
  </si>
  <si>
    <t>INV00051</t>
  </si>
  <si>
    <t>INV00052</t>
  </si>
  <si>
    <t>SUP030</t>
  </si>
  <si>
    <t>Summit Systems</t>
  </si>
  <si>
    <t>INV00053</t>
  </si>
  <si>
    <t>SUP069</t>
  </si>
  <si>
    <t>INV00054</t>
  </si>
  <si>
    <t>SUP002</t>
  </si>
  <si>
    <t>FreightBridge Supply</t>
  </si>
  <si>
    <t>INV00055</t>
  </si>
  <si>
    <t>INV00056</t>
  </si>
  <si>
    <t>SUP097</t>
  </si>
  <si>
    <t>Allied Components</t>
  </si>
  <si>
    <t>INV00057</t>
  </si>
  <si>
    <t>SUP091</t>
  </si>
  <si>
    <t>PrimeLine Group</t>
  </si>
  <si>
    <t>INV00058</t>
  </si>
  <si>
    <t>SUP095</t>
  </si>
  <si>
    <t>FreightBridge Systems</t>
  </si>
  <si>
    <t>INV00059</t>
  </si>
  <si>
    <t>INV00060</t>
  </si>
  <si>
    <t>SUP098</t>
  </si>
  <si>
    <t>Delta Logistics</t>
  </si>
  <si>
    <t>INV00061</t>
  </si>
  <si>
    <t>INV00062</t>
  </si>
  <si>
    <t>SUP108</t>
  </si>
  <si>
    <t>Maple Leaf Co</t>
  </si>
  <si>
    <t>INV00063</t>
  </si>
  <si>
    <t>INV00064</t>
  </si>
  <si>
    <t>SUP026</t>
  </si>
  <si>
    <t>INV00065</t>
  </si>
  <si>
    <t>SUP123</t>
  </si>
  <si>
    <t>SilverLine Supply</t>
  </si>
  <si>
    <t>INV00066</t>
  </si>
  <si>
    <t>SUP107</t>
  </si>
  <si>
    <t>Skyline Solutions</t>
  </si>
  <si>
    <t>INV00067</t>
  </si>
  <si>
    <t>INV00068</t>
  </si>
  <si>
    <t>SUP021</t>
  </si>
  <si>
    <t>Nova Partners</t>
  </si>
  <si>
    <t>INV00069</t>
  </si>
  <si>
    <t>SUP096</t>
  </si>
  <si>
    <t>FreightBridge Co</t>
  </si>
  <si>
    <t>INV00070</t>
  </si>
  <si>
    <t>INV00071</t>
  </si>
  <si>
    <t>SUP136</t>
  </si>
  <si>
    <t>RedRock Solutions</t>
  </si>
  <si>
    <t>INV00072</t>
  </si>
  <si>
    <t>SUP099</t>
  </si>
  <si>
    <t>Precision Industries</t>
  </si>
  <si>
    <t>INV00073</t>
  </si>
  <si>
    <t>SUP131</t>
  </si>
  <si>
    <t>GreenField Systems</t>
  </si>
  <si>
    <t>INV00074</t>
  </si>
  <si>
    <t>SUP090</t>
  </si>
  <si>
    <t>INV00075</t>
  </si>
  <si>
    <t>SUP086</t>
  </si>
  <si>
    <t>INV00076</t>
  </si>
  <si>
    <t>SUP072</t>
  </si>
  <si>
    <t>GreenField Components</t>
  </si>
  <si>
    <t>INV00077</t>
  </si>
  <si>
    <t>SUP010</t>
  </si>
  <si>
    <t>INV00078</t>
  </si>
  <si>
    <t>INV00079</t>
  </si>
  <si>
    <t>SUP112</t>
  </si>
  <si>
    <t>INV00080</t>
  </si>
  <si>
    <t>INV00081</t>
  </si>
  <si>
    <t>SUP004</t>
  </si>
  <si>
    <t>Apex Co</t>
  </si>
  <si>
    <t>INV00082</t>
  </si>
  <si>
    <t>INV00083</t>
  </si>
  <si>
    <t>INV00084</t>
  </si>
  <si>
    <t>SUP093</t>
  </si>
  <si>
    <t>Skyline Logistics</t>
  </si>
  <si>
    <t>INV00085</t>
  </si>
  <si>
    <t>SUP127</t>
  </si>
  <si>
    <t>INV00086</t>
  </si>
  <si>
    <t>SUP049</t>
  </si>
  <si>
    <t>ProServe Partners</t>
  </si>
  <si>
    <t>INV00087</t>
  </si>
  <si>
    <t>SUP006</t>
  </si>
  <si>
    <t>INV00088</t>
  </si>
  <si>
    <t>INV00089</t>
  </si>
  <si>
    <t>INV00090</t>
  </si>
  <si>
    <t>SUP111</t>
  </si>
  <si>
    <t>SwiftHaul Systems</t>
  </si>
  <si>
    <t>INV00091</t>
  </si>
  <si>
    <t>SUP081</t>
  </si>
  <si>
    <t>IronRoute Supply</t>
  </si>
  <si>
    <t>INV00092</t>
  </si>
  <si>
    <t>INV00093</t>
  </si>
  <si>
    <t>SUP082</t>
  </si>
  <si>
    <t>Precision Components</t>
  </si>
  <si>
    <t>INV00094</t>
  </si>
  <si>
    <t>INV00095</t>
  </si>
  <si>
    <t>INV00096</t>
  </si>
  <si>
    <t>SUP141</t>
  </si>
  <si>
    <t>IronRoute Industries</t>
  </si>
  <si>
    <t>INV00097</t>
  </si>
  <si>
    <t>SUP044</t>
  </si>
  <si>
    <t>INV00098</t>
  </si>
  <si>
    <t>SUP053</t>
  </si>
  <si>
    <t>Maple Leaf Solutions</t>
  </si>
  <si>
    <t>INV00099</t>
  </si>
  <si>
    <t>INV00100</t>
  </si>
  <si>
    <t>INV00101</t>
  </si>
  <si>
    <t>SUP037</t>
  </si>
  <si>
    <t>RedRock Systems</t>
  </si>
  <si>
    <t>INV00102</t>
  </si>
  <si>
    <t>SUP088</t>
  </si>
  <si>
    <t>INV00103</t>
  </si>
  <si>
    <t>INV00104</t>
  </si>
  <si>
    <t>INV00105</t>
  </si>
  <si>
    <t>SUP018</t>
  </si>
  <si>
    <t>Apex Group</t>
  </si>
  <si>
    <t>INV00106</t>
  </si>
  <si>
    <t>INV00107</t>
  </si>
  <si>
    <t>SUP150</t>
  </si>
  <si>
    <t>INV00108</t>
  </si>
  <si>
    <t>INV00109</t>
  </si>
  <si>
    <t>INV00110</t>
  </si>
  <si>
    <t>SUP143</t>
  </si>
  <si>
    <t>INV00111</t>
  </si>
  <si>
    <t>INV00112</t>
  </si>
  <si>
    <t>INV00113</t>
  </si>
  <si>
    <t>SUP040</t>
  </si>
  <si>
    <t>Nova Co</t>
  </si>
  <si>
    <t>INV00114</t>
  </si>
  <si>
    <t>SUP055</t>
  </si>
  <si>
    <t>Titan Components</t>
  </si>
  <si>
    <t>INV00115</t>
  </si>
  <si>
    <t>SUP016</t>
  </si>
  <si>
    <t>Delta Supply</t>
  </si>
  <si>
    <t>INV00116</t>
  </si>
  <si>
    <t>INV00117</t>
  </si>
  <si>
    <t>INV00118</t>
  </si>
  <si>
    <t>SUP075</t>
  </si>
  <si>
    <t>Titan Industries</t>
  </si>
  <si>
    <t>INV00119</t>
  </si>
  <si>
    <t>SUP062</t>
  </si>
  <si>
    <t>ProServe Components</t>
  </si>
  <si>
    <t>INV00120</t>
  </si>
  <si>
    <t>SUP101</t>
  </si>
  <si>
    <t>INV00121</t>
  </si>
  <si>
    <t>INV00122</t>
  </si>
  <si>
    <t>INV00123</t>
  </si>
  <si>
    <t>INV00124</t>
  </si>
  <si>
    <t>SUP076</t>
  </si>
  <si>
    <t>Titan Systems</t>
  </si>
  <si>
    <t>INV00125</t>
  </si>
  <si>
    <t>INV00126</t>
  </si>
  <si>
    <t>INV00127</t>
  </si>
  <si>
    <t>INV00128</t>
  </si>
  <si>
    <t>SUP048</t>
  </si>
  <si>
    <t>Summit Logistics</t>
  </si>
  <si>
    <t>INV00129</t>
  </si>
  <si>
    <t>INV00130</t>
  </si>
  <si>
    <t>INV00131</t>
  </si>
  <si>
    <t>INV00132</t>
  </si>
  <si>
    <t>INV00133</t>
  </si>
  <si>
    <t>INV00134</t>
  </si>
  <si>
    <t>INV00135</t>
  </si>
  <si>
    <t>SUP015</t>
  </si>
  <si>
    <t>IronRoute Components</t>
  </si>
  <si>
    <t>INV00136</t>
  </si>
  <si>
    <t>INV00137</t>
  </si>
  <si>
    <t>INV00138</t>
  </si>
  <si>
    <t>INV00139</t>
  </si>
  <si>
    <t>INV00140</t>
  </si>
  <si>
    <t>SUP128</t>
  </si>
  <si>
    <t>Skyline Components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</si>
  <si>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</si>
  <si>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</si>
  <si>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</si>
  <si>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</si>
  <si>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</si>
  <si>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</si>
  <si>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</si>
  <si>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</si>
  <si>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SUP024</t>
  </si>
  <si>
    <t>Delta Systems</t>
  </si>
  <si>
    <t>INV00149</t>
  </si>
  <si>
    <t>INV00150</t>
  </si>
  <si>
    <t>SUP109</t>
  </si>
  <si>
    <t>NorthPeak Solutions</t>
  </si>
  <si>
    <t>INV00151</t>
  </si>
  <si>
    <t>SUP071</t>
  </si>
  <si>
    <t>INV00152</t>
  </si>
  <si>
    <t>INV00153</t>
  </si>
  <si>
    <t>INV00154</t>
  </si>
  <si>
    <t>SUP077</t>
  </si>
  <si>
    <t>SwiftHaul Solutions</t>
  </si>
  <si>
    <t>INV00155</t>
  </si>
  <si>
    <t>INV00156</t>
  </si>
  <si>
    <t>SUP139</t>
  </si>
  <si>
    <t>Vertex Components</t>
  </si>
  <si>
    <t>INV00157</t>
  </si>
  <si>
    <t>INV00158</t>
  </si>
  <si>
    <t>INV00159</t>
  </si>
  <si>
    <t>SUP142</t>
  </si>
  <si>
    <t>Summit Components</t>
  </si>
  <si>
    <t>INV00160</t>
  </si>
  <si>
    <t>INV00161</t>
  </si>
  <si>
    <t>INV00162</t>
  </si>
  <si>
    <t>INV00163</t>
  </si>
  <si>
    <t>SUP036</t>
  </si>
  <si>
    <t>NorthPeak Co</t>
  </si>
  <si>
    <t>INV00164</t>
  </si>
  <si>
    <t>INV00165</t>
  </si>
  <si>
    <t>INV00166</t>
  </si>
  <si>
    <t>SUP105</t>
  </si>
  <si>
    <t>Vertex Group</t>
  </si>
  <si>
    <t>INV00167</t>
  </si>
  <si>
    <t>INV00168</t>
  </si>
  <si>
    <t>SUP110</t>
  </si>
  <si>
    <t>Apex Logistics</t>
  </si>
  <si>
    <t>INV00169</t>
  </si>
  <si>
    <t>INV00170</t>
  </si>
  <si>
    <t>INV00171</t>
  </si>
  <si>
    <t>INV00172</t>
  </si>
  <si>
    <t>SUP100</t>
  </si>
  <si>
    <t>Maple Leaf Logistics</t>
  </si>
  <si>
    <t>INV00173</t>
  </si>
  <si>
    <t>INV00174</t>
  </si>
  <si>
    <t>SUP007</t>
  </si>
  <si>
    <t>CoreTech Industries</t>
  </si>
  <si>
    <t>INV00175</t>
  </si>
  <si>
    <t>INV00176</t>
  </si>
  <si>
    <t>INV00177</t>
  </si>
  <si>
    <t>SUP043</t>
  </si>
  <si>
    <t>Golden State Industries</t>
  </si>
  <si>
    <t>INV00178</t>
  </si>
  <si>
    <t>INV00179</t>
  </si>
  <si>
    <t>INV00180</t>
  </si>
  <si>
    <t>INV00181</t>
  </si>
  <si>
    <t>SUP064</t>
  </si>
  <si>
    <t>INV00182</t>
  </si>
  <si>
    <t>INV00183</t>
  </si>
  <si>
    <t>INV00184</t>
  </si>
  <si>
    <t>SUP033</t>
  </si>
  <si>
    <t>Golden State Solutions</t>
  </si>
  <si>
    <t>INV00185</t>
  </si>
  <si>
    <t>INV00186</t>
  </si>
  <si>
    <t>SUP140</t>
  </si>
  <si>
    <t>RedRock Components</t>
  </si>
  <si>
    <t>INV00187</t>
  </si>
  <si>
    <t>INV00188</t>
  </si>
  <si>
    <t>INV00189</t>
  </si>
  <si>
    <t>INV00190</t>
  </si>
  <si>
    <t>SUP116</t>
  </si>
  <si>
    <t>SwiftHaul Group</t>
  </si>
  <si>
    <t>INV00191</t>
  </si>
  <si>
    <t>INV00192</t>
  </si>
  <si>
    <t>INV00193</t>
  </si>
  <si>
    <t>INV00194</t>
  </si>
  <si>
    <t>SUP034</t>
  </si>
  <si>
    <t>INV00195</t>
  </si>
  <si>
    <t>SUP059</t>
  </si>
  <si>
    <t>RedRock Partners</t>
  </si>
  <si>
    <t>INV00196</t>
  </si>
  <si>
    <t>INV00197</t>
  </si>
  <si>
    <t>INV00198</t>
  </si>
  <si>
    <t>SUP092</t>
  </si>
  <si>
    <t>INV00199</t>
  </si>
  <si>
    <t>INV00200</t>
  </si>
  <si>
    <t>INV00201</t>
  </si>
  <si>
    <t>SUP023</t>
  </si>
  <si>
    <t>RedRock Logistics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</si>
  <si>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</si>
  <si>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</si>
  <si>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</si>
  <si>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</si>
  <si>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</si>
  <si>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</si>
  <si>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</si>
  <si>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</si>
  <si>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SUP017</t>
  </si>
  <si>
    <t>INV00210</t>
  </si>
  <si>
    <t>SUP119</t>
  </si>
  <si>
    <t>INV00211</t>
  </si>
  <si>
    <t>INV00212</t>
  </si>
  <si>
    <t>SUP104</t>
  </si>
  <si>
    <t>FreightBridge Solutions</t>
  </si>
  <si>
    <t>INV00213</t>
  </si>
  <si>
    <t>INV00214</t>
  </si>
  <si>
    <t>SUP080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</si>
  <si>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</si>
  <si>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</si>
  <si>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</si>
  <si>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</si>
  <si>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</si>
  <si>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</si>
  <si>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</si>
  <si>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</si>
  <si>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</si>
  <si>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</si>
  <si>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SUP135</t>
  </si>
  <si>
    <t>INV00225</t>
  </si>
  <si>
    <t>INV00226</t>
  </si>
  <si>
    <t>INV00227</t>
  </si>
  <si>
    <t>SUP102</t>
  </si>
  <si>
    <t>INV00228</t>
  </si>
  <si>
    <t>SUP138</t>
  </si>
  <si>
    <t>INV00229</t>
  </si>
  <si>
    <t>INV00230</t>
  </si>
  <si>
    <t>SUP094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</si>
  <si>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</si>
  <si>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</si>
  <si>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</si>
  <si>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</si>
  <si>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</si>
  <si>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</si>
  <si>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</si>
  <si>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</si>
  <si>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</si>
  <si>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</si>
  <si>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SUP114</t>
  </si>
  <si>
    <t>Nova Components</t>
  </si>
  <si>
    <t>INV00241</t>
  </si>
  <si>
    <t>SUP121</t>
  </si>
  <si>
    <t>INV00242</t>
  </si>
  <si>
    <t>INV00243</t>
  </si>
  <si>
    <t>SUP148</t>
  </si>
  <si>
    <t>PrimeLine Co</t>
  </si>
  <si>
    <t>INV00244</t>
  </si>
  <si>
    <t>INV00245</t>
  </si>
  <si>
    <t>INV00246</t>
  </si>
  <si>
    <t>INV00247</t>
  </si>
  <si>
    <t>INV00248</t>
  </si>
  <si>
    <t>SUP078</t>
  </si>
  <si>
    <t>Vertex Logistics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</si>
  <si>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</si>
  <si>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</si>
  <si>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</si>
  <si>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</si>
  <si>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</si>
  <si>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</si>
  <si>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</si>
  <si>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</si>
  <si>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</si>
  <si>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</si>
  <si>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SUP008</t>
  </si>
  <si>
    <t>INV00259</t>
  </si>
  <si>
    <t>INV00260</t>
  </si>
  <si>
    <t>INV00261</t>
  </si>
  <si>
    <t>INV00262</t>
  </si>
  <si>
    <t>SUP089</t>
  </si>
  <si>
    <t>Apex Partners</t>
  </si>
  <si>
    <t>INV00263</t>
  </si>
  <si>
    <t>SUP124</t>
  </si>
  <si>
    <t>Atlas Systems</t>
  </si>
  <si>
    <t>INV00264</t>
  </si>
  <si>
    <t>INV00265</t>
  </si>
  <si>
    <t>INV00266</t>
  </si>
  <si>
    <t>INV00267</t>
  </si>
  <si>
    <t>INV00268</t>
  </si>
  <si>
    <t>INV00269</t>
  </si>
  <si>
    <t>INV00270</t>
  </si>
  <si>
    <t>SUP005</t>
  </si>
  <si>
    <t>Harbor Group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</si>
  <si>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</si>
  <si>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</si>
  <si>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</si>
  <si>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</si>
  <si>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</si>
  <si>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</si>
  <si>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</si>
  <si>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</si>
  <si>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</si>
  <si>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</si>
  <si>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</si>
  <si>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</si>
  <si>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</si>
  <si>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</si>
  <si>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</si>
  <si>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</si>
  <si>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</si>
  <si>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SUP020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</si>
  <si>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</si>
  <si>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</si>
  <si>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</si>
  <si>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</si>
  <si>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</si>
  <si>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</si>
  <si>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</si>
  <si>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</si>
  <si>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</si>
  <si>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SUP130</t>
  </si>
  <si>
    <t>Skyline Supply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</si>
  <si>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</si>
  <si>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</si>
  <si>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</si>
  <si>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</si>
  <si>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</si>
  <si>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</si>
  <si>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</si>
  <si>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</si>
  <si>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</si>
  <si>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</si>
  <si>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SUP019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</si>
  <si>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</si>
  <si>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</si>
  <si>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</si>
  <si>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</si>
  <si>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</si>
  <si>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</si>
  <si>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</si>
  <si>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</si>
  <si>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SUP028</t>
  </si>
  <si>
    <t>INV00315</t>
  </si>
  <si>
    <t>SUP074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</si>
  <si>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</si>
  <si>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</si>
  <si>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</si>
  <si>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</si>
  <si>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</si>
  <si>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</si>
  <si>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</si>
  <si>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</si>
  <si>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</si>
  <si>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</si>
  <si>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SUP133</t>
  </si>
  <si>
    <t>BlueRiver Systems</t>
  </si>
  <si>
    <t>INV00326</t>
  </si>
  <si>
    <t>SUP120</t>
  </si>
  <si>
    <t>INV00327</t>
  </si>
  <si>
    <t>INV00328</t>
  </si>
  <si>
    <t>INV00329</t>
  </si>
  <si>
    <t>INV00330</t>
  </si>
  <si>
    <t>INV00331</t>
  </si>
  <si>
    <t>SUP079</t>
  </si>
  <si>
    <t>INV00332</t>
  </si>
  <si>
    <t>INV00333</t>
  </si>
  <si>
    <t>INV00334</t>
  </si>
  <si>
    <t>INV00335</t>
  </si>
  <si>
    <t>INV00336</t>
  </si>
  <si>
    <t>SUP144</t>
  </si>
  <si>
    <t>Harbor Systems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</si>
  <si>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</si>
  <si>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</si>
  <si>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</si>
  <si>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</si>
  <si>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</si>
  <si>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</si>
  <si>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</si>
  <si>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</si>
  <si>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</si>
  <si>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</si>
  <si>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</si>
  <si>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</si>
  <si>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</si>
  <si>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</si>
  <si>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</si>
  <si>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</si>
  <si>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</si>
  <si>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SUP113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</si>
  <si>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</si>
  <si>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</si>
  <si>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</si>
  <si>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</si>
  <si>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</si>
  <si>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</si>
  <si>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</si>
  <si>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</si>
  <si>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</si>
  <si>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</si>
  <si>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</si>
  <si>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</si>
  <si>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</si>
  <si>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</si>
  <si>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</si>
  <si>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</si>
  <si>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</si>
  <si>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</si>
  <si>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</si>
  <si>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</si>
  <si>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SUP085</t>
  </si>
  <si>
    <t>INV00374</t>
  </si>
  <si>
    <t>INV00375</t>
  </si>
  <si>
    <t>INV00376</t>
  </si>
  <si>
    <t>INV00377</t>
  </si>
  <si>
    <t>INV00378</t>
  </si>
  <si>
    <t>SUP070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</si>
  <si>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</si>
  <si>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</si>
  <si>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</si>
  <si>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</si>
  <si>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</si>
  <si>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</si>
  <si>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</si>
  <si>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</si>
  <si>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</si>
  <si>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</si>
  <si>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</si>
  <si>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</si>
  <si>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</si>
  <si>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</si>
  <si>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</si>
  <si>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</si>
  <si>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</si>
  <si>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SUP041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</si>
  <si>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</si>
  <si>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</si>
  <si>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</si>
  <si>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</si>
  <si>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</si>
  <si>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</si>
  <si>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</si>
  <si>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</si>
  <si>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</si>
  <si>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</si>
  <si>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</si>
  <si>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</si>
  <si>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</si>
  <si>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</si>
  <si>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</si>
  <si>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</si>
  <si>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</si>
  <si>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</si>
  <si>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</si>
  <si>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</si>
  <si>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</si>
  <si>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</si>
  <si>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</si>
  <si>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</si>
  <si>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</si>
  <si>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</si>
  <si>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</si>
  <si>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</si>
  <si>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</si>
  <si>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</si>
  <si>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</si>
  <si>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</si>
  <si>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</si>
  <si>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</si>
  <si>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</si>
  <si>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</si>
  <si>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</si>
  <si>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</si>
  <si>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SUP117</t>
  </si>
  <si>
    <t>INV00434</t>
  </si>
  <si>
    <t>INV00435</t>
  </si>
  <si>
    <t>INV00436</t>
  </si>
  <si>
    <t>INV00437</t>
  </si>
  <si>
    <t>SUP013</t>
  </si>
  <si>
    <t>Harbor Partners</t>
  </si>
  <si>
    <t>INV00438</t>
  </si>
  <si>
    <t>INV00439</t>
  </si>
  <si>
    <t>INV00440</t>
  </si>
  <si>
    <t>INV00441</t>
  </si>
  <si>
    <t>SUP084</t>
  </si>
  <si>
    <t>Allied Co</t>
  </si>
  <si>
    <t>INV00442</t>
  </si>
  <si>
    <t>SUP052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</si>
  <si>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</si>
  <si>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</si>
  <si>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</si>
  <si>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</si>
  <si>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</si>
  <si>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</si>
  <si>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</si>
  <si>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</si>
  <si>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</si>
  <si>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</si>
  <si>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</si>
  <si>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</si>
  <si>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</si>
  <si>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</si>
  <si>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</si>
  <si>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</si>
  <si>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</si>
  <si>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</si>
  <si>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</si>
  <si>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</si>
  <si>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</si>
  <si>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</si>
  <si>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</si>
  <si>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</si>
  <si>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SUP001</t>
  </si>
  <si>
    <t>Vertex Partners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</si>
  <si>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</si>
  <si>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</si>
  <si>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</si>
  <si>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</si>
  <si>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</si>
  <si>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</si>
  <si>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</si>
  <si>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</si>
  <si>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</si>
  <si>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</si>
  <si>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</si>
  <si>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</si>
  <si>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</si>
  <si>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</si>
  <si>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</si>
  <si>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</si>
  <si>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</si>
  <si>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</si>
  <si>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</si>
  <si>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</si>
  <si>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</si>
  <si>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</si>
  <si>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</si>
  <si>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</si>
  <si>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</si>
  <si>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</si>
  <si>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</si>
  <si>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</si>
  <si>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</si>
  <si>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</si>
  <si>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</si>
  <si>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</si>
  <si>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</si>
  <si>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</si>
  <si>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</si>
  <si>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</si>
  <si>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</si>
  <si>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</si>
  <si>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</si>
  <si>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</si>
  <si>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</si>
  <si>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</si>
  <si>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</si>
  <si>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</si>
  <si>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</si>
  <si>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</si>
  <si>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</si>
  <si>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</si>
  <si>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</si>
  <si>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</si>
  <si>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</si>
  <si>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</si>
  <si>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</si>
  <si>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</si>
  <si>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</si>
  <si>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</si>
  <si>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</si>
  <si>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</si>
  <si>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</si>
  <si>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</si>
  <si>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</si>
  <si>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</si>
  <si>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</si>
  <si>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</si>
  <si>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</si>
  <si>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</si>
  <si>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</si>
  <si>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</si>
  <si>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</si>
  <si>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</si>
  <si>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</si>
  <si>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</si>
  <si>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</si>
  <si>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</si>
  <si>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</si>
  <si>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</si>
  <si>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</si>
  <si>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SUP060</t>
  </si>
  <si>
    <t>INV00544</t>
  </si>
  <si>
    <t>INV00545</t>
  </si>
  <si>
    <t>INV00546</t>
  </si>
  <si>
    <t>INV00547</t>
  </si>
  <si>
    <t>INV00548</t>
  </si>
  <si>
    <t>INV00549</t>
  </si>
  <si>
    <t>INV00550</t>
  </si>
  <si>
    <t>SUP129</t>
  </si>
  <si>
    <t>NorthPeak Partners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</si>
  <si>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</si>
  <si>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</si>
  <si>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</si>
  <si>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</si>
  <si>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</si>
  <si>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</si>
  <si>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</si>
  <si>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</si>
  <si>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</si>
  <si>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</si>
  <si>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</si>
  <si>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</si>
  <si>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</si>
  <si>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</si>
  <si>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</si>
  <si>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</si>
  <si>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</si>
  <si>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</si>
  <si>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</si>
  <si>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</si>
  <si>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</si>
  <si>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</si>
  <si>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</si>
  <si>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</si>
  <si>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</si>
  <si>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</si>
  <si>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</si>
  <si>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</si>
  <si>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</si>
  <si>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</si>
  <si>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</si>
  <si>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</si>
  <si>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</si>
  <si>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</si>
  <si>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</si>
  <si>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</si>
  <si>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</si>
  <si>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</si>
  <si>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</si>
  <si>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</si>
  <si>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</si>
  <si>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</si>
  <si>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</si>
  <si>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</si>
  <si>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</si>
  <si>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</si>
  <si>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</si>
  <si>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</si>
  <si>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</si>
  <si>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</si>
  <si>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SUP061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</si>
  <si>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</si>
  <si>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</si>
  <si>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</si>
  <si>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</si>
  <si>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</si>
  <si>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</si>
  <si>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</si>
  <si>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</si>
  <si>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</si>
  <si>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</si>
  <si>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</si>
  <si>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</si>
  <si>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</si>
  <si>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</si>
  <si>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</si>
  <si>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</si>
  <si>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</si>
  <si>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</si>
  <si>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</si>
  <si>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</si>
  <si>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</si>
  <si>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</si>
  <si>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</si>
  <si>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</si>
  <si>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</si>
  <si>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</si>
  <si>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</si>
  <si>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</si>
  <si>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</si>
  <si>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</si>
  <si>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</si>
  <si>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</si>
  <si>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</si>
  <si>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</si>
  <si>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</si>
  <si>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</si>
  <si>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</si>
  <si>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</si>
  <si>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</si>
  <si>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</si>
  <si>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</si>
  <si>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</si>
  <si>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</si>
  <si>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</si>
  <si>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</si>
  <si>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</si>
  <si>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</si>
  <si>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</si>
  <si>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</si>
  <si>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</si>
  <si>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</si>
  <si>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</si>
  <si>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</si>
  <si>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</si>
  <si>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</si>
  <si>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</si>
  <si>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</si>
  <si>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</si>
  <si>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</si>
  <si>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</si>
  <si>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</si>
  <si>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</si>
  <si>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</si>
  <si>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</si>
  <si>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</si>
  <si>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</si>
  <si>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</si>
  <si>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</si>
  <si>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</si>
  <si>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</si>
  <si>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</si>
  <si>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</si>
  <si>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</si>
  <si>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</si>
  <si>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</si>
  <si>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</si>
  <si>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</si>
  <si>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</si>
  <si>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</si>
  <si>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</si>
  <si>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</si>
  <si>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</si>
  <si>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</si>
  <si>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</si>
  <si>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</si>
  <si>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</si>
  <si>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</si>
  <si>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</si>
  <si>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</si>
  <si>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</si>
  <si>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</si>
  <si>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</si>
  <si>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</si>
  <si>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</si>
  <si>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</si>
  <si>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</si>
  <si>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</si>
  <si>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</si>
  <si>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</si>
  <si>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</si>
  <si>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</si>
  <si>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</si>
  <si>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</si>
  <si>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</si>
  <si>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</si>
  <si>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</si>
  <si>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</si>
  <si>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</si>
  <si>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</si>
  <si>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</si>
  <si>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</si>
  <si>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</si>
  <si>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</si>
  <si>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</si>
  <si>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</si>
  <si>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</si>
  <si>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</si>
  <si>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</si>
  <si>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</si>
  <si>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</si>
  <si>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</si>
  <si>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</si>
  <si>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</si>
  <si>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</si>
  <si>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</si>
  <si>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</si>
  <si>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</si>
  <si>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</si>
  <si>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</si>
  <si>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</si>
  <si>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</si>
  <si>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</si>
  <si>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</si>
  <si>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</si>
  <si>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</si>
  <si>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</si>
  <si>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</si>
  <si>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</si>
  <si>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</si>
  <si>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</si>
  <si>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</si>
  <si>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</si>
  <si>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</si>
  <si>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</si>
  <si>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</si>
  <si>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</si>
  <si>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</si>
  <si>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</si>
  <si>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</si>
  <si>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</si>
  <si>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</si>
  <si>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</si>
  <si>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</si>
  <si>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</si>
  <si>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</si>
  <si>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</si>
  <si>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</si>
  <si>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</si>
  <si>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</si>
  <si>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</si>
  <si>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</si>
  <si>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</si>
  <si>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</si>
  <si>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</si>
  <si>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</si>
  <si>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</si>
  <si>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</si>
  <si>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SUP031</t>
  </si>
  <si>
    <t>SilverLine Components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</si>
  <si>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</si>
  <si>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</si>
  <si>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</si>
  <si>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</si>
  <si>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</si>
  <si>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</si>
  <si>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</si>
  <si>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</si>
  <si>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</si>
  <si>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</si>
  <si>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</si>
  <si>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</si>
  <si>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</si>
  <si>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</si>
  <si>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</si>
  <si>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</si>
  <si>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</si>
  <si>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</si>
  <si>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</si>
  <si>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</si>
  <si>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</si>
  <si>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</si>
  <si>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</si>
  <si>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</si>
  <si>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</si>
  <si>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</si>
  <si>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</si>
  <si>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</si>
  <si>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</si>
  <si>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</si>
  <si>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</si>
  <si>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</si>
  <si>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</si>
  <si>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</si>
  <si>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</si>
  <si>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</si>
  <si>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</si>
  <si>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</si>
  <si>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</si>
  <si>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</si>
  <si>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</si>
  <si>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</si>
  <si>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</si>
  <si>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</si>
  <si>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</si>
  <si>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</si>
  <si>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</si>
  <si>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</si>
  <si>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</si>
  <si>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</si>
  <si>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</si>
  <si>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</si>
  <si>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</si>
  <si>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</si>
  <si>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</si>
  <si>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</si>
  <si>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</si>
  <si>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</si>
  <si>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</si>
  <si>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</si>
  <si>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</si>
  <si>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</si>
  <si>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</si>
  <si>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</si>
  <si>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</si>
  <si>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</si>
  <si>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</si>
  <si>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</si>
  <si>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</si>
  <si>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</si>
  <si>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</si>
  <si>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</si>
  <si>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</si>
  <si>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</si>
  <si>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</si>
  <si>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</si>
  <si>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</si>
  <si>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</si>
  <si>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</si>
  <si>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</si>
  <si>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</si>
  <si>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</si>
  <si>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</si>
  <si>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</si>
  <si>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</si>
  <si>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</si>
  <si>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</si>
  <si>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</si>
  <si>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</si>
  <si>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</si>
  <si>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</si>
  <si>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</si>
  <si>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</si>
  <si>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</si>
  <si>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</si>
  <si>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</si>
  <si>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</si>
  <si>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</si>
  <si>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</si>
  <si>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</si>
  <si>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</si>
  <si>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</si>
  <si>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</si>
  <si>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</si>
  <si>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</si>
  <si>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</si>
  <si>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</si>
  <si>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</si>
  <si>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</si>
  <si>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</si>
  <si>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</si>
  <si>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</si>
  <si>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</si>
  <si>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</si>
  <si>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</si>
  <si>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</si>
  <si>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</si>
  <si>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</si>
  <si>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</si>
  <si>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</si>
  <si>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</si>
  <si>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</si>
  <si>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</si>
  <si>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</si>
  <si>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</si>
  <si>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</si>
  <si>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</si>
  <si>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</si>
  <si>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</si>
  <si>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</si>
  <si>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</si>
  <si>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</si>
  <si>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</si>
  <si>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</si>
  <si>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</si>
  <si>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</si>
  <si>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</si>
  <si>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</si>
  <si>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</si>
  <si>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</si>
  <si>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</si>
  <si>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</si>
  <si>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</si>
  <si>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</si>
  <si>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</si>
  <si>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</si>
  <si>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</si>
  <si>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</si>
  <si>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</si>
  <si>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</si>
  <si>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</si>
  <si>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</si>
  <si>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</si>
  <si>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</si>
  <si>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</si>
  <si>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</si>
  <si>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</si>
  <si>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</si>
  <si>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</si>
  <si>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</si>
  <si>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</si>
  <si>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</si>
  <si>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</si>
  <si>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</si>
  <si>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</si>
  <si>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</si>
  <si>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</si>
  <si>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</si>
  <si>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</si>
  <si>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</si>
  <si>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</si>
  <si>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</si>
  <si>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</si>
  <si>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</si>
  <si>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</si>
  <si>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</si>
  <si>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</si>
  <si>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</si>
  <si>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</si>
  <si>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</si>
  <si>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</si>
  <si>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</si>
  <si>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</si>
  <si>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</si>
  <si>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</si>
  <si>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</si>
  <si>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</si>
  <si>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</si>
  <si>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</si>
  <si>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</si>
  <si>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</si>
  <si>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</si>
  <si>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</si>
  <si>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</si>
  <si>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</si>
  <si>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</si>
  <si>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</si>
  <si>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</si>
  <si>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</si>
  <si>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</si>
  <si>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</si>
  <si>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</si>
  <si>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</si>
  <si>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</si>
  <si>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</si>
  <si>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</si>
  <si>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</si>
  <si>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</si>
  <si>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</si>
  <si>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</si>
  <si>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</si>
  <si>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</si>
  <si>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</si>
  <si>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</si>
  <si>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</si>
  <si>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</si>
  <si>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</si>
  <si>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</si>
  <si>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</si>
  <si>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</si>
  <si>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</si>
  <si>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</si>
  <si>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</si>
  <si>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</si>
  <si>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</si>
  <si>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</si>
  <si>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</si>
  <si>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</si>
  <si>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</si>
  <si>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</si>
  <si>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</si>
  <si>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</si>
  <si>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</si>
  <si>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</si>
  <si>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</si>
  <si>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</si>
  <si>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</si>
  <si>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</si>
  <si>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</si>
  <si>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</si>
  <si>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</si>
  <si>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</si>
  <si>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</si>
  <si>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</si>
  <si>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</si>
  <si>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</si>
  <si>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</si>
  <si>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</si>
  <si>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</si>
  <si>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</si>
  <si>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</si>
  <si>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</si>
  <si>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</si>
  <si>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</si>
  <si>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</si>
  <si>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</si>
  <si>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</si>
  <si>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</si>
  <si>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</si>
  <si>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</si>
  <si>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</si>
  <si>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</si>
  <si>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</si>
  <si>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</si>
  <si>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</si>
  <si>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</si>
  <si>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</si>
  <si>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</si>
  <si>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</si>
  <si>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</si>
  <si>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</si>
  <si>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</si>
  <si>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</si>
  <si>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</si>
  <si>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</si>
  <si>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</si>
  <si>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</si>
  <si>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</si>
  <si>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</si>
  <si>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</si>
  <si>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</si>
  <si>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</si>
  <si>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</si>
  <si>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</si>
  <si>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</si>
  <si>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</si>
  <si>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</si>
  <si>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</si>
  <si>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</si>
  <si>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</si>
  <si>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</si>
  <si>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</si>
  <si>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</si>
  <si>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</si>
  <si>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</si>
  <si>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</si>
  <si>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</si>
  <si>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</si>
  <si>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</si>
  <si>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</si>
  <si>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</si>
  <si>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</si>
  <si>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</si>
  <si>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</si>
  <si>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</si>
  <si>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</si>
  <si>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</si>
  <si>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</si>
  <si>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</si>
  <si>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</si>
  <si>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</si>
  <si>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</si>
  <si>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</si>
  <si>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</si>
  <si>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</si>
  <si>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</si>
  <si>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</si>
  <si>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</si>
  <si>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</si>
  <si>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</si>
  <si>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</si>
  <si>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</si>
  <si>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</si>
  <si>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</si>
  <si>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</si>
  <si>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</si>
  <si>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</si>
  <si>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</si>
  <si>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</si>
  <si>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</si>
  <si>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</si>
  <si>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</si>
  <si>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</si>
  <si>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</si>
  <si>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</si>
  <si>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</si>
  <si>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</si>
  <si>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</si>
  <si>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</si>
  <si>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</si>
  <si>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</si>
  <si>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</si>
  <si>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</si>
  <si>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</si>
  <si>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</si>
  <si>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</si>
  <si>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</si>
  <si>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</si>
  <si>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</si>
  <si>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</si>
  <si>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</si>
  <si>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</si>
  <si>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</si>
  <si>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</si>
  <si>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</si>
  <si>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</si>
  <si>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</si>
  <si>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</si>
  <si>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</si>
  <si>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</si>
  <si>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</si>
  <si>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</si>
  <si>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</si>
  <si>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</si>
  <si>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</si>
  <si>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</si>
  <si>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</si>
  <si>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</si>
  <si>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</si>
  <si>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</si>
  <si>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</si>
  <si>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</si>
  <si>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</si>
  <si>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</si>
  <si>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</si>
  <si>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</si>
  <si>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</si>
  <si>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</si>
  <si>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</si>
  <si>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</si>
  <si>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</si>
  <si>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</si>
  <si>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</si>
  <si>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</si>
  <si>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</si>
  <si>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</si>
  <si>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</si>
  <si>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</si>
  <si>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</si>
  <si>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</si>
  <si>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</si>
  <si>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</si>
  <si>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</si>
  <si>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</si>
  <si>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</si>
  <si>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</si>
  <si>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</si>
  <si>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</si>
  <si>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</si>
  <si>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</si>
  <si>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</si>
  <si>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</si>
  <si>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</si>
  <si>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</si>
  <si>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</si>
  <si>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</si>
  <si>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</si>
  <si>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</si>
  <si>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</si>
  <si>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</si>
  <si>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</si>
  <si>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</si>
  <si>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</si>
  <si>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</si>
  <si>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</si>
  <si>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</si>
  <si>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</si>
  <si>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</si>
  <si>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</si>
  <si>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</si>
  <si>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</si>
  <si>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</si>
  <si>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</si>
  <si>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</si>
  <si>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</si>
  <si>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</si>
  <si>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</si>
  <si>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</si>
  <si>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</si>
  <si>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</si>
  <si>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</si>
  <si>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</si>
  <si>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</si>
  <si>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</si>
  <si>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</si>
  <si>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</si>
  <si>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</si>
  <si>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</si>
  <si>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</si>
  <si>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</si>
  <si>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</si>
  <si>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</si>
  <si>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</si>
  <si>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</si>
  <si>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</si>
  <si>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</si>
  <si>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</si>
  <si>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</si>
  <si>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</si>
  <si>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</si>
  <si>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</si>
  <si>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</si>
  <si>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</si>
  <si>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</si>
  <si>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</si>
  <si>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</si>
  <si>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</si>
  <si>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</si>
  <si>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</si>
  <si>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</si>
  <si>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</si>
  <si>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</si>
  <si>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</si>
  <si>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</si>
  <si>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</si>
  <si>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</si>
  <si>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</si>
  <si>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</si>
  <si>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</si>
  <si>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</si>
  <si>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</si>
  <si>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</si>
  <si>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</si>
  <si>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</si>
  <si>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</si>
  <si>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</si>
  <si>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</si>
  <si>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</si>
  <si>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</si>
  <si>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</si>
  <si>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</si>
  <si>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</si>
  <si>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</si>
  <si>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</si>
  <si>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</si>
  <si>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</si>
  <si>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</si>
  <si>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</si>
  <si>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</si>
  <si>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</si>
  <si>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</si>
  <si>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</si>
  <si>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</si>
  <si>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</si>
  <si>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</si>
  <si>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</si>
  <si>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</si>
  <si>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</si>
  <si>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</si>
  <si>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</si>
  <si>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</si>
  <si>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</si>
  <si>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</si>
  <si>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</si>
  <si>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</si>
  <si>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</si>
  <si>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</si>
  <si>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</si>
  <si>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</si>
  <si>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</si>
  <si>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</si>
  <si>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</si>
  <si>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</si>
  <si>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</si>
  <si>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</si>
  <si>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</si>
  <si>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</si>
  <si>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</si>
  <si>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</si>
  <si>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</si>
  <si>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</si>
  <si>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</si>
  <si>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</si>
  <si>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</si>
  <si>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</si>
  <si>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</si>
  <si>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</si>
  <si>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</si>
  <si>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</si>
  <si>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</si>
  <si>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</si>
  <si>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</si>
  <si>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</si>
  <si>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</si>
  <si>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</si>
  <si>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</si>
  <si>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</si>
  <si>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</si>
  <si>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</si>
  <si>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</si>
  <si>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</si>
  <si>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</si>
  <si>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</si>
  <si>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</si>
  <si>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</si>
  <si>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</si>
  <si>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</si>
  <si>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</si>
  <si>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</si>
  <si>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</si>
  <si>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</si>
  <si>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</si>
  <si>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</si>
  <si>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</si>
  <si>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</si>
  <si>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</si>
  <si>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</si>
  <si>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</si>
  <si>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</si>
  <si>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</si>
  <si>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</si>
  <si>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</si>
  <si>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</si>
  <si>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</si>
  <si>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</si>
  <si>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</si>
  <si>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</si>
  <si>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</si>
  <si>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</si>
  <si>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</si>
  <si>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</si>
  <si>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</si>
  <si>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</si>
  <si>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</si>
  <si>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</si>
  <si>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</si>
  <si>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</si>
  <si>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</si>
  <si>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</si>
  <si>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</si>
  <si>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</si>
  <si>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</si>
  <si>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</si>
  <si>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</si>
  <si>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</si>
  <si>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</si>
  <si>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</si>
  <si>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</si>
  <si>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</si>
  <si>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</si>
  <si>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</si>
  <si>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</si>
  <si>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</si>
  <si>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</si>
  <si>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</si>
  <si>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</si>
  <si>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</si>
  <si>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</si>
  <si>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</si>
  <si>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</si>
  <si>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</si>
  <si>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</si>
  <si>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</si>
  <si>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</si>
  <si>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</si>
  <si>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</si>
  <si>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</si>
  <si>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</si>
  <si>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</si>
  <si>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</si>
  <si>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</si>
  <si>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</si>
  <si>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</si>
  <si>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</si>
  <si>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</si>
  <si>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</si>
  <si>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</si>
  <si>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</si>
  <si>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</si>
  <si>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</si>
  <si>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</si>
  <si>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</si>
  <si>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</si>
  <si>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</si>
  <si>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</si>
  <si>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</si>
  <si>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</si>
  <si>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</si>
  <si>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</si>
  <si>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</si>
  <si>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</si>
  <si>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</si>
  <si>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</si>
  <si>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</si>
  <si>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</si>
  <si>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</si>
  <si>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</si>
  <si>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</si>
  <si>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</si>
  <si>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</si>
  <si>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</si>
  <si>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</si>
  <si>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</si>
  <si>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</si>
  <si>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</si>
  <si>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</si>
  <si>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</si>
  <si>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</si>
  <si>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</si>
  <si>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</si>
  <si>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</si>
  <si>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</si>
  <si>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</si>
  <si>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</si>
  <si>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</si>
  <si>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</si>
  <si>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</si>
  <si>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</si>
  <si>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</si>
  <si>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</si>
  <si>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</si>
  <si>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</si>
  <si>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</si>
  <si>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</si>
  <si>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</si>
  <si>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</si>
  <si>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</si>
  <si>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</si>
  <si>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</si>
  <si>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</si>
  <si>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</si>
  <si>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</si>
  <si>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</si>
  <si>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</si>
  <si>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</si>
  <si>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</si>
  <si>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</si>
  <si>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</si>
  <si>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</si>
  <si>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</si>
  <si>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</si>
  <si>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</si>
  <si>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</si>
  <si>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</si>
  <si>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</si>
  <si>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</si>
  <si>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</si>
  <si>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</si>
  <si>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</si>
  <si>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</si>
  <si>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</si>
  <si>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</si>
  <si>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</si>
  <si>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</si>
  <si>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</si>
  <si>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</si>
  <si>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</si>
  <si>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</si>
  <si>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</si>
  <si>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</si>
  <si>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</si>
  <si>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</si>
  <si>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</si>
  <si>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</si>
  <si>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</si>
  <si>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</si>
  <si>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</si>
  <si>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</si>
  <si>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</si>
  <si>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</si>
  <si>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</si>
  <si>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</si>
  <si>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</si>
  <si>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</si>
  <si>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</si>
  <si>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</si>
  <si>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</si>
  <si>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</si>
  <si>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</si>
  <si>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</si>
  <si>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</si>
  <si>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</si>
  <si>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</si>
  <si>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</si>
  <si>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</si>
  <si>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</si>
  <si>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</si>
  <si>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</si>
  <si>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</si>
  <si>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</si>
  <si>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</si>
  <si>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</si>
  <si>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</si>
  <si>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Total Invoice Volume</t>
  </si>
  <si>
    <t>Total Supplier Savings</t>
  </si>
  <si>
    <t>Average Liquidity Days Improvement</t>
  </si>
  <si>
    <t>Average Supplier Borrowing Rate</t>
  </si>
  <si>
    <t>Average SCF Rate</t>
  </si>
  <si>
    <t>Eligible Invoice Count</t>
  </si>
  <si>
    <t xml:space="preserve">Adoption Estimate </t>
  </si>
  <si>
    <t>Average Savings Per Invoice</t>
  </si>
  <si>
    <t>Supplier Savings by Industry</t>
  </si>
  <si>
    <t>Supplier Savings by Region</t>
  </si>
  <si>
    <t>Supplier Savings by Supplier Size</t>
  </si>
  <si>
    <t>Opportunity_Score</t>
  </si>
  <si>
    <t>Opportunity_Rank</t>
  </si>
  <si>
    <t>Top SCF Opportunity Suppliers</t>
  </si>
  <si>
    <t>Supplier Name</t>
  </si>
  <si>
    <t>Opportunity Score</t>
  </si>
  <si>
    <t>Row Labels</t>
  </si>
  <si>
    <t>Grand Total</t>
  </si>
  <si>
    <t>Sum of Opportunity_Score</t>
  </si>
  <si>
    <t>SCF Program Revenue Potential</t>
  </si>
  <si>
    <t>Potential Financing Volume</t>
  </si>
  <si>
    <t>Average SCF Margin</t>
  </si>
  <si>
    <t>Estimated Annual SCF Revenue</t>
  </si>
  <si>
    <t>Average Adoption by Supplier Size</t>
  </si>
  <si>
    <t>Average Borrowing Rate by Supplier Size</t>
  </si>
  <si>
    <t>Average Opportunity Score by Region</t>
  </si>
  <si>
    <t>Executive Summary</t>
  </si>
  <si>
    <t>1. Supply Chain Finance could support approximately $43.9M in financed supplier invoices.</t>
  </si>
  <si>
    <t>2. The program would generate an estimated $2.9M in annual revenue at a 6.63% financing spread.</t>
  </si>
  <si>
    <t>3. Suppliers would save approximately $1.68M in financing costs, while improving liquidity by 51 days.</t>
  </si>
  <si>
    <t>4.Smaller suppliers experience higher borrowing costs (≈15%), making them the strongest candidates for SCF adoption.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</si>
</sst>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3" xfId="0" applyFill="1" applyBorder="1"/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10" fontId="1" fillId="0" borderId="1" xfId="2" applyNumberFormat="1" applyFont="1" applyBorder="1" applyAlignment="1">
      <alignment horizontal="center" vertical="top"/>
    </xf>
    <xf numFmtId="10" fontId="0" fillId="0" borderId="0" xfId="2" applyNumberFormat="1" applyFont="1"/>
    <xf numFmtId="9" fontId="0" fillId="0" borderId="0" xfId="2" applyFont="1" applyAlignment="1"/>
    <xf numFmtId="164" fontId="0" fillId="0" borderId="0" xfId="1" applyNumberFormat="1" applyFont="1"/>
    <xf numFmtId="0" fontId="5" fillId="0" borderId="0" xfId="0" applyFont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0" fillId="4" borderId="10" xfId="0" applyFill="1" applyBorder="1" applyAlignment="1">
      <alignment horizontal="center" wrapText="1"/>
    </xf>
    <xf numFmtId="0" fontId="5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4">
    <dxf>
      <numFmt numFmtId="2" formatCode="0.00"/>
    </dxf>
    <dxf>
      <numFmt numFmtId="2" formatCode="0.00"/>
    </dxf>
    <dxf>
      <numFmt numFmtId="1" formatCode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9" formatCode="m/d/yy"/>
    </dxf>
    <dxf>
      <numFmt numFmtId="164" formatCode="&quot;$&quot;#,##0.00"/>
    </dxf>
    <dxf>
      <numFmt numFmtId="165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</a:t>
            </a:r>
            <a:r>
              <a:rPr lang="en-US" baseline="0"/>
              <a:t> Financial Impact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KPI_Dashboard!$A$2</c:f>
              <c:strCache>
                <c:ptCount val="1"/>
                <c:pt idx="0">
                  <c:v>Total Invoice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KPI_Dashboard!$B$2</c:f>
              <c:numCache>
                <c:formatCode>"$"#,##0.00</c:formatCode>
                <c:ptCount val="1"/>
                <c:pt idx="0">
                  <c:v>91636313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5-9048-A643-B5491A914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22288"/>
        <c:axId val="40324016"/>
      </c:barChart>
      <c:catAx>
        <c:axId val="40322288"/>
        <c:scaling>
          <c:orientation val="minMax"/>
        </c:scaling>
        <c:delete val="1"/>
        <c:axPos val="b"/>
        <c:majorTickMark val="none"/>
        <c:minorTickMark val="none"/>
        <c:tickLblPos val="nextTo"/>
        <c:crossAx val="40324016"/>
        <c:crosses val="autoZero"/>
        <c:auto val="1"/>
        <c:lblAlgn val="ctr"/>
        <c:lblOffset val="100"/>
        <c:noMultiLvlLbl val="0"/>
      </c:catAx>
      <c:valAx>
        <c:axId val="4032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2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</a:t>
            </a:r>
            <a:r>
              <a:rPr lang="en-US" baseline="0"/>
              <a:t> Savings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KPI_Dashboard!$A$13:$A$17</c:f>
              <c:strCache>
                <c:ptCount val="5"/>
                <c:pt idx="0">
                  <c:v>Packaging</c:v>
                </c:pt>
                <c:pt idx="1">
                  <c:v>Ingredients</c:v>
                </c:pt>
                <c:pt idx="2">
                  <c:v>Components</c:v>
                </c:pt>
                <c:pt idx="3">
                  <c:v>Logistics</c:v>
                </c:pt>
                <c:pt idx="4">
                  <c:v>MRO</c:v>
                </c:pt>
              </c:strCache>
            </c:strRef>
          </c:cat>
          <c:val>
            <c:numRef>
              <c:f>KPI_Dashboard!$B$13:$B$17</c:f>
              <c:numCache>
                <c:formatCode>"$"#,##0.00</c:formatCode>
                <c:ptCount val="5"/>
                <c:pt idx="0">
                  <c:v>316375.05392712343</c:v>
                </c:pt>
                <c:pt idx="1">
                  <c:v>459072.98024219187</c:v>
                </c:pt>
                <c:pt idx="2">
                  <c:v>299044.88476191752</c:v>
                </c:pt>
                <c:pt idx="3">
                  <c:v>373499.70836520568</c:v>
                </c:pt>
                <c:pt idx="4">
                  <c:v>232354.17320027389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9-4441-9E46-91C9B1CEE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91696"/>
        <c:axId val="40693408"/>
      </c:barChart>
      <c:catAx>
        <c:axId val="4069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3408"/>
        <c:crosses val="autoZero"/>
        <c:auto val="1"/>
        <c:lblAlgn val="ctr"/>
        <c:lblOffset val="100"/>
        <c:noMultiLvlLbl val="0"/>
      </c:catAx>
      <c:valAx>
        <c:axId val="406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</a:t>
            </a:r>
            <a:r>
              <a:rPr lang="en-US" baseline="0"/>
              <a:t> Savings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KPI_Dashboard!$A$21:$A$25</c:f>
              <c:strCache>
                <c:ptCount val="5"/>
                <c:pt idx="0">
                  <c:v>US</c:v>
                </c:pt>
                <c:pt idx="1">
                  <c:v>Canada</c:v>
                </c:pt>
                <c:pt idx="2">
                  <c:v>Mexico</c:v>
                </c:pt>
                <c:pt idx="3">
                  <c:v>Europe</c:v>
                </c:pt>
                <c:pt idx="4">
                  <c:v>APAC</c:v>
                </c:pt>
              </c:strCache>
            </c:strRef>
          </c:cat>
          <c:val>
            <c:numRef>
              <c:f>KPI_Dashboard!$B$21:$B$25</c:f>
              <c:numCache>
                <c:formatCode>"$"#,##0.00</c:formatCode>
                <c:ptCount val="5"/>
                <c:pt idx="0">
                  <c:v>330473.52555068547</c:v>
                </c:pt>
                <c:pt idx="1">
                  <c:v>314319.53808273969</c:v>
                </c:pt>
                <c:pt idx="2">
                  <c:v>330318.63725616439</c:v>
                </c:pt>
                <c:pt idx="3">
                  <c:v>390753.5567210961</c:v>
                </c:pt>
                <c:pt idx="4">
                  <c:v>314481.54288602719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5-7749-85A8-9DD7FDF23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9179504"/>
        <c:axId val="1889181216"/>
      </c:barChart>
      <c:catAx>
        <c:axId val="188917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81216"/>
        <c:crosses val="autoZero"/>
        <c:auto val="1"/>
        <c:lblAlgn val="ctr"/>
        <c:lblOffset val="100"/>
        <c:noMultiLvlLbl val="0"/>
      </c:catAx>
      <c:valAx>
        <c:axId val="188918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17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Supplier Savings by Supplier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KPI_Dashboard!$A$29:$A$31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KPI_Dashboard!$B$29:$B$31</c:f>
              <c:numCache>
                <c:formatCode>"$"#,##0.00</c:formatCode>
                <c:ptCount val="3"/>
                <c:pt idx="0">
                  <c:v>701926.96321616403</c:v>
                </c:pt>
                <c:pt idx="1">
                  <c:v>698307.28973561572</c:v>
                </c:pt>
                <c:pt idx="2">
                  <c:v>280112.54754493164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E-9D4F-A7FE-9D55DFEC9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4026608"/>
        <c:axId val="2094028720"/>
      </c:barChart>
      <c:catAx>
        <c:axId val="20940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28720"/>
        <c:crosses val="autoZero"/>
        <c:auto val="1"/>
        <c:lblAlgn val="ctr"/>
        <c:lblOffset val="100"/>
        <c:noMultiLvlLbl val="0"/>
      </c:catAx>
      <c:valAx>
        <c:axId val="209402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2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Adoption by Supplier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KPI_Dashboard!$A$59:$A$61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KPI_Dashboard!$B$59:$B$61</c:f>
              <c:numCache>
                <c:formatCode>0%</c:formatCode>
                <c:ptCount val="3"/>
                <c:pt idx="0">
                  <c:v>0.49487427466150774</c:v>
                </c:pt>
                <c:pt idx="1">
                  <c:v>0.4759938837920486</c:v>
                </c:pt>
                <c:pt idx="2">
                  <c:v>0.47401215805470975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9-B24C-ACAE-262418F5D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839680"/>
        <c:axId val="1410841392"/>
      </c:barChart>
      <c:catAx>
        <c:axId val="141083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841392"/>
        <c:crosses val="autoZero"/>
        <c:auto val="1"/>
        <c:lblAlgn val="ctr"/>
        <c:lblOffset val="100"/>
        <c:noMultiLvlLbl val="0"/>
      </c:catAx>
      <c:valAx>
        <c:axId val="141084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83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Borrowing Rate by Supplier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KPI_Dashboard!$D$59:$D$61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KPI_Dashboard!$E$59:$E$61</c:f>
              <c:numCache>
                <c:formatCode>0%</c:formatCode>
                <c:ptCount val="3"/>
                <c:pt idx="0">
                  <c:v>0.14691257253384918</c:v>
                </c:pt>
                <c:pt idx="1">
                  <c:v>0.11647996941896033</c:v>
                </c:pt>
                <c:pt idx="2">
                  <c:v>8.9546808510638107E-2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3-BD46-A4A9-70732B6DB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53536"/>
        <c:axId val="151055248"/>
      </c:barChart>
      <c:catAx>
        <c:axId val="15105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5248"/>
        <c:crosses val="autoZero"/>
        <c:auto val="1"/>
        <c:lblAlgn val="ctr"/>
        <c:lblOffset val="100"/>
        <c:noMultiLvlLbl val="0"/>
      </c:catAx>
      <c:valAx>
        <c:axId val="15105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Opportunity Score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KPI_Dashboard!$A$66:$A$70</c:f>
              <c:strCache>
                <c:ptCount val="5"/>
                <c:pt idx="0">
                  <c:v>US</c:v>
                </c:pt>
                <c:pt idx="1">
                  <c:v>Canada</c:v>
                </c:pt>
                <c:pt idx="2">
                  <c:v>Mexico</c:v>
                </c:pt>
                <c:pt idx="3">
                  <c:v>Europe</c:v>
                </c:pt>
                <c:pt idx="4">
                  <c:v>APAC</c:v>
                </c:pt>
              </c:strCache>
            </c:strRef>
          </c:cat>
          <c:val>
            <c:numRef>
              <c:f>KPI_Dashboard!$B$66:$B$70</c:f>
              <c:numCache>
                <c:formatCode>"$"#,##0.00</c:formatCode>
                <c:ptCount val="5"/>
                <c:pt idx="0">
                  <c:v>2018.4233624919088</c:v>
                </c:pt>
                <c:pt idx="1">
                  <c:v>1987.1622229999994</c:v>
                </c:pt>
                <c:pt idx="2">
                  <c:v>1786.7861216101701</c:v>
                </c:pt>
                <c:pt idx="3">
                  <c:v>2022.3711912908</c:v>
                </c:pt>
                <c:pt idx="4">
                  <c:v>1879.5704655633817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5-FF47-B609-8908BE13F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1004288"/>
        <c:axId val="1410937456"/>
      </c:barChart>
      <c:catAx>
        <c:axId val="141100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937456"/>
        <c:crosses val="autoZero"/>
        <c:auto val="1"/>
        <c:lblAlgn val="ctr"/>
        <c:lblOffset val="100"/>
        <c:noMultiLvlLbl val="0"/>
      </c:catAx>
      <c:valAx>
        <c:axId val="141093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00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89862</xdr:colOff>
      <xdr:row>0</xdr:row>
      <xdr:rowOff>184663</xdr:rowOff>
    </xdr:from>
    <xdr:to>
      <xdr:col>6</xdr:col>
      <xdr:colOff>192424</xdr:colOff>
      <xdr:row>11</xdr:row>
      <xdr:rowOff>76970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C552A-6828-670A-D23C-74C77D3D0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189859</xdr:colOff>
      <xdr:row>13</xdr:row>
      <xdr:rowOff>141112</xdr:rowOff>
    </xdr:from>
    <xdr:to>
      <xdr:col>7</xdr:col>
      <xdr:colOff>192425</xdr:colOff>
      <xdr:row>29</xdr:row>
      <xdr:rowOff>64142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AFBB40-557B-242C-BE43-B43966F6E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369457</xdr:colOff>
      <xdr:row>13</xdr:row>
      <xdr:rowOff>141112</xdr:rowOff>
    </xdr:from>
    <xdr:to>
      <xdr:col>12</xdr:col>
      <xdr:colOff>372020</xdr:colOff>
      <xdr:row>29</xdr:row>
      <xdr:rowOff>25657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AF990A-F0C3-DE7D-DE39-0FE405CF3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536222</xdr:colOff>
      <xdr:row>13</xdr:row>
      <xdr:rowOff>141110</xdr:rowOff>
    </xdr:from>
    <xdr:to>
      <xdr:col>17</xdr:col>
      <xdr:colOff>782527</xdr:colOff>
      <xdr:row>29</xdr:row>
      <xdr:rowOff>38484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54936E-0BE8-2397-A9DD-E51EABB10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196272</xdr:colOff>
      <xdr:row>51</xdr:row>
      <xdr:rowOff>12829</xdr:rowOff>
    </xdr:from>
    <xdr:to>
      <xdr:col>9</xdr:col>
      <xdr:colOff>525960</xdr:colOff>
      <xdr:row>62</xdr:row>
      <xdr:rowOff>75943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CFF0C0-D49E-0381-B949-98944F020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632437</xdr:colOff>
      <xdr:row>50</xdr:row>
      <xdr:rowOff>179596</xdr:rowOff>
    </xdr:from>
    <xdr:to>
      <xdr:col>11</xdr:col>
      <xdr:colOff>2835050</xdr:colOff>
      <xdr:row>62</xdr:row>
      <xdr:rowOff>165744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8E7784-6014-97B0-5C3F-3762F04C7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170615</xdr:colOff>
      <xdr:row>62</xdr:row>
      <xdr:rowOff>141111</xdr:rowOff>
    </xdr:from>
    <xdr:to>
      <xdr:col>8</xdr:col>
      <xdr:colOff>179595</xdr:colOff>
      <xdr:row>74</xdr:row>
      <xdr:rowOff>11802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357C16-FDCB-5F13-2B34-45E79D94A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152400</xdr:rowOff>
    </xdr:from>
    <xdr:to>
      <xdr:col>8</xdr:col>
      <xdr:colOff>698500</xdr:colOff>
      <xdr:row>39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686D60-461A-3C6C-CC7E-58D952170BF6}"/>
            </a:ext>
          </a:extLst>
        </xdr:cNvPr>
        <xdr:cNvSpPr txBox="1"/>
      </xdr:nvSpPr>
      <xdr:spPr>
        <a:xfrm>
          <a:off x="114300" y="152400"/>
          <a:ext cx="7188200" cy="734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Supply Chain Finance Opportunity Analysis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project analyzes the potential impact of implementing a </a:t>
          </a:r>
          <a:r>
            <a:rPr lang="en-US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Supply Chain Finance (SCF) program 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improve supplier liquidity and optimize working capital across a supplier network.</a:t>
          </a: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analysis evaluates:</a:t>
          </a: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Supplier financing cost savings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Working capital improvements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Program adoption likelihood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Supplier segmentation by industry and region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Potential financing volume and bank revenue</a:t>
          </a: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Project Objectives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goal of this project is to demonstrate how financial institutions and corporate treasury teams evaluate the feasibility of Supply Chain Finance programs.</a:t>
          </a: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analysis focuses on identifying:</a:t>
          </a: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Suppliers that would benefit most from early payment financing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Regions and industries with the highest program opportunity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Estimated financing volume and revenue potential for the financing institution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Tools Used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 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– financial modeling and KPI analysis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 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Python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– data preparation and synthetic dataset generation</a:t>
          </a:r>
          <a:b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 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Tableau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– interactive analytics dashboard</a:t>
          </a: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Dashboard Visualizations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Tableau dashboard includes:</a:t>
          </a: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Supplier Savings by Industry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Regional SCF Opportunity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Top Opportunity Suppliers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Borrowing Rate vs Adoption Analysis</a:t>
          </a: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visuals illustrate how supplier borrowing costs, invoice volumes, and regional factors influence SCF adoption potential.</a:t>
          </a: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h Hirani" refreshedDate="46095.892607986112" createdVersion="8" refreshedVersion="8" minRefreshableVersion="3" recordCount="1500" xr:uid="{272A47B4-8144-D940-B960-45B0923C14BA}">
  <cacheSource type="worksheet">
    <worksheetSource name="tbl_scf_raw"/>
  </cacheSource>
  <cacheFields count="23">
    <cacheField name="Supplier_ID" numFmtId="0">
      <sharedItems/>
    </cacheField>
    <cacheField name="Supplier_Name" numFmtId="0">
      <sharedItems count="106">
        <s v="CoreTech Supply"/>
        <s v="Delta Logistics"/>
        <s v="IronRoute Systems"/>
        <s v="Delta Partners"/>
        <s v="RedRock Supply"/>
        <s v="GreenField Co"/>
        <s v="Summit Logistics"/>
        <s v="Harbor Partners"/>
        <s v="FreightBridge Partners"/>
        <s v="Skyline Group"/>
        <s v="SilverLine Group"/>
        <s v="Titan Industries"/>
        <s v="Titan Supply"/>
        <s v="Harbor Group"/>
        <s v="Apex Group"/>
        <s v="Delta Systems"/>
        <s v="Titan Partners"/>
        <s v="Golden State Industries"/>
        <s v="Allied Co"/>
        <s v="RedRock Logistics"/>
        <s v="Vertex Partners"/>
        <s v="NorthPeak Co"/>
        <s v="PrimeLine Logistics"/>
        <s v="SwiftHaul Systems"/>
        <s v="Vertex Logistics"/>
        <s v="SilverLine Supply"/>
        <s v="Skyline Components"/>
        <s v="SwiftHaul Solutions"/>
        <s v="RedRock Solutions"/>
        <s v="Apex Co"/>
        <s v="RedRock Components"/>
        <s v="CoreTech Systems"/>
        <s v="CoreTech Partners"/>
        <s v="FreightBridge Solutions"/>
        <s v="NorthPeak Industries"/>
        <s v="ProServe Solutions"/>
        <s v="Atlas Group"/>
        <s v="Nova Supply"/>
        <s v="Nova Co"/>
        <s v="Precision Logistics"/>
        <s v="Precision Industries"/>
        <s v="Delta Solutions"/>
        <s v="BlueRiver Systems"/>
        <s v="Atlas Systems"/>
        <s v="GreenField Components"/>
        <s v="SwiftHaul Components"/>
        <s v="GreenField Logistics"/>
        <s v="Vertex Industries"/>
        <s v="Skyline Logistics"/>
        <s v="Skyline Supply"/>
        <s v="Golden State Solutions"/>
        <s v="Maple Leaf Components"/>
        <s v="SwiftHaul Supply"/>
        <s v="PrimeLine Industries"/>
        <s v="IronRoute Supply"/>
        <s v="Vertex Components"/>
        <s v="FreightBridge Systems"/>
        <s v="NorthPeak Partners"/>
        <s v="RedRock Co"/>
        <s v="Skyline Solutions"/>
        <s v="ProServe Partners"/>
        <s v="IronRoute Components"/>
        <s v="CoreTech Solutions"/>
        <s v="NorthPeak Systems"/>
        <s v="PrimeLine Group"/>
        <s v="RedRock Systems"/>
        <s v="ProServe Supply"/>
        <s v="Allied Components"/>
        <s v="GreenField Systems"/>
        <s v="Titan Components"/>
        <s v="Precision Components"/>
        <s v="NorthPeak Solutions"/>
        <s v="Vertex Systems"/>
        <s v="FreightBridge Co"/>
        <s v="SwiftHaul Group"/>
        <s v="Skyline Co"/>
        <s v="Pacific Crest Co"/>
        <s v="Nova Components"/>
        <s v="Summit Systems"/>
        <s v="Precision Partners"/>
        <s v="Maple Leaf Logistics"/>
        <s v="Vertex Group"/>
        <s v="Apex Logistics"/>
        <s v="Pacific Crest Group"/>
        <s v="RedRock Partners"/>
        <s v="Nova Partners"/>
        <s v="Maple Leaf Solutions"/>
        <s v="Delta Supply"/>
        <s v="IronRoute Partners"/>
        <s v="ProServe Components"/>
        <s v="FreightBridge Supply"/>
        <s v="Summit Components"/>
        <s v="IronRoute Industries"/>
        <s v="NorthPeak Group"/>
        <s v="FreightBridge Industries"/>
        <s v="Titan Systems"/>
        <s v="Titan Co"/>
        <s v="Harbor Systems"/>
        <s v="Apex Partners"/>
        <s v="Nova Systems"/>
        <s v="CoreTech Industries"/>
        <s v="Maple Leaf Co"/>
        <s v="SilverLine Components"/>
        <s v="Summit Partners"/>
        <s v="Atlas Industries"/>
        <s v="PrimeLine Co"/>
      </sharedItems>
    </cacheField>
    <cacheField name="Region" numFmtId="0">
      <sharedItems/>
    </cacheField>
    <cacheField name="Industry" numFmtId="0">
      <sharedItems count="5">
        <s v="Packaging"/>
        <s v="Ingredients"/>
        <s v="Logistics"/>
        <s v="MRO"/>
        <s v="Components"/>
      </sharedItems>
    </cacheField>
    <cacheField name="Supplier_Size" numFmtId="0">
      <sharedItems/>
    </cacheField>
    <cacheField name="Annual_Spend" numFmtId="165">
      <sharedItems containsSemiMixedTypes="0" containsString="0" containsNumber="1" containsInteger="1" minValue="261628" maxValue="24905394"/>
    </cacheField>
    <cacheField name="Invoice_ID" numFmtId="0">
      <sharedItems/>
    </cacheField>
    <cacheField name="Invoice_Amount" numFmtId="165">
      <sharedItems containsSemiMixedTypes="0" containsString="0" containsNumber="1" containsInteger="1" minValue="12191" maxValue="109973"/>
    </cacheField>
    <cacheField name="Invoice_Date" numFmtId="14">
      <sharedItems containsSemiMixedTypes="0" containsNonDate="0" containsDate="1" containsString="0" minDate="2025-01-01T00:00:00" maxDate="2026-03-01T00:00:00"/>
    </cacheField>
    <cacheField name="Payment_Terms_Days" numFmtId="1">
      <sharedItems containsSemiMixedTypes="0" containsString="0" containsNumber="1" containsInteger="1" minValue="30" maxValue="90"/>
    </cacheField>
    <cacheField name="Days_To_Approval" numFmtId="1">
      <sharedItems containsSemiMixedTypes="0" containsString="0" containsNumber="1" containsInteger="1" minValue="2" maxValue="10"/>
    </cacheField>
    <cacheField name="Supplier_Borrowing_Rate" numFmtId="10">
      <sharedItems containsSemiMixedTypes="0" containsString="0" containsNumber="1" minValue="7.0099999999999996E-2" maxValue="0.17929999999999999"/>
    </cacheField>
    <cacheField name="SCF_Rate" numFmtId="10">
      <sharedItems containsSemiMixedTypes="0" containsString="0" containsNumber="1" minValue="4.4999999999999998E-2" maxValue="6.5000000000000002E-2"/>
    </cacheField>
    <cacheField name="Early_Payment_Days" numFmtId="1">
      <sharedItems containsSemiMixedTypes="0" containsString="0" containsNumber="1" containsInteger="1" minValue="5" maxValue="10"/>
    </cacheField>
    <cacheField name="Critical_Supplier_Flag" numFmtId="0">
      <sharedItems/>
    </cacheField>
    <cacheField name="Program_Eligible" numFmtId="0">
      <sharedItems/>
    </cacheField>
    <cacheField name="Estimated_Adoption" numFmtId="9">
      <sharedItems containsSemiMixedTypes="0" containsString="0" containsNumber="1" minValue="0" maxValue="0.9"/>
    </cacheField>
    <cacheField name="Financing_Cost_Without_SCF" numFmtId="164">
      <sharedItems containsSemiMixedTypes="0" containsString="0" containsNumber="1" minValue="93.558978082191771" maxValue="4518.1520383561647"/>
    </cacheField>
    <cacheField name="Financing_Cost_With_SCF" numFmtId="164">
      <sharedItems containsSemiMixedTypes="0" containsString="0" containsNumber="1" minValue="9.4027808219178084" maxValue="181.71748767123287"/>
    </cacheField>
    <cacheField name="Supplier_Savings" numFmtId="164">
      <sharedItems containsSemiMixedTypes="0" containsString="0" containsNumber="1" minValue="79.939163835616426" maxValue="4437.4601178082194"/>
    </cacheField>
    <cacheField name="Liquidity_Days_Improved" numFmtId="1">
      <sharedItems containsSemiMixedTypes="0" containsString="0" containsNumber="1" containsInteger="1" minValue="20" maxValue="85"/>
    </cacheField>
    <cacheField name="Opportunity_Score" numFmtId="2">
      <sharedItems containsSemiMixedTypes="0" containsString="0" containsNumber="1" minValue="0" maxValue="11027.875679999999" count="1278">
        <n v="11027.875679999999"/>
        <n v="10819.86786"/>
        <n v="10719.410399999999"/>
        <n v="10645.386399999999"/>
        <n v="10216.011360000002"/>
        <n v="9579.2230799999998"/>
        <n v="9505.3982400000023"/>
        <n v="9370.0880000000016"/>
        <n v="9153.5416000000005"/>
        <n v="9132.6614399999999"/>
        <n v="9020.861640000001"/>
        <n v="8760.2958949999993"/>
        <n v="8718.5784000000003"/>
        <n v="8572.468499999999"/>
        <n v="8295.8606099999997"/>
        <n v="8246.8900799999992"/>
        <n v="8244.5084999999981"/>
        <n v="8099.9918999999991"/>
        <n v="8061.0195600000015"/>
        <n v="7881.0731999999998"/>
        <n v="7820.9841600000009"/>
        <n v="7800.9295499999989"/>
        <n v="7750.9800000000023"/>
        <n v="7679.503920000001"/>
        <n v="7640.7715800000014"/>
        <n v="7581.1176000000014"/>
        <n v="7462.7661599999983"/>
        <n v="7419.9342599999991"/>
        <n v="7372.38915"/>
        <n v="7292.5423200000014"/>
        <n v="7226.9875200000015"/>
        <n v="7205.7024000000001"/>
        <n v="7165.257599999999"/>
        <n v="7106.4453600000006"/>
        <n v="7040.70928"/>
        <n v="6999.4335600000022"/>
        <n v="6995.5817400000005"/>
        <n v="6991.1041200000009"/>
        <n v="6957.2432000000008"/>
        <n v="6921.5259599999999"/>
        <n v="6920.4460800000015"/>
        <n v="6849.8489600000012"/>
        <n v="6813.2240000000002"/>
        <n v="6759.1388799999995"/>
        <n v="6725.0048399999996"/>
        <n v="6698.2347899999995"/>
        <n v="6676.7537999999986"/>
        <n v="6649.0825600000007"/>
        <n v="6638.6270699999986"/>
        <n v="6620.4151200000006"/>
        <n v="6597.1344600000011"/>
        <n v="6592.8388500000001"/>
        <n v="6571.67724"/>
        <n v="6539.0364"/>
        <n v="6499.9470599999986"/>
        <n v="6365.9903400000003"/>
        <n v="6328.3194000000012"/>
        <n v="6315.9936000000007"/>
        <n v="6315.242760000001"/>
        <n v="6313.2047999999995"/>
        <n v="6286.8202800000008"/>
        <n v="6239.5893000000005"/>
        <n v="6209.5585499999997"/>
        <n v="6198.2988000000014"/>
        <n v="6141.3009300000012"/>
        <n v="6137.027325"/>
        <n v="6130.5020999999997"/>
        <n v="6113.9423999999999"/>
        <n v="6104.3716800000002"/>
        <n v="6051.6566000000012"/>
        <n v="6028.9624200000017"/>
        <n v="6013.5291000000007"/>
        <n v="5986.6775200000002"/>
        <n v="5986.22037"/>
        <n v="5909.5954800000009"/>
        <n v="5887.0255200000011"/>
        <n v="5855.1971399999993"/>
        <n v="5842.1919599999992"/>
        <n v="5830.0725600000014"/>
        <n v="5827.8597300000001"/>
        <n v="5780.1312800000005"/>
        <n v="5745.2340600000007"/>
        <n v="5740.6087199999993"/>
        <n v="5739.2907000000014"/>
        <n v="5717.3500799999993"/>
        <n v="5695.2817999999997"/>
        <n v="5668.9434000000001"/>
        <n v="5668.351200000001"/>
        <n v="5650.5076200000012"/>
        <n v="5617.1757600000001"/>
        <n v="5600.4549250000009"/>
        <n v="5579.7218099999991"/>
        <n v="5576.7740599999997"/>
        <n v="5556.5564800000011"/>
        <n v="5500.3005000000003"/>
        <n v="5448.9142399999992"/>
        <n v="5430.3676000000005"/>
        <n v="5425.5625449999998"/>
        <n v="5420.4480000000003"/>
        <n v="5394.0451200000016"/>
        <n v="5392.2569999999996"/>
        <n v="5388.7050000000008"/>
        <n v="5386.0083199999999"/>
        <n v="5341.200960000001"/>
        <n v="5316.2437500000005"/>
        <n v="5310.4505999999992"/>
        <n v="5308.1464500000011"/>
        <n v="5300.4714750000003"/>
        <n v="5287.4067999999988"/>
        <n v="5274.0752400000001"/>
        <n v="5271.1716600000009"/>
        <n v="5256.6408000000001"/>
        <n v="5236.6351499999992"/>
        <n v="5216.7570000000005"/>
        <n v="5187.3354400000007"/>
        <n v="5181.6199499999993"/>
        <n v="5179.1040000000003"/>
        <n v="5172.7163999999993"/>
        <n v="5160.9656700000014"/>
        <n v="5158.8995399999994"/>
        <n v="5131.8036000000002"/>
        <n v="5101.4720700000007"/>
        <n v="5086.5011100000002"/>
        <n v="5031.3417700000009"/>
        <n v="5021.4384"/>
        <n v="5011.5867200000002"/>
        <n v="4991.3707199999999"/>
        <n v="4970.9765600000001"/>
        <n v="4947.6080000000002"/>
        <n v="4947.0315999999993"/>
        <n v="4938.7315999999992"/>
        <n v="4934.0398499999992"/>
        <n v="4929.2219999999998"/>
        <n v="4889.4105599999994"/>
        <n v="4886.9314199999999"/>
        <n v="4886.8032000000003"/>
        <n v="4884.6651749999992"/>
        <n v="4856.707440000001"/>
        <n v="4855.5300000000007"/>
        <n v="4844.94848"/>
        <n v="4776.0761700000003"/>
        <n v="4759.1279999999997"/>
        <n v="4746.6243900000009"/>
        <n v="4739.5553400000008"/>
        <n v="4725.782400000001"/>
        <n v="4689.9665800000002"/>
        <n v="4687.4646000000002"/>
        <n v="4666.4561449999992"/>
        <n v="4656.6780000000008"/>
        <n v="4652.3925000000008"/>
        <n v="4644.8654400000005"/>
        <n v="4635.7819200000013"/>
        <n v="4621.6688700000004"/>
        <n v="4615.7375999999995"/>
        <n v="4572.5604299999995"/>
        <n v="4571.9587199999996"/>
        <n v="4561.33392"/>
        <n v="4552.7843200000007"/>
        <n v="4548.7800799999995"/>
        <n v="4496.9141099999997"/>
        <n v="4451.0498500000003"/>
        <n v="4440.2436000000007"/>
        <n v="4394.9584999999988"/>
        <n v="4361.5279500000006"/>
        <n v="4349.5676899999989"/>
        <n v="4341.0539250000002"/>
        <n v="4329.6854249999997"/>
        <n v="4308.5671199999997"/>
        <n v="4282.3906200000001"/>
        <n v="4272.1222500000003"/>
        <n v="4263.3619200000003"/>
        <n v="4248.4146499999997"/>
        <n v="4242.1596000000009"/>
        <n v="4229.9349950000005"/>
        <n v="4216.20327"/>
        <n v="4196.04198"/>
        <n v="4181.89473"/>
        <n v="4167.2426400000004"/>
        <n v="4165.1434800000006"/>
        <n v="4141.5239999999994"/>
        <n v="4140.4104000000007"/>
        <n v="4139.2080800000003"/>
        <n v="4133.9648999999999"/>
        <n v="4121.0083199999999"/>
        <n v="4113.7936200000004"/>
        <n v="4110.5625"/>
        <n v="4097.3921099999998"/>
        <n v="4096.9367999999995"/>
        <n v="4095.9401600000006"/>
        <n v="4091.7685499999998"/>
        <n v="4080.532040000001"/>
        <n v="4077.5819200000001"/>
        <n v="4074.3360000000002"/>
        <n v="4069.2874300000003"/>
        <n v="4068.2803199999998"/>
        <n v="4065.5097000000001"/>
        <n v="4045.3905049999998"/>
        <n v="4023.3997500000009"/>
        <n v="3991.0946400000007"/>
        <n v="3973.4945000000002"/>
        <n v="3945.6014399999995"/>
        <n v="3943.4833750000003"/>
        <n v="3933.7"/>
        <n v="3921.9231600000003"/>
        <n v="3920.1157450000005"/>
        <n v="3912.4857600000005"/>
        <n v="3910.21992"/>
        <n v="3907.2370399999995"/>
        <n v="3897.6908500000004"/>
        <n v="3892.3008"/>
        <n v="3872.4587999999999"/>
        <n v="3866.1139399999997"/>
        <n v="3851.6651999999999"/>
        <n v="3848.4296999999992"/>
        <n v="3846.6948799999991"/>
        <n v="3840.6522"/>
        <n v="3839.0403999999994"/>
        <n v="3832.6743000000006"/>
        <n v="3831.5807999999997"/>
        <n v="3825.3022500000006"/>
        <n v="3807.0202499999996"/>
        <n v="3799.2203999999997"/>
        <n v="3780.6758399999994"/>
        <n v="3766.4766000000004"/>
        <n v="3749.3149049999993"/>
        <n v="3742.7829599999995"/>
        <n v="3740.98569"/>
        <n v="3729.6136800000008"/>
        <n v="3727.5931"/>
        <n v="3723.9108000000001"/>
        <n v="3720.3482550000003"/>
        <n v="3715.9658399999994"/>
        <n v="3701.5728749999998"/>
        <n v="3678.6203350000001"/>
        <n v="3675.7815499999997"/>
        <n v="3673.1110500000009"/>
        <n v="3663.7142499999995"/>
        <n v="3655.7337599999992"/>
        <n v="3641.2861500000004"/>
        <n v="3641.0061600000004"/>
        <n v="3634.988695"/>
        <n v="3629.5689600000001"/>
        <n v="3615.0907499999998"/>
        <n v="3607.4497500000002"/>
        <n v="3600.6867000000002"/>
        <n v="3600.3280499999992"/>
        <n v="3597.3942000000002"/>
        <n v="3596.1638399999997"/>
        <n v="3589.7472000000002"/>
        <n v="3588.3124200000002"/>
        <n v="3586.1151500000005"/>
        <n v="3577.6575000000003"/>
        <n v="3567.2917000000007"/>
        <n v="3566.0080300000004"/>
        <n v="3536.3197999999993"/>
        <n v="3534.4782"/>
        <n v="3533.2082399999999"/>
        <n v="3529.8585999999996"/>
        <n v="3528.2114399999996"/>
        <n v="3527.4447000000009"/>
        <n v="3518.2729999999997"/>
        <n v="3516.4392000000003"/>
        <n v="3504.8175000000001"/>
        <n v="3494.0891700000006"/>
        <n v="3474.2644300000002"/>
        <n v="3473.8560000000007"/>
        <n v="3463.5180000000005"/>
        <n v="3456.1920000000005"/>
        <n v="3453.0259500000006"/>
        <n v="3452.5100800000009"/>
        <n v="3436.4865599999998"/>
        <n v="3435.5610000000011"/>
        <n v="3433.7498399999999"/>
        <n v="3422.4800399999999"/>
        <n v="3414.3063499999998"/>
        <n v="3410.1970499999998"/>
        <n v="3410.1338400000004"/>
        <n v="3407.0756999999999"/>
        <n v="3393.4137600000004"/>
        <n v="3392.6405999999993"/>
        <n v="3382.2237149999996"/>
        <n v="3382.0797149999994"/>
        <n v="3380.3055000000004"/>
        <n v="3371.9558400000001"/>
        <n v="3371.5439999999999"/>
        <n v="3367.6843199999998"/>
        <n v="3366.3375000000001"/>
        <n v="3362.9861200000005"/>
        <n v="3353.7941999999998"/>
        <n v="3351.0906000000004"/>
        <n v="3349.7166500000003"/>
        <n v="3348.9968400000007"/>
        <n v="3346.9248599999996"/>
        <n v="3340.7959000000005"/>
        <n v="3335.4642750000003"/>
        <n v="3335.3474000000001"/>
        <n v="3317.9816000000001"/>
        <n v="3302.7508800000005"/>
        <n v="3302.0512199999998"/>
        <n v="3293.3892599999999"/>
        <n v="3293.0889600000005"/>
        <n v="3283.7235000000001"/>
        <n v="3275.7460800000003"/>
        <n v="3272.3856000000001"/>
        <n v="3259.1573950000002"/>
        <n v="3258.5135999999998"/>
        <n v="3258.1720599999999"/>
        <n v="3244.7984400000009"/>
        <n v="3233.8266799999992"/>
        <n v="3228.9816000000005"/>
        <n v="3220.2554999999998"/>
        <n v="3209.9607000000001"/>
        <n v="3209.3277300000004"/>
        <n v="3200.2799400000004"/>
        <n v="3198.9880800000005"/>
        <n v="3189.1536300000007"/>
        <n v="3183.6896000000006"/>
        <n v="3172.4100000000008"/>
        <n v="3159.9260000000004"/>
        <n v="3157.7425499999999"/>
        <n v="3157.7328900000007"/>
        <n v="3144.5528399999998"/>
        <n v="3134.9430000000007"/>
        <n v="3128.6955699999999"/>
        <n v="3120.2620800000004"/>
        <n v="3109.8356800000006"/>
        <n v="3097.9993599999998"/>
        <n v="3097.9765000000002"/>
        <n v="3097.8640000000005"/>
        <n v="3097.2441600000002"/>
        <n v="3093.1592999999998"/>
        <n v="3091.18145"/>
        <n v="3081.2642249999999"/>
        <n v="3073.6010000000001"/>
        <n v="3072.2634000000003"/>
        <n v="3067.6989600000002"/>
        <n v="3065.8405500000003"/>
        <n v="3056.7280000000001"/>
        <n v="3051.6238350000003"/>
        <n v="3048.1281600000002"/>
        <n v="3030.8542399999997"/>
        <n v="3004.5001700000003"/>
        <n v="2986.2050399999998"/>
        <n v="2971.9275300000004"/>
        <n v="2971.7656500000003"/>
        <n v="2965.2620399999996"/>
        <n v="2958.9141600000003"/>
        <n v="2950.6976449999993"/>
        <n v="2932.8863999999999"/>
        <n v="2918.1526199999998"/>
        <n v="2904.4526400000009"/>
        <n v="2904.2910000000006"/>
        <n v="2902.48965"/>
        <n v="2900.4861600000004"/>
        <n v="2894.9076"/>
        <n v="2885.4415200000003"/>
        <n v="2883.6007200000004"/>
        <n v="2873.8860800000002"/>
        <n v="2872.6790300000002"/>
        <n v="2868.4228300000009"/>
        <n v="2868.2110799999996"/>
        <n v="2863.0383599999996"/>
        <n v="2861.3664500000004"/>
        <n v="2850.5538500000002"/>
        <n v="2847.8419199999998"/>
        <n v="2843.4384"/>
        <n v="2840.0065599999998"/>
        <n v="2832.3859200000002"/>
        <n v="2830.6114200000002"/>
        <n v="2824.4634599999995"/>
        <n v="2811.4513199999997"/>
        <n v="2804.0480000000002"/>
        <n v="2802.0228600000005"/>
        <n v="2799.7682399999999"/>
        <n v="2795.2795500000002"/>
        <n v="2792.4483599999999"/>
        <n v="2790.27792"/>
        <n v="2787.9092999999998"/>
        <n v="2783.3491399999998"/>
        <n v="2781.7488000000003"/>
        <n v="2774.3463000000002"/>
        <n v="2769.7583199999995"/>
        <n v="2764.8522499999999"/>
        <n v="2761.7713200000003"/>
        <n v="2760.8250000000003"/>
        <n v="2757.7475199999999"/>
        <n v="2756.7610499999996"/>
        <n v="2756.1280499999998"/>
        <n v="2748.4551899999997"/>
        <n v="2744.0887500000003"/>
        <n v="2737.9660800000006"/>
        <n v="2730.2024749999996"/>
        <n v="2725.5501000000004"/>
        <n v="2722.5849600000006"/>
        <n v="2720.2346400000006"/>
        <n v="2718.02565"/>
        <n v="2717.5429749999994"/>
        <n v="2710.7124200000003"/>
        <n v="2709.7537500000003"/>
        <n v="2709.4931999999994"/>
        <n v="2703.2490000000003"/>
        <n v="2702.5966400000002"/>
        <n v="2692.9685250000002"/>
        <n v="2688.5779050000001"/>
        <n v="2685.2661499999999"/>
        <n v="2672.4443850000002"/>
        <n v="2670.7041600000002"/>
        <n v="2663.3754000000004"/>
        <n v="2662.5321000000004"/>
        <n v="2658.7202250000005"/>
        <n v="2647.1380000000004"/>
        <n v="2646.5377600000006"/>
        <n v="2635.5785400000004"/>
        <n v="2632.5765999999999"/>
        <n v="2624.7506999999996"/>
        <n v="2615.0152000000003"/>
        <n v="2610.3912100000002"/>
        <n v="2601.8452000000002"/>
        <n v="2600.6741500000003"/>
        <n v="2600.4196400000001"/>
        <n v="2600.0336999999995"/>
        <n v="2594.21967"/>
        <n v="2592.2160000000003"/>
        <n v="2590.9609700000001"/>
        <n v="2590.6212150000001"/>
        <n v="2590.58385"/>
        <n v="2581.0104000000001"/>
        <n v="2572.5138399999996"/>
        <n v="2570.6589999999997"/>
        <n v="2560.5832699999996"/>
        <n v="2555.1923200000001"/>
        <n v="2555.1363600000004"/>
        <n v="2554.7367999999997"/>
        <n v="2537.5023900000001"/>
        <n v="2519.3763200000008"/>
        <n v="2515.9372799999996"/>
        <n v="2513.23029"/>
        <n v="2505.8728000000001"/>
        <n v="2503.8811200000005"/>
        <n v="2500.7719099999999"/>
        <n v="2499.9341250000002"/>
        <n v="2499.4406400000003"/>
        <n v="2491.9269699999995"/>
        <n v="2488.1887799999995"/>
        <n v="2486.0921999999996"/>
        <n v="2483.9653800000001"/>
        <n v="2481.0720000000001"/>
        <n v="2480.83952"/>
        <n v="2475.3241599999997"/>
        <n v="2461.5"/>
        <n v="2460.7926000000002"/>
        <n v="2454.9476249999998"/>
        <n v="2452.8098400000003"/>
        <n v="2451.4389900000001"/>
        <n v="2450.8697600000005"/>
        <n v="2450.6496000000002"/>
        <n v="2437.5195000000003"/>
        <n v="2427.2830399999998"/>
        <n v="2421.9086399999997"/>
        <n v="2420.27513"/>
        <n v="2410.0128"/>
        <n v="2400.3863000000001"/>
        <n v="2396.8639999999996"/>
        <n v="2390.5839999999998"/>
        <n v="2390.1448999999993"/>
        <n v="2380.6177200000002"/>
        <n v="2377.2873600000003"/>
        <n v="2375.0861749999999"/>
        <n v="2374.5009599999998"/>
        <n v="2363.5149999999999"/>
        <n v="2358.3794000000003"/>
        <n v="2356.966105"/>
        <n v="2350.51467"/>
        <n v="2340.7594599999998"/>
        <n v="2337.1784000000002"/>
        <n v="2327.7380099999996"/>
        <n v="2322.5728000000004"/>
        <n v="2313.0907000000002"/>
        <n v="2302.3636999999999"/>
        <n v="2299.4464000000003"/>
        <n v="2283.7276799999995"/>
        <n v="2274.7032000000004"/>
        <n v="2273.3692799999999"/>
        <n v="2271.0124799999994"/>
        <n v="2268.30692"/>
        <n v="2264.0250000000005"/>
        <n v="2260.5982199999999"/>
        <n v="2250.6564149999999"/>
        <n v="2238.4592999999995"/>
        <n v="2237.5426499999999"/>
        <n v="2236.0109000000002"/>
        <n v="2234.6006400000001"/>
        <n v="2232.7335550000003"/>
        <n v="2228.5625"/>
        <n v="2225.9998800000003"/>
        <n v="2222.9413199999999"/>
        <n v="2222.3073600000002"/>
        <n v="2220.9331200000006"/>
        <n v="2219.9401000000003"/>
        <n v="2219.9040000000005"/>
        <n v="2219.1540800000002"/>
        <n v="2213.6858999999999"/>
        <n v="2207.6202499999999"/>
        <n v="2204.6083199999998"/>
        <n v="2202.9878399999998"/>
        <n v="2196.7545599999999"/>
        <n v="2196.5256950000003"/>
        <n v="2195.9224799999997"/>
        <n v="2180.692215"/>
        <n v="2177.9082000000003"/>
        <n v="2175.2444"/>
        <n v="2171.7226800000003"/>
        <n v="2171.1933599999998"/>
        <n v="2166.1730299999999"/>
        <n v="2158.1127999999999"/>
        <n v="2157.6644999999999"/>
        <n v="2148.7518"/>
        <n v="2144.7418499999999"/>
        <n v="2141.3040000000001"/>
        <n v="2134.9988400000002"/>
        <n v="2123.9539199999999"/>
        <n v="2123.1595999999995"/>
        <n v="2121.5801999999999"/>
        <n v="2117.4972000000007"/>
        <n v="2113.6756800000003"/>
        <n v="2111.3040000000005"/>
        <n v="2100.7703999999999"/>
        <n v="2094.5490999999997"/>
        <n v="2073.4412400000001"/>
        <n v="2072.2583699999996"/>
        <n v="2071.8621000000003"/>
        <n v="2070.9882400000001"/>
        <n v="2070.8200000000002"/>
        <n v="2069.0815600000001"/>
        <n v="2063.7798400000001"/>
        <n v="2060.3068000000003"/>
        <n v="2054.2017600000004"/>
        <n v="2052.6164399999998"/>
        <n v="2052.2644799999998"/>
        <n v="2050.6886399999999"/>
        <n v="2048.7424000000005"/>
        <n v="2046.0416"/>
        <n v="2045.5108049999997"/>
        <n v="2044.441165"/>
        <n v="2041.5160500000002"/>
        <n v="2041.365"/>
        <n v="2036.8953800000002"/>
        <n v="2033.97894"/>
        <n v="2032.05816"/>
        <n v="2027.9767200000001"/>
        <n v="2027.9609349999998"/>
        <n v="2027.4038399999997"/>
        <n v="2026.8703999999996"/>
        <n v="2025.4579200000001"/>
        <n v="2023.9949599999998"/>
        <n v="2023.5468600000004"/>
        <n v="2020.1936299999995"/>
        <n v="2017.5742399999999"/>
        <n v="2011.8545100000006"/>
        <n v="2011.3920000000001"/>
        <n v="2005.3912999999998"/>
        <n v="1999.0891800000004"/>
        <n v="1993.7353799999996"/>
        <n v="1992.6504"/>
        <n v="1992.3232"/>
        <n v="1991.8398499999998"/>
        <n v="1977.5131200000005"/>
        <n v="1972.4565700000003"/>
        <n v="1963.7240000000002"/>
        <n v="1963.571805"/>
        <n v="1959.37644"/>
        <n v="1951.2885000000001"/>
        <n v="1950.6340800000003"/>
        <n v="1944.0411899999999"/>
        <n v="1942.3403999999998"/>
        <n v="1938.8033499999999"/>
        <n v="1936.7402999999997"/>
        <n v="1931.9737999999998"/>
        <n v="1929.3030400000002"/>
        <n v="1925.4809699999998"/>
        <n v="1913.3765000000001"/>
        <n v="1912.4195999999997"/>
        <n v="1911.1837500000001"/>
        <n v="1905.1832799999997"/>
        <n v="1900.7553599999999"/>
        <n v="1896.7536000000005"/>
        <n v="1893.5636300000001"/>
        <n v="1892.2920800000004"/>
        <n v="1886.7815200000002"/>
        <n v="1884.584695"/>
        <n v="1883.5254400000001"/>
        <n v="1882.9670999999998"/>
        <n v="1880.2282200000004"/>
        <n v="1880.1822199999997"/>
        <n v="1876.8416799999998"/>
        <n v="1876.4905500000002"/>
        <n v="1875.8539799999999"/>
        <n v="1867.7119999999995"/>
        <n v="1863.2275199999999"/>
        <n v="1861.3557599999997"/>
        <n v="1859.8199400000003"/>
        <n v="1858.6394999999998"/>
        <n v="1856.4046200000005"/>
        <n v="1849.8034799999998"/>
        <n v="1842.7416000000003"/>
        <n v="1837.0667700000006"/>
        <n v="1835.3616750000001"/>
        <n v="1830.3359400000002"/>
        <n v="1822.3178400000002"/>
        <n v="1821.1417900000001"/>
        <n v="1815.6545000000001"/>
        <n v="1811.1177000000002"/>
        <n v="1801.4169600000002"/>
        <n v="1801.4154000000001"/>
        <n v="1799.7279299999996"/>
        <n v="1798.1910099999998"/>
        <n v="1792.9318399999997"/>
        <n v="1791.3179999999998"/>
        <n v="1789.0431999999998"/>
        <n v="1788.6607200000001"/>
        <n v="1782.59653"/>
        <n v="1778.0491749999999"/>
        <n v="1776.9740400000001"/>
        <n v="1776.7047200000002"/>
        <n v="1771.3850000000007"/>
        <n v="1762.2500600000001"/>
        <n v="1762.1612399999997"/>
        <n v="1762.030655"/>
        <n v="1759.7784999999999"/>
        <n v="1757.29575"/>
        <n v="1756.5491999999997"/>
        <n v="1751.3880800000002"/>
        <n v="1742.8747700000001"/>
        <n v="1740.7100750000002"/>
        <n v="1740.5009999999997"/>
        <n v="1739.2160800000004"/>
        <n v="1736.0433999999998"/>
        <n v="1735.9577199999997"/>
        <n v="1720.8576"/>
        <n v="1718.1550099999999"/>
        <n v="1695.3451200000002"/>
        <n v="1693.0733399999997"/>
        <n v="1688.7776499999998"/>
        <n v="1685.5825000000002"/>
        <n v="1683.8053200000002"/>
        <n v="1680.2620100000001"/>
        <n v="1675.6635600000002"/>
        <n v="1674.0291999999997"/>
        <n v="1666.02359"/>
        <n v="1657.9494399999999"/>
        <n v="1657.0040000000001"/>
        <n v="1654.9018200000003"/>
        <n v="1651.3008049999996"/>
        <n v="1650.6060799999998"/>
        <n v="1647.0835499999998"/>
        <n v="1646.3840000000002"/>
        <n v="1646.1369750000001"/>
        <n v="1643.5596"/>
        <n v="1636.8484200000003"/>
        <n v="1635.5419999999999"/>
        <n v="1633.9789200000002"/>
        <n v="1630.8805499999999"/>
        <n v="1624.6775200000004"/>
        <n v="1619.4387300000001"/>
        <n v="1618.2315499999997"/>
        <n v="1614.91032"/>
        <n v="1614.1692"/>
        <n v="1613.9734799999997"/>
        <n v="1613.3715200000004"/>
        <n v="1610.5801249999997"/>
        <n v="1604.7633600000001"/>
        <n v="1601.9186399999994"/>
        <n v="1599.1251999999997"/>
        <n v="1598.2329000000004"/>
        <n v="1594.2244500000002"/>
        <n v="1591.1486849999997"/>
        <n v="1590.9736499999999"/>
        <n v="1589.211"/>
        <n v="1589.0324499999999"/>
        <n v="1589.0002050000001"/>
        <n v="1582.8076800000001"/>
        <n v="1577.4996599999999"/>
        <n v="1576.5575000000006"/>
        <n v="1567.3717499999998"/>
        <n v="1565.4530399999999"/>
        <n v="1564.2179999999998"/>
        <n v="1555.535625"/>
        <n v="1555.2022199999999"/>
        <n v="1554.7616000000003"/>
        <n v="1552.49325"/>
        <n v="1551.6112499999997"/>
        <n v="1547.90552"/>
        <n v="1547.8748999999998"/>
        <n v="1547.1360450000002"/>
        <n v="1547.1339"/>
        <n v="1544.8614999999998"/>
        <n v="1544.0768999999998"/>
        <n v="1539.5523000000001"/>
        <n v="1537.9560000000004"/>
        <n v="1534.9884550000002"/>
        <n v="1531.6379000000002"/>
        <n v="1520.7717600000001"/>
        <n v="1518.33528"/>
        <n v="1512.3144399999999"/>
        <n v="1509.759"/>
        <n v="1508.2983999999999"/>
        <n v="1507.2030999999999"/>
        <n v="1507.1615999999999"/>
        <n v="1506.4490799999996"/>
        <n v="1503.7335900000003"/>
        <n v="1503.5090399999999"/>
        <n v="1502.44029"/>
        <n v="1496.0203999999999"/>
        <n v="1490.9172600000004"/>
        <n v="1487.3351999999998"/>
        <n v="1475.3311999999999"/>
        <n v="1474.5779999999997"/>
        <n v="1474.1874"/>
        <n v="1468.0731999999998"/>
        <n v="1462.9501249999998"/>
        <n v="1462.68075"/>
        <n v="1462.5754000000002"/>
        <n v="1461.64375"/>
        <n v="1461.4528500000004"/>
        <n v="1458.2"/>
        <n v="1457.15193"/>
        <n v="1455.6552149999998"/>
        <n v="1450.0586700000003"/>
        <n v="1449.5587199999998"/>
        <n v="1447.5374200000003"/>
        <n v="1445.9838249999998"/>
        <n v="1442.46388"/>
        <n v="1434.3433649999999"/>
        <n v="1433.9438399999997"/>
        <n v="1431.0968"/>
        <n v="1429.4420400000001"/>
        <n v="1428.2431200000001"/>
        <n v="1425.8320000000001"/>
        <n v="1424.4876800000002"/>
        <n v="1419.8400000000004"/>
        <n v="1416.3815999999997"/>
        <n v="1415.9217150000002"/>
        <n v="1412.71704"/>
        <n v="1409.50854"/>
        <n v="1403.1751500000003"/>
        <n v="1399.8873600000002"/>
        <n v="1399.5251600000001"/>
        <n v="1397.5353600000003"/>
        <n v="1385.0652500000001"/>
        <n v="1384.5834000000002"/>
        <n v="1384.4315999999999"/>
        <n v="1382.4396000000002"/>
        <n v="1382.29"/>
        <n v="1378.9933999999998"/>
        <n v="1377.3406399999999"/>
        <n v="1377.2129399999999"/>
        <n v="1377.133695"/>
        <n v="1376.6812"/>
        <n v="1373.1275999999998"/>
        <n v="1372.3422999999998"/>
        <n v="1371.8617000000002"/>
        <n v="1371.0124000000001"/>
        <n v="1361.25"/>
        <n v="1356.6179199999999"/>
        <n v="1351.1363999999996"/>
        <n v="1349.6155050000002"/>
        <n v="1347.1659"/>
        <n v="1346.418255"/>
        <n v="1340.2734400000002"/>
        <n v="1338.6103199999998"/>
        <n v="1337.3076600000004"/>
        <n v="1326.54213"/>
        <n v="1326.4755"/>
        <n v="1325.5749000000003"/>
        <n v="1325.0329600000002"/>
        <n v="1321.2404799999999"/>
        <n v="1313.51584"/>
        <n v="1310.4338099999998"/>
        <n v="1307.8907999999999"/>
        <n v="1306.6174800000001"/>
        <n v="1294.4372000000001"/>
        <n v="1293.9537800000001"/>
        <n v="1293.89715"/>
        <n v="1288.0560000000003"/>
        <n v="1283.21739"/>
        <n v="1280.2608"/>
        <n v="1279.2978000000003"/>
        <n v="1275.5620800000004"/>
        <n v="1274.4960199999998"/>
        <n v="1273.0978400000001"/>
        <n v="1270.9867449999999"/>
        <n v="1267.1904"/>
        <n v="1265.5565999999997"/>
        <n v="1264.1656"/>
        <n v="1263.68"/>
        <n v="1262.2051650000001"/>
        <n v="1260.42868"/>
        <n v="1253.8912000000003"/>
        <n v="1251.83646"/>
        <n v="1248.6375"/>
        <n v="1247.1300000000001"/>
        <n v="1247.1227999999999"/>
        <n v="1244.7719999999999"/>
        <n v="1242.8761799999997"/>
        <n v="1241.0819399999998"/>
        <n v="1238.6680800000001"/>
        <n v="1237.9920000000002"/>
        <n v="1235.3729700000001"/>
        <n v="1233.9165600000001"/>
        <n v="1233.2876400000002"/>
        <n v="1230.2838800000002"/>
        <n v="1227.893975"/>
        <n v="1226.2165500000003"/>
        <n v="1225.51856"/>
        <n v="1225.1652000000001"/>
        <n v="1224.2869099999998"/>
        <n v="1223.89436"/>
        <n v="1221.1315200000004"/>
        <n v="1221.0236799999998"/>
        <n v="1217.6936799999999"/>
        <n v="1217.1324000000002"/>
        <n v="1216.0159200000003"/>
        <n v="1212.59085"/>
        <n v="1209.6108849999998"/>
        <n v="1209.0623999999998"/>
        <n v="1208.6811"/>
        <n v="1193.1796799999997"/>
        <n v="1192.7616"/>
        <n v="1188.0350999999998"/>
        <n v="1186.9556399999999"/>
        <n v="1185.7127799999998"/>
        <n v="1184.7844"/>
        <n v="1183.3845099999999"/>
        <n v="1181.9114100000002"/>
        <n v="1171.7759899999999"/>
        <n v="1171.1178000000002"/>
        <n v="1168.0586999999998"/>
        <n v="1165.8024949999999"/>
        <n v="1165.6291499999998"/>
        <n v="1163.0343600000003"/>
        <n v="1162.7971950000001"/>
        <n v="1161.69534"/>
        <n v="1150.6358399999999"/>
        <n v="1148.0863999999997"/>
        <n v="1146.4296000000002"/>
        <n v="1146.3899999999999"/>
        <n v="1145.2234999999998"/>
        <n v="1144.9930799999997"/>
        <n v="1144.89256"/>
        <n v="1137.3700000000001"/>
        <n v="1136.3321599999999"/>
        <n v="1136.05384"/>
        <n v="1131.9263999999998"/>
        <n v="1128.5392650000001"/>
        <n v="1127.8410000000001"/>
        <n v="1126.3337999999999"/>
        <n v="1125.3562249999998"/>
        <n v="1125.0135399999997"/>
        <n v="1122.0551999999998"/>
        <n v="1121.9717250000001"/>
        <n v="1118.1901499999997"/>
        <n v="1109.8627199999999"/>
        <n v="1106.6070000000002"/>
        <n v="1105.4304000000002"/>
        <n v="1102.6504800000002"/>
        <n v="1100.3740800000003"/>
        <n v="1095.1463600000002"/>
        <n v="1092.81432"/>
        <n v="1092.7223999999999"/>
        <n v="1089.8920400000002"/>
        <n v="1089.2124000000001"/>
        <n v="1084.6662000000001"/>
        <n v="1084.2921900000001"/>
        <n v="1083.626215"/>
        <n v="1083.4182450000001"/>
        <n v="1083.0335500000001"/>
        <n v="1080.9568000000002"/>
        <n v="1077.5296000000001"/>
        <n v="1075.2666000000002"/>
        <n v="1072.36608"/>
        <n v="1072.3580400000001"/>
        <n v="1060.4884499999996"/>
        <n v="1054.7495400000003"/>
        <n v="1052.4723200000001"/>
        <n v="1049.152"/>
        <n v="1048.5639000000003"/>
        <n v="1047.4144200000003"/>
        <n v="1046.7408600000001"/>
        <n v="1044.8525999999999"/>
        <n v="1044.0381600000001"/>
        <n v="1043.9649000000002"/>
        <n v="1041.3490400000001"/>
        <n v="1039.8986999999997"/>
        <n v="1038.3519300000003"/>
        <n v="1036.8368"/>
        <n v="1035.0849600000001"/>
        <n v="1032.4093499999999"/>
        <n v="1029.7949399999993"/>
        <n v="1026.17515"/>
        <n v="1023.4073849999999"/>
        <n v="1015.8452000000001"/>
        <n v="1013.4150000000002"/>
        <n v="1010.1427200000004"/>
        <n v="1007.6674299999999"/>
        <n v="1004.82102"/>
        <n v="1003.0550399999998"/>
        <n v="1002.9845499999997"/>
        <n v="1001.6238499999999"/>
        <n v="999.84299999999996"/>
        <n v="998.96238000000017"/>
        <n v="995.48879999999997"/>
        <n v="993.49660000000006"/>
        <n v="992.51712000000009"/>
        <n v="989.62779999999987"/>
        <n v="987.59335499999997"/>
        <n v="987.11784000000011"/>
        <n v="986.65854999999988"/>
        <n v="981.74547999999993"/>
        <n v="980.19674999999995"/>
        <n v="977.49099000000001"/>
        <n v="976.17468000000008"/>
        <n v="976.04653999999994"/>
        <n v="974.79071999999996"/>
        <n v="970.09822000000008"/>
        <n v="968.68934000000013"/>
        <n v="966.66279999999995"/>
        <n v="962.64467000000013"/>
        <n v="962.41743000000008"/>
        <n v="962.39308000000017"/>
        <n v="961.51924000000008"/>
        <n v="961.06394999999998"/>
        <n v="960.90455999999995"/>
        <n v="958.39200000000005"/>
        <n v="957.15228000000002"/>
        <n v="954.47249999999997"/>
        <n v="948.41063999999994"/>
        <n v="944.00662000000011"/>
        <n v="939.2305200000003"/>
        <n v="934.45334500000001"/>
        <n v="933.38"/>
        <n v="931.39955999999984"/>
        <n v="930.75047999999992"/>
        <n v="921.7192500000001"/>
        <n v="916.41123000000005"/>
        <n v="913.66064999999992"/>
        <n v="913.02200000000028"/>
        <n v="911.83949999999993"/>
        <n v="907.64495999999963"/>
        <n v="906.62318999999991"/>
        <n v="904.49592000000018"/>
        <n v="901.94680000000005"/>
        <n v="901.68936000000019"/>
        <n v="899.55079999999998"/>
        <n v="899.22129999999993"/>
        <n v="898.07240000000013"/>
        <n v="891.80831999999998"/>
        <n v="890.61153999999999"/>
        <n v="890.43804"/>
        <n v="887.49970000000019"/>
        <n v="882.32864999999981"/>
        <n v="878.31294000000014"/>
        <n v="876.93152000000021"/>
        <n v="873.73296000000016"/>
        <n v="872.78543999999999"/>
        <n v="868.47074999999995"/>
        <n v="868.46343499999989"/>
        <n v="867.14718999999991"/>
        <n v="866.43391999999994"/>
        <n v="865.3184"/>
        <n v="862.57692499999985"/>
        <n v="861.10762500000021"/>
        <n v="861.09944000000007"/>
        <n v="856.75612000000012"/>
        <n v="854.5277000000001"/>
        <n v="853.38009000000022"/>
        <n v="853.16000000000008"/>
        <n v="847.79968000000008"/>
        <n v="844.56059999999991"/>
        <n v="843.75433999999996"/>
        <n v="839.74709000000007"/>
        <n v="837.81769999999995"/>
        <n v="835.35239999999999"/>
        <n v="833.74080000000004"/>
        <n v="832.468975"/>
        <n v="832.33136000000013"/>
        <n v="829.79150000000004"/>
        <n v="828.11159999999995"/>
        <n v="826.5963999999999"/>
        <n v="825.84320000000014"/>
        <n v="825.75974000000008"/>
        <n v="825.44322"/>
        <n v="825.3000000000003"/>
        <n v="824.70850000000019"/>
        <n v="821.37121500000012"/>
        <n v="818.65710000000001"/>
        <n v="815.96536000000003"/>
        <n v="815.0657600000003"/>
        <n v="813.88919999999985"/>
        <n v="813.0721199999997"/>
        <n v="811.11800000000017"/>
        <n v="810.58112000000017"/>
        <n v="807.50352000000021"/>
        <n v="806.57280000000003"/>
        <n v="803.279945"/>
        <n v="801.03296000000068"/>
        <n v="797.91600000000005"/>
        <n v="795.88093000000003"/>
        <n v="795.74256000000025"/>
        <n v="794.12779999999998"/>
        <n v="793.74060499999985"/>
        <n v="791.85792000000015"/>
        <n v="791.33670000000006"/>
        <n v="790.81036999999992"/>
        <n v="787.31999999999994"/>
        <n v="786.28194000000019"/>
        <n v="784.69776000000002"/>
        <n v="783.86398999999994"/>
        <n v="782.91840000000002"/>
        <n v="782.53890000000013"/>
        <n v="777.90200000000016"/>
        <n v="777.55859999999996"/>
        <n v="775.82399999999996"/>
        <n v="775.2729599999999"/>
        <n v="772.58240000000001"/>
        <n v="772.10100000000011"/>
        <n v="766.65497999999991"/>
        <n v="765.09072000000003"/>
        <n v="763.71945000000005"/>
        <n v="762.41751999999997"/>
        <n v="760.58513999999991"/>
        <n v="760.33800000000008"/>
        <n v="757.11124999999993"/>
        <n v="756.71792000000005"/>
        <n v="754.44823999999983"/>
        <n v="751.36599999999999"/>
        <n v="748.81507999999997"/>
        <n v="745.91790000000003"/>
        <n v="741.60900000000004"/>
        <n v="741.50732500000004"/>
        <n v="739.56400000000008"/>
        <n v="739.11281499999996"/>
        <n v="732.59045999999989"/>
        <n v="731.01135000000011"/>
        <n v="728.45136000000002"/>
        <n v="728.40703999999994"/>
        <n v="726.73260000000005"/>
        <n v="725.29660000000001"/>
        <n v="722.18534999999997"/>
        <n v="713.36222000000009"/>
        <n v="711.00819999999976"/>
        <n v="709.95424500000013"/>
        <n v="709.0204550000002"/>
        <n v="706.54631999999992"/>
        <n v="705.4864"/>
        <n v="704.49824999999987"/>
        <n v="702.44927999999993"/>
        <n v="698.92900000000009"/>
        <n v="698.12160000000006"/>
        <n v="698.07244499999979"/>
        <n v="695.61750000000018"/>
        <n v="691.71059999999989"/>
        <n v="688.29399999999998"/>
        <n v="684.14625000000012"/>
        <n v="683.66349999999989"/>
        <n v="671.73912000000007"/>
        <n v="655.36752000000013"/>
        <n v="654.90479999999991"/>
        <n v="654.88175999999987"/>
        <n v="652.59389999999996"/>
        <n v="651.58092000000022"/>
        <n v="646.10200000000009"/>
        <n v="645.13550000000009"/>
        <n v="635.81759999999997"/>
        <n v="633.92328999999995"/>
        <n v="633.14210000000003"/>
        <n v="631.37535999999989"/>
        <n v="631.02600000000007"/>
        <n v="624.51675000000012"/>
        <n v="624.28336000000002"/>
        <n v="620.93272499999989"/>
        <n v="620.86700000000008"/>
        <n v="618.14399999999989"/>
        <n v="617.62379999999985"/>
        <n v="616.86344999999994"/>
        <n v="615.96695999999986"/>
        <n v="615.16421999999989"/>
        <n v="615.10708000000011"/>
        <n v="614.21975999999995"/>
        <n v="613.02492000000007"/>
        <n v="612.90216000000009"/>
        <n v="608.55235000000016"/>
        <n v="607.21650000000011"/>
        <n v="605.59424000000013"/>
        <n v="602.66388000000006"/>
        <n v="602.01720000000012"/>
        <n v="601.18708000000004"/>
        <n v="601.18240000000003"/>
        <n v="598.99286999999981"/>
        <n v="598.80410000000006"/>
        <n v="597.89684999999997"/>
        <n v="597.27359999999999"/>
        <n v="593.04999999999995"/>
        <n v="590.97304500000018"/>
        <n v="590.28139999999985"/>
        <n v="589.63700000000006"/>
        <n v="587.76697000000001"/>
        <n v="584.06015999999988"/>
        <n v="577.14474999999982"/>
        <n v="576.11775000000011"/>
        <n v="570.36464000000012"/>
        <n v="569.8180799999999"/>
        <n v="568.90729999999996"/>
        <n v="565.22856000000013"/>
        <n v="558.44749999999999"/>
        <n v="552.94960000000003"/>
        <n v="552.00608"/>
        <n v="550.06132999999988"/>
        <n v="550.01052000000016"/>
        <n v="548.19999999999993"/>
        <n v="542.68230000000005"/>
        <n v="541.80594999999994"/>
        <n v="541.74420000000009"/>
        <n v="537.84675000000016"/>
        <n v="535.85699999999997"/>
        <n v="533.80208000000005"/>
        <n v="531.4286249999999"/>
        <n v="528.92930999999999"/>
        <n v="528.12760000000003"/>
        <n v="528.05647999999997"/>
        <n v="526.17823999999996"/>
        <n v="525.90200000000004"/>
        <n v="524.69735000000003"/>
        <n v="520.36095999999998"/>
        <n v="517.49693999999988"/>
        <n v="508.86989999999992"/>
        <n v="508.06812000000014"/>
        <n v="506.00116000000003"/>
        <n v="501.3210600000001"/>
        <n v="501.29759999999999"/>
        <n v="498.38650000000007"/>
        <n v="498.32120000000003"/>
        <n v="496.70897500000001"/>
        <n v="493.86990000000014"/>
        <n v="493.57980000000015"/>
        <n v="490.82673500000004"/>
        <n v="488.35071999999997"/>
        <n v="485.12000000000012"/>
        <n v="483.91460000000001"/>
        <n v="482.03820000000007"/>
        <n v="479.68030000000005"/>
        <n v="479.32873999999998"/>
        <n v="478.76619999999991"/>
        <n v="476.02394000000032"/>
        <n v="475.35020000000003"/>
        <n v="475.02472"/>
        <n v="471.00287500000007"/>
        <n v="470.07713999999999"/>
        <n v="468.77809999999999"/>
        <n v="468.11145499999992"/>
        <n v="465.56790000000001"/>
        <n v="465.00916000000007"/>
        <n v="462.63231000000002"/>
        <n v="459.92383999999993"/>
        <n v="459.19117999999997"/>
        <n v="456.07180499999993"/>
        <n v="453.13946999999996"/>
        <n v="451.60180000000008"/>
        <n v="448.7270400000001"/>
        <n v="446.61120000000005"/>
        <n v="441.65660000000014"/>
        <n v="439.52168"/>
        <n v="439.43592000000001"/>
        <n v="435.16384000000011"/>
        <n v="432.06516000000011"/>
        <n v="431.29183999999992"/>
        <n v="428.25087999999994"/>
        <n v="415.58138000000008"/>
        <n v="415.46007000000009"/>
        <n v="414.99810000000002"/>
        <n v="412.70559999999995"/>
        <n v="411.99261999999999"/>
        <n v="411.69800000000004"/>
        <n v="410.36579999999992"/>
        <n v="407.57184000000001"/>
        <n v="405.38608000000005"/>
        <n v="403.08834999999988"/>
        <n v="401.78189999999995"/>
        <n v="396.75327999999996"/>
        <n v="395.37333499999994"/>
        <n v="392.60606000000007"/>
        <n v="391.18618000000004"/>
        <n v="387.3980249999999"/>
        <n v="385.84320000000002"/>
        <n v="384.0566399999999"/>
        <n v="382.00547000000006"/>
        <n v="380.07216000000005"/>
        <n v="379.5257600000001"/>
        <n v="377.23504000000003"/>
        <n v="372.46356000000003"/>
        <n v="368.54762000000005"/>
        <n v="368.39304000000004"/>
        <n v="364.90584000000001"/>
        <n v="362.61918000000003"/>
        <n v="362.44152000000003"/>
        <n v="358.22710000000001"/>
        <n v="355.38204000000007"/>
        <n v="351.98799999999994"/>
        <n v="351.20000000000016"/>
        <n v="351.08640000000008"/>
        <n v="351.04334999999998"/>
        <n v="349.81855999999993"/>
        <n v="346.52903999999995"/>
        <n v="344.44766999999996"/>
        <n v="333.43946999999991"/>
        <n v="332.98206000000005"/>
        <n v="331.23448000000008"/>
        <n v="324.20238000000001"/>
        <n v="315.27145000000002"/>
        <n v="312.98295000000002"/>
        <n v="311.08787999999998"/>
        <n v="299.71964000000003"/>
        <n v="299.05099999999999"/>
        <n v="297.47199999999998"/>
        <n v="296.18224999999995"/>
        <n v="289.80073499999997"/>
        <n v="281.66180000000003"/>
        <n v="280.58562000000001"/>
        <n v="279.48882000000003"/>
        <n v="276.58400000000006"/>
        <n v="274.05339999999995"/>
        <n v="269.62020000000007"/>
        <n v="268.04390000000001"/>
        <n v="267.17680000000001"/>
        <n v="266.26112000000001"/>
        <n v="263.95512000000002"/>
        <n v="263.56545"/>
        <n v="262.86080000000004"/>
        <n v="262.49304000000006"/>
        <n v="252.69208000000015"/>
        <n v="249.59867999999997"/>
        <n v="248.09363999999997"/>
        <n v="246.16591999999991"/>
        <n v="245.94914000000003"/>
        <n v="244.8544"/>
        <n v="243.31999999999996"/>
        <n v="241.88839999999999"/>
        <n v="237.46740000000003"/>
        <n v="236.19543499999997"/>
        <n v="234.64340000000007"/>
        <n v="227.74791999999999"/>
        <n v="225.43439999999998"/>
        <n v="214.26552000000004"/>
        <n v="213.36316000000014"/>
        <n v="204.24096"/>
        <n v="203.98895999999999"/>
        <n v="199.90151999999995"/>
        <n v="194.01726000000008"/>
        <n v="192.14268000000001"/>
        <n v="190.1286399999999"/>
        <n v="177.34170000000006"/>
        <n v="175.19420000000005"/>
        <n v="173.08368000000004"/>
        <n v="170.53984499999996"/>
        <n v="155.79031999999998"/>
        <n v="136.26694000000003"/>
        <n v="132.18479999999997"/>
        <n v="131.42126000000007"/>
        <n v="126.61800000000001"/>
        <n v="126.20940000000006"/>
        <n v="123.98400000000001"/>
        <n v="113.78292"/>
        <n v="112.26757499999999"/>
        <n v="68.905600000000092"/>
        <n v="61.952440000000003"/>
        <n v="60.12448000000002"/>
        <n v="47.359319999999997"/>
        <n v="35.676539999999989"/>
        <n v="0"/>
      </sharedItems>
    </cacheField>
    <cacheField name="Opportunity_Rank" numFmtId="2">
      <sharedItems containsSemiMixedTypes="0" containsString="0" containsNumber="1" containsInteger="1" minValue="1" maxValue="1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SUP115"/>
    <x v="0"/>
    <s v="APAC"/>
    <x v="0"/>
    <s v="Small"/>
    <n v="1484226"/>
    <s v="INV01062"/>
    <n v="105268"/>
    <d v="2025-06-14T00:00:00"/>
    <n v="60"/>
    <n v="4"/>
    <n v="0.17929999999999999"/>
    <n v="6.2899999999999998E-2"/>
    <n v="6"/>
    <s v="Yes"/>
    <s v="Yes"/>
    <n v="0.9"/>
    <n v="3102.666147945205"/>
    <n v="108.84422794520546"/>
    <n v="2993.8219199999994"/>
    <n v="54"/>
    <x v="0"/>
    <n v="1"/>
  </r>
  <r>
    <s v="SUP098"/>
    <x v="1"/>
    <s v="Europe"/>
    <x v="1"/>
    <s v="Small"/>
    <n v="764840"/>
    <s v="INV00200"/>
    <n v="109891"/>
    <d v="2025-10-29T00:00:00"/>
    <n v="60"/>
    <n v="7"/>
    <n v="0.16819999999999999"/>
    <n v="5.8799999999999998E-2"/>
    <n v="6"/>
    <s v="No"/>
    <s v="Yes"/>
    <n v="0.9"/>
    <n v="3038.4108821917807"/>
    <n v="106.21793095890409"/>
    <n v="2932.1929512328766"/>
    <n v="54"/>
    <x v="1"/>
    <n v="2"/>
  </r>
  <r>
    <s v="SUP098"/>
    <x v="1"/>
    <s v="Europe"/>
    <x v="1"/>
    <s v="Small"/>
    <n v="764840"/>
    <s v="INV00061"/>
    <n v="98760"/>
    <d v="2026-01-30T00:00:00"/>
    <n v="60"/>
    <n v="7"/>
    <n v="0.16819999999999999"/>
    <n v="4.7600000000000003E-2"/>
    <n v="8"/>
    <s v="Yes"/>
    <s v="Yes"/>
    <n v="0.9"/>
    <n v="2730.6463561643827"/>
    <n v="103.03509041095892"/>
    <n v="2627.6112657534236"/>
    <n v="52"/>
    <x v="2"/>
    <n v="3"/>
  </r>
  <r>
    <s v="SUP137"/>
    <x v="2"/>
    <s v="Canada"/>
    <x v="2"/>
    <s v="Small"/>
    <n v="876116"/>
    <s v="INV00007"/>
    <n v="109973"/>
    <d v="2025-05-20T00:00:00"/>
    <n v="60"/>
    <n v="3"/>
    <n v="0.1686"/>
    <n v="4.7600000000000003E-2"/>
    <n v="10"/>
    <s v="No"/>
    <s v="Yes"/>
    <n v="0.8"/>
    <n v="3047.9092273972606"/>
    <n v="143.41684383561645"/>
    <n v="2904.4923835616441"/>
    <n v="50"/>
    <x v="3"/>
    <n v="4"/>
  </r>
  <r>
    <s v="SUP035"/>
    <x v="3"/>
    <s v="Canada"/>
    <x v="2"/>
    <s v="Small"/>
    <n v="1383695"/>
    <s v="INV00081"/>
    <n v="109426"/>
    <d v="2025-05-17T00:00:00"/>
    <n v="60"/>
    <n v="5"/>
    <n v="0.16850000000000001"/>
    <n v="5.1799999999999999E-2"/>
    <n v="6"/>
    <s v="No"/>
    <s v="Yes"/>
    <n v="0.8"/>
    <n v="3030.9503013698632"/>
    <n v="93.17698849315066"/>
    <n v="2937.7733128767127"/>
    <n v="54"/>
    <x v="4"/>
    <n v="5"/>
  </r>
  <r>
    <s v="SUP006"/>
    <x v="4"/>
    <s v="Europe"/>
    <x v="3"/>
    <s v="Small"/>
    <n v="971327"/>
    <s v="INV01016"/>
    <n v="99659"/>
    <d v="2026-01-17T00:00:00"/>
    <n v="90"/>
    <n v="3"/>
    <n v="0.15229999999999999"/>
    <n v="4.5499999999999999E-2"/>
    <n v="10"/>
    <s v="No"/>
    <s v="Yes"/>
    <n v="0.9"/>
    <n v="3742.5367479452052"/>
    <n v="124.23245205479451"/>
    <n v="3618.3042958904107"/>
    <n v="80"/>
    <x v="5"/>
    <n v="6"/>
  </r>
  <r>
    <s v="SUP106"/>
    <x v="5"/>
    <s v="Canada"/>
    <x v="1"/>
    <s v="Small"/>
    <n v="1373788"/>
    <s v="INV00025"/>
    <n v="94978"/>
    <d v="2025-08-09T00:00:00"/>
    <n v="60"/>
    <n v="10"/>
    <n v="0.17660000000000001"/>
    <n v="5.1499999999999997E-2"/>
    <n v="10"/>
    <s v="No"/>
    <s v="Yes"/>
    <n v="0.8"/>
    <n v="2757.2243506849313"/>
    <n v="134.01005479452053"/>
    <n v="2623.214295890411"/>
    <n v="50"/>
    <x v="6"/>
    <n v="7"/>
  </r>
  <r>
    <s v="SUP048"/>
    <x v="6"/>
    <s v="US"/>
    <x v="0"/>
    <s v="Small"/>
    <n v="467236"/>
    <s v="INV00813"/>
    <n v="90097"/>
    <d v="2025-12-14T00:00:00"/>
    <n v="60"/>
    <n v="4"/>
    <n v="0.1757"/>
    <n v="4.5699999999999998E-2"/>
    <n v="8"/>
    <s v="No"/>
    <s v="Yes"/>
    <n v="0.8"/>
    <n v="2602.1988328767125"/>
    <n v="90.245104657534242"/>
    <n v="2511.9537282191782"/>
    <n v="52"/>
    <x v="7"/>
    <n v="8"/>
  </r>
  <r>
    <s v="SUP013"/>
    <x v="7"/>
    <s v="Europe"/>
    <x v="2"/>
    <s v="Small"/>
    <n v="1439462"/>
    <s v="INV01368"/>
    <n v="95270"/>
    <d v="2025-12-23T00:00:00"/>
    <n v="60"/>
    <n v="2"/>
    <n v="0.17130000000000001"/>
    <n v="5.1200000000000002E-2"/>
    <n v="10"/>
    <s v="No"/>
    <s v="Yes"/>
    <n v="0.8"/>
    <n v="2682.6987945205478"/>
    <n v="133.63901369863015"/>
    <n v="2549.0597808219177"/>
    <n v="50"/>
    <x v="8"/>
    <n v="9"/>
  </r>
  <r>
    <s v="SUP057"/>
    <x v="8"/>
    <s v="Mexico"/>
    <x v="1"/>
    <s v="Small"/>
    <n v="946643"/>
    <s v="INV00854"/>
    <n v="99876"/>
    <d v="2025-11-19T00:00:00"/>
    <n v="90"/>
    <n v="10"/>
    <n v="0.1648"/>
    <n v="5.0500000000000003E-2"/>
    <n v="5"/>
    <s v="No"/>
    <s v="Yes"/>
    <n v="0.8"/>
    <n v="4058.5228273972602"/>
    <n v="69.092301369863009"/>
    <n v="3989.4305260273973"/>
    <n v="85"/>
    <x v="9"/>
    <n v="10"/>
  </r>
  <r>
    <s v="SUP057"/>
    <x v="8"/>
    <s v="Mexico"/>
    <x v="1"/>
    <s v="Small"/>
    <n v="946643"/>
    <s v="INV00588"/>
    <n v="99932"/>
    <d v="2025-08-28T00:00:00"/>
    <n v="60"/>
    <n v="2"/>
    <n v="0.1648"/>
    <n v="6.4500000000000002E-2"/>
    <n v="8"/>
    <s v="No"/>
    <s v="Yes"/>
    <n v="0.9"/>
    <n v="2707.1989479452054"/>
    <n v="141.27373150684932"/>
    <n v="2565.9252164383561"/>
    <n v="52"/>
    <x v="10"/>
    <n v="11"/>
  </r>
  <r>
    <s v="SUP073"/>
    <x v="9"/>
    <s v="Europe"/>
    <x v="1"/>
    <s v="Small"/>
    <n v="261628"/>
    <s v="INV00920"/>
    <n v="105871"/>
    <d v="2025-07-27T00:00:00"/>
    <n v="60"/>
    <n v="4"/>
    <n v="0.17249999999999999"/>
    <n v="4.5199999999999997E-2"/>
    <n v="7"/>
    <s v="No"/>
    <s v="Yes"/>
    <n v="0.65"/>
    <n v="3002.0954794520544"/>
    <n v="91.774203835616447"/>
    <n v="2910.321275616438"/>
    <n v="53"/>
    <x v="11"/>
    <n v="12"/>
  </r>
  <r>
    <s v="SUP010"/>
    <x v="10"/>
    <s v="APAC"/>
    <x v="1"/>
    <s v="Small"/>
    <n v="809893"/>
    <s v="INV00811"/>
    <n v="104090"/>
    <d v="2025-07-20T00:00:00"/>
    <n v="60"/>
    <n v="5"/>
    <n v="0.15909999999999999"/>
    <n v="5.4399999999999997E-2"/>
    <n v="8"/>
    <s v="No"/>
    <s v="Yes"/>
    <n v="0.8"/>
    <n v="2722.309972602739"/>
    <n v="124.10950136986301"/>
    <n v="2598.2004712328758"/>
    <n v="52"/>
    <x v="12"/>
    <n v="13"/>
  </r>
  <r>
    <s v="SUP073"/>
    <x v="9"/>
    <s v="Europe"/>
    <x v="1"/>
    <s v="Small"/>
    <n v="261628"/>
    <s v="INV00566"/>
    <n v="87385"/>
    <d v="2025-09-12T00:00:00"/>
    <n v="90"/>
    <n v="4"/>
    <n v="0.17249999999999999"/>
    <n v="6.3500000000000001E-2"/>
    <n v="10"/>
    <s v="No"/>
    <s v="Yes"/>
    <n v="0.9"/>
    <n v="3716.8551369863007"/>
    <n v="152.02595890410959"/>
    <n v="3564.829178082191"/>
    <n v="80"/>
    <x v="13"/>
    <n v="14"/>
  </r>
  <r>
    <s v="SUP098"/>
    <x v="1"/>
    <s v="Europe"/>
    <x v="1"/>
    <s v="Small"/>
    <n v="764840"/>
    <s v="INV00346"/>
    <n v="75001"/>
    <d v="2025-09-10T00:00:00"/>
    <n v="60"/>
    <n v="2"/>
    <n v="0.16819999999999999"/>
    <n v="4.53E-2"/>
    <n v="5"/>
    <s v="No"/>
    <s v="Yes"/>
    <n v="0.9"/>
    <n v="2073.7262794520543"/>
    <n v="46.541716438356168"/>
    <n v="2027.1845630136982"/>
    <n v="55"/>
    <x v="14"/>
    <n v="15"/>
  </r>
  <r>
    <s v="SUP106"/>
    <x v="5"/>
    <s v="Canada"/>
    <x v="1"/>
    <s v="Small"/>
    <n v="1373788"/>
    <s v="INV00819"/>
    <n v="99432"/>
    <d v="2025-06-05T00:00:00"/>
    <n v="60"/>
    <n v="3"/>
    <n v="0.17660000000000001"/>
    <n v="4.9000000000000002E-2"/>
    <n v="10"/>
    <s v="No"/>
    <s v="Yes"/>
    <n v="0.65"/>
    <n v="2886.5245808219179"/>
    <n v="133.48405479452055"/>
    <n v="2753.0405260273974"/>
    <n v="50"/>
    <x v="15"/>
    <n v="16"/>
  </r>
  <r>
    <s v="SUP006"/>
    <x v="4"/>
    <s v="Europe"/>
    <x v="3"/>
    <s v="Small"/>
    <n v="971327"/>
    <s v="INV00818"/>
    <n v="100225"/>
    <d v="2025-02-14T00:00:00"/>
    <n v="60"/>
    <n v="4"/>
    <n v="0.15229999999999999"/>
    <n v="6.0900000000000003E-2"/>
    <n v="6"/>
    <s v="No"/>
    <s v="Yes"/>
    <n v="0.9"/>
    <n v="2509.1946575342463"/>
    <n v="100.33483561643835"/>
    <n v="2408.8598219178079"/>
    <n v="54"/>
    <x v="16"/>
    <n v="17"/>
  </r>
  <r>
    <s v="SUP044"/>
    <x v="9"/>
    <s v="US"/>
    <x v="2"/>
    <s v="Small"/>
    <n v="879139"/>
    <s v="INV00098"/>
    <n v="95238"/>
    <d v="2025-03-28T00:00:00"/>
    <n v="90"/>
    <n v="4"/>
    <n v="0.14199999999999999"/>
    <n v="4.7500000000000001E-2"/>
    <n v="7"/>
    <s v="No"/>
    <s v="Yes"/>
    <n v="0.9"/>
    <n v="3334.6346301369858"/>
    <n v="86.757904109589049"/>
    <n v="3247.8767260273967"/>
    <n v="83"/>
    <x v="17"/>
    <n v="18"/>
  </r>
  <r>
    <s v="SUP075"/>
    <x v="11"/>
    <s v="Europe"/>
    <x v="3"/>
    <s v="Small"/>
    <n v="1224427"/>
    <s v="INV00119"/>
    <n v="92147"/>
    <d v="2025-09-02T00:00:00"/>
    <n v="90"/>
    <n v="10"/>
    <n v="0.15670000000000001"/>
    <n v="5.9499999999999997E-2"/>
    <n v="6"/>
    <s v="No"/>
    <s v="Yes"/>
    <n v="0.9"/>
    <n v="3560.408605479452"/>
    <n v="90.127339726027387"/>
    <n v="3470.2812657534246"/>
    <n v="84"/>
    <x v="18"/>
    <n v="19"/>
  </r>
  <r>
    <s v="SUP127"/>
    <x v="12"/>
    <s v="Europe"/>
    <x v="0"/>
    <s v="Small"/>
    <n v="1089809"/>
    <s v="INV00564"/>
    <n v="81081"/>
    <d v="2025-09-28T00:00:00"/>
    <n v="60"/>
    <n v="3"/>
    <n v="0.16689999999999999"/>
    <n v="5.8900000000000001E-2"/>
    <n v="10"/>
    <s v="Yes"/>
    <s v="Yes"/>
    <n v="0.9"/>
    <n v="2224.507216438356"/>
    <n v="130.84029863013697"/>
    <n v="2093.6669178082188"/>
    <n v="50"/>
    <x v="19"/>
    <n v="20"/>
  </r>
  <r>
    <s v="SUP054"/>
    <x v="4"/>
    <s v="Mexico"/>
    <x v="1"/>
    <s v="Small"/>
    <n v="896464"/>
    <s v="INV00702"/>
    <n v="109722"/>
    <d v="2026-02-23T00:00:00"/>
    <n v="60"/>
    <n v="5"/>
    <n v="0.13550000000000001"/>
    <n v="5.6300000000000003E-2"/>
    <n v="7"/>
    <s v="No"/>
    <s v="Yes"/>
    <n v="0.9"/>
    <n v="2443.944821917808"/>
    <n v="118.46969917808221"/>
    <n v="2325.475122739726"/>
    <n v="53"/>
    <x v="20"/>
    <n v="21"/>
  </r>
  <r>
    <s v="SUP005"/>
    <x v="13"/>
    <s v="US"/>
    <x v="2"/>
    <s v="Small"/>
    <n v="701545"/>
    <s v="INV00940"/>
    <n v="71105"/>
    <d v="2026-01-19T00:00:00"/>
    <n v="45"/>
    <n v="3"/>
    <n v="0.17699999999999999"/>
    <n v="5.5100000000000003E-2"/>
    <n v="8"/>
    <s v="Yes"/>
    <s v="Yes"/>
    <n v="0.9"/>
    <n v="1551.6474657534245"/>
    <n v="85.871463013698644"/>
    <n v="1465.7760027397258"/>
    <n v="37"/>
    <x v="21"/>
    <n v="22"/>
  </r>
  <r>
    <s v="SUP061"/>
    <x v="14"/>
    <s v="Mexico"/>
    <x v="1"/>
    <s v="Small"/>
    <n v="1374525"/>
    <s v="INV01119"/>
    <n v="101320"/>
    <d v="2025-09-25T00:00:00"/>
    <n v="60"/>
    <n v="10"/>
    <n v="0.13320000000000001"/>
    <n v="4.82E-2"/>
    <n v="10"/>
    <s v="No"/>
    <s v="Yes"/>
    <n v="0.9"/>
    <n v="2218.4916164383562"/>
    <n v="133.79791780821915"/>
    <n v="2084.6936986301371"/>
    <n v="50"/>
    <x v="22"/>
    <n v="23"/>
  </r>
  <r>
    <s v="SUP013"/>
    <x v="7"/>
    <s v="Europe"/>
    <x v="2"/>
    <s v="Small"/>
    <n v="1439462"/>
    <s v="INV00910"/>
    <n v="78619"/>
    <d v="2025-02-03T00:00:00"/>
    <n v="90"/>
    <n v="5"/>
    <n v="0.17130000000000001"/>
    <n v="4.9200000000000001E-2"/>
    <n v="5"/>
    <s v="No"/>
    <s v="Yes"/>
    <n v="0.8"/>
    <n v="3320.7373232876712"/>
    <n v="52.987052054794518"/>
    <n v="3267.7502712328765"/>
    <n v="85"/>
    <x v="23"/>
    <n v="24"/>
  </r>
  <r>
    <s v="SUP024"/>
    <x v="15"/>
    <s v="US"/>
    <x v="3"/>
    <s v="Small"/>
    <n v="1439833"/>
    <s v="INV01490"/>
    <n v="66378"/>
    <d v="2025-04-03T00:00:00"/>
    <n v="60"/>
    <n v="5"/>
    <n v="0.17630000000000001"/>
    <n v="4.8399999999999999E-2"/>
    <n v="10"/>
    <s v="No"/>
    <s v="Yes"/>
    <n v="0.9"/>
    <n v="1923.6889972602742"/>
    <n v="88.019046575342458"/>
    <n v="1835.6699506849318"/>
    <n v="50"/>
    <x v="24"/>
    <n v="25"/>
  </r>
  <r>
    <s v="SUP054"/>
    <x v="4"/>
    <s v="Mexico"/>
    <x v="1"/>
    <s v="Small"/>
    <n v="896464"/>
    <s v="INV00951"/>
    <n v="97720"/>
    <d v="2025-11-16T00:00:00"/>
    <n v="60"/>
    <n v="5"/>
    <n v="0.13550000000000001"/>
    <n v="4.9299999999999997E-2"/>
    <n v="6"/>
    <s v="Yes"/>
    <s v="Yes"/>
    <n v="0.9"/>
    <n v="2176.6126027397263"/>
    <n v="79.193358904109573"/>
    <n v="2097.4192438356167"/>
    <n v="54"/>
    <x v="25"/>
    <n v="26"/>
  </r>
  <r>
    <s v="SUP074"/>
    <x v="16"/>
    <s v="US"/>
    <x v="2"/>
    <s v="Small"/>
    <n v="1336236"/>
    <s v="INV00792"/>
    <n v="98246"/>
    <d v="2026-02-13T00:00:00"/>
    <n v="30"/>
    <n v="2"/>
    <n v="0.14249999999999999"/>
    <n v="5.8099999999999999E-2"/>
    <n v="8"/>
    <s v="No"/>
    <s v="Yes"/>
    <n v="0.9"/>
    <n v="1150.6894520547944"/>
    <n v="125.10887890410959"/>
    <n v="1025.5805731506848"/>
    <n v="22"/>
    <x v="26"/>
    <n v="27"/>
  </r>
  <r>
    <s v="SUP043"/>
    <x v="17"/>
    <s v="Canada"/>
    <x v="4"/>
    <s v="Medium"/>
    <n v="4153903"/>
    <s v="INV00230"/>
    <n v="97798"/>
    <d v="2025-12-25T00:00:00"/>
    <n v="60"/>
    <n v="2"/>
    <n v="0.13669999999999999"/>
    <n v="5.2400000000000002E-2"/>
    <n v="6"/>
    <s v="Yes"/>
    <s v="Yes"/>
    <n v="0.9"/>
    <n v="2197.6416328767118"/>
    <n v="84.240249863013688"/>
    <n v="2113.4013830136983"/>
    <n v="54"/>
    <x v="27"/>
    <n v="28"/>
  </r>
  <r>
    <s v="SUP039"/>
    <x v="12"/>
    <s v="Mexico"/>
    <x v="0"/>
    <s v="Small"/>
    <n v="372648"/>
    <s v="INV00166"/>
    <n v="86683"/>
    <d v="2025-11-25T00:00:00"/>
    <n v="60"/>
    <n v="5"/>
    <n v="0.15049999999999999"/>
    <n v="5.6000000000000001E-2"/>
    <n v="7"/>
    <s v="No"/>
    <s v="Yes"/>
    <n v="0.9"/>
    <n v="2144.5136712328763"/>
    <n v="93.095167123287681"/>
    <n v="2051.4185041095884"/>
    <n v="53"/>
    <x v="28"/>
    <n v="29"/>
  </r>
  <r>
    <s v="SUP084"/>
    <x v="18"/>
    <s v="APAC"/>
    <x v="3"/>
    <s v="Small"/>
    <n v="1097913"/>
    <s v="INV00799"/>
    <n v="79284"/>
    <d v="2025-09-26T00:00:00"/>
    <n v="60"/>
    <n v="5"/>
    <n v="0.16070000000000001"/>
    <n v="5.8500000000000003E-2"/>
    <n v="6"/>
    <s v="No"/>
    <s v="Yes"/>
    <n v="0.9"/>
    <n v="2094.4008986301369"/>
    <n v="76.242969863013698"/>
    <n v="2018.1579287671232"/>
    <n v="54"/>
    <x v="29"/>
    <n v="30"/>
  </r>
  <r>
    <s v="SUP057"/>
    <x v="8"/>
    <s v="Mexico"/>
    <x v="1"/>
    <s v="Small"/>
    <n v="946643"/>
    <s v="INV00422"/>
    <n v="85872"/>
    <d v="2025-08-30T00:00:00"/>
    <n v="60"/>
    <n v="10"/>
    <n v="0.1648"/>
    <n v="5.96E-2"/>
    <n v="7"/>
    <s v="No"/>
    <s v="Yes"/>
    <n v="0.8"/>
    <n v="2326.3077698630136"/>
    <n v="98.152872328767131"/>
    <n v="2228.1548975342466"/>
    <n v="53"/>
    <x v="30"/>
    <n v="31"/>
  </r>
  <r>
    <s v="SUP073"/>
    <x v="9"/>
    <s v="Europe"/>
    <x v="1"/>
    <s v="Small"/>
    <n v="261628"/>
    <s v="INV01450"/>
    <n v="96230"/>
    <d v="2025-11-04T00:00:00"/>
    <n v="45"/>
    <n v="10"/>
    <n v="0.17249999999999999"/>
    <n v="5.7299999999999997E-2"/>
    <n v="8"/>
    <s v="No"/>
    <s v="Yes"/>
    <n v="0.65"/>
    <n v="2046.5352739726025"/>
    <n v="120.85433424657533"/>
    <n v="1925.6809397260272"/>
    <n v="37"/>
    <x v="31"/>
    <n v="32"/>
  </r>
  <r>
    <s v="SUP006"/>
    <x v="4"/>
    <s v="Europe"/>
    <x v="3"/>
    <s v="Small"/>
    <n v="971327"/>
    <s v="INV01043"/>
    <n v="100410"/>
    <d v="2025-06-30T00:00:00"/>
    <n v="90"/>
    <n v="7"/>
    <n v="0.15229999999999999"/>
    <n v="6.3100000000000003E-2"/>
    <n v="6"/>
    <s v="Yes"/>
    <s v="Yes"/>
    <n v="0.8"/>
    <n v="3770.7393698630135"/>
    <n v="104.15130410958903"/>
    <n v="3666.5880657534244"/>
    <n v="84"/>
    <x v="32"/>
    <n v="33"/>
  </r>
  <r>
    <s v="SUP023"/>
    <x v="19"/>
    <s v="Canada"/>
    <x v="0"/>
    <s v="Medium"/>
    <n v="2438415"/>
    <s v="INV01003"/>
    <n v="104139"/>
    <d v="2025-09-02T00:00:00"/>
    <n v="30"/>
    <n v="4"/>
    <n v="0.13650000000000001"/>
    <n v="5.1200000000000002E-2"/>
    <n v="5"/>
    <s v="No"/>
    <s v="Yes"/>
    <n v="0.8"/>
    <n v="1168.35398630137"/>
    <n v="73.039956164383554"/>
    <n v="1095.3140301369865"/>
    <n v="25"/>
    <x v="33"/>
    <n v="34"/>
  </r>
  <r>
    <s v="SUP001"/>
    <x v="20"/>
    <s v="Canada"/>
    <x v="0"/>
    <s v="Medium"/>
    <n v="1709806"/>
    <s v="INV01327"/>
    <n v="108119"/>
    <d v="2025-07-23T00:00:00"/>
    <n v="45"/>
    <n v="2"/>
    <n v="0.12709999999999999"/>
    <n v="4.5699999999999998E-2"/>
    <n v="5"/>
    <s v="No"/>
    <s v="Yes"/>
    <n v="0.8"/>
    <n v="1694.2099191780819"/>
    <n v="67.685456164383567"/>
    <n v="1626.5244630136983"/>
    <n v="40"/>
    <x v="34"/>
    <n v="35"/>
  </r>
  <r>
    <s v="SUP036"/>
    <x v="21"/>
    <s v="Europe"/>
    <x v="0"/>
    <s v="Medium"/>
    <n v="3293043"/>
    <s v="INV00724"/>
    <n v="100092"/>
    <d v="2025-10-30T00:00:00"/>
    <n v="45"/>
    <n v="5"/>
    <n v="0.13320000000000001"/>
    <n v="5.5500000000000001E-2"/>
    <n v="5"/>
    <s v="Yes"/>
    <s v="Yes"/>
    <n v="0.9"/>
    <n v="1643.7025972602742"/>
    <n v="76.097342465753414"/>
    <n v="1567.6052547945208"/>
    <n v="40"/>
    <x v="35"/>
    <n v="36"/>
  </r>
  <r>
    <s v="SUP003"/>
    <x v="16"/>
    <s v="APAC"/>
    <x v="2"/>
    <s v="Small"/>
    <n v="1309806"/>
    <s v="INV00384"/>
    <n v="73122"/>
    <d v="2025-11-12T00:00:00"/>
    <n v="60"/>
    <n v="3"/>
    <n v="0.15210000000000001"/>
    <n v="4.58E-2"/>
    <n v="7"/>
    <s v="No"/>
    <s v="Yes"/>
    <n v="0.9"/>
    <n v="1828.2503342465752"/>
    <n v="64.227159452054792"/>
    <n v="1764.0231747945204"/>
    <n v="53"/>
    <x v="36"/>
    <n v="37"/>
  </r>
  <r>
    <s v="SUP067"/>
    <x v="22"/>
    <s v="Europe"/>
    <x v="3"/>
    <s v="Small"/>
    <n v="1045125"/>
    <s v="INV00118"/>
    <n v="103818"/>
    <d v="2025-09-14T00:00:00"/>
    <n v="45"/>
    <n v="2"/>
    <n v="0.15740000000000001"/>
    <n v="5.3800000000000001E-2"/>
    <n v="8"/>
    <s v="Yes"/>
    <s v="Yes"/>
    <n v="0.65"/>
    <n v="2014.6380657534248"/>
    <n v="122.4199101369863"/>
    <n v="1892.2181556164385"/>
    <n v="37"/>
    <x v="37"/>
    <n v="38"/>
  </r>
  <r>
    <s v="SUP010"/>
    <x v="10"/>
    <s v="APAC"/>
    <x v="1"/>
    <s v="Small"/>
    <n v="809893"/>
    <s v="INV01375"/>
    <n v="82510"/>
    <d v="2025-10-10T00:00:00"/>
    <n v="60"/>
    <n v="10"/>
    <n v="0.15909999999999999"/>
    <n v="5.3699999999999998E-2"/>
    <n v="7"/>
    <s v="Yes"/>
    <s v="Yes"/>
    <n v="0.8"/>
    <n v="2157.9190684931505"/>
    <n v="84.973997260273975"/>
    <n v="2072.9450712328767"/>
    <n v="53"/>
    <x v="38"/>
    <n v="39"/>
  </r>
  <r>
    <s v="SUP074"/>
    <x v="16"/>
    <s v="US"/>
    <x v="2"/>
    <s v="Small"/>
    <n v="1336236"/>
    <s v="INV01370"/>
    <n v="94132"/>
    <d v="2025-05-07T00:00:00"/>
    <n v="90"/>
    <n v="3"/>
    <n v="0.14249999999999999"/>
    <n v="6.08E-2"/>
    <n v="6"/>
    <s v="No"/>
    <s v="Yes"/>
    <n v="0.9"/>
    <n v="3307.5147945205476"/>
    <n v="94.080420821917798"/>
    <n v="3213.4343736986298"/>
    <n v="84"/>
    <x v="39"/>
    <n v="40"/>
  </r>
  <r>
    <s v="SUP023"/>
    <x v="19"/>
    <s v="Canada"/>
    <x v="0"/>
    <s v="Medium"/>
    <n v="2438415"/>
    <s v="INV00399"/>
    <n v="107594"/>
    <d v="2025-11-02T00:00:00"/>
    <n v="60"/>
    <n v="2"/>
    <n v="0.13650000000000001"/>
    <n v="5.6099999999999997E-2"/>
    <n v="10"/>
    <s v="Yes"/>
    <s v="Yes"/>
    <n v="0.8"/>
    <n v="2414.2324931506851"/>
    <n v="165.37050410958904"/>
    <n v="2248.861989041096"/>
    <n v="50"/>
    <x v="40"/>
    <n v="41"/>
  </r>
  <r>
    <s v="SUP111"/>
    <x v="23"/>
    <s v="US"/>
    <x v="0"/>
    <s v="Medium"/>
    <n v="3046555"/>
    <s v="INV00761"/>
    <n v="100027"/>
    <d v="2025-05-02T00:00:00"/>
    <n v="45"/>
    <n v="7"/>
    <n v="0.13830000000000001"/>
    <n v="5.2699999999999997E-2"/>
    <n v="7"/>
    <s v="No"/>
    <s v="Yes"/>
    <n v="0.8"/>
    <n v="1705.5288616438356"/>
    <n v="101.09578164383561"/>
    <n v="1604.43308"/>
    <n v="38"/>
    <x v="41"/>
    <n v="42"/>
  </r>
  <r>
    <s v="SUP137"/>
    <x v="2"/>
    <s v="Canada"/>
    <x v="2"/>
    <s v="Small"/>
    <n v="876116"/>
    <s v="INV00631"/>
    <n v="76450"/>
    <d v="2026-01-29T00:00:00"/>
    <n v="90"/>
    <n v="3"/>
    <n v="0.1686"/>
    <n v="5.7200000000000001E-2"/>
    <n v="6"/>
    <s v="No"/>
    <s v="Yes"/>
    <n v="0.8"/>
    <n v="3178.2254794520545"/>
    <n v="71.883945205479449"/>
    <n v="3106.3415342465751"/>
    <n v="84"/>
    <x v="42"/>
    <n v="43"/>
  </r>
  <r>
    <s v="SUP078"/>
    <x v="24"/>
    <s v="Mexico"/>
    <x v="4"/>
    <s v="Small"/>
    <n v="412494"/>
    <s v="INV00432"/>
    <n v="82268"/>
    <d v="2025-09-05T00:00:00"/>
    <n v="60"/>
    <n v="4"/>
    <n v="0.15989999999999999"/>
    <n v="5.7200000000000001E-2"/>
    <n v="8"/>
    <s v="No"/>
    <s v="Yes"/>
    <n v="0.8"/>
    <n v="2162.4087452054791"/>
    <n v="103.13927890410959"/>
    <n v="2059.2694663013694"/>
    <n v="52"/>
    <x v="43"/>
    <n v="44"/>
  </r>
  <r>
    <s v="SUP006"/>
    <x v="4"/>
    <s v="Europe"/>
    <x v="3"/>
    <s v="Small"/>
    <n v="971327"/>
    <s v="INV01141"/>
    <n v="70894"/>
    <d v="2025-10-07T00:00:00"/>
    <n v="60"/>
    <n v="7"/>
    <n v="0.15229999999999999"/>
    <n v="4.6899999999999997E-2"/>
    <n v="6"/>
    <s v="No"/>
    <s v="Yes"/>
    <n v="0.9"/>
    <n v="1774.8749917808218"/>
    <n v="54.656360547945198"/>
    <n v="1720.2186312328765"/>
    <n v="54"/>
    <x v="44"/>
    <n v="45"/>
  </r>
  <r>
    <s v="SUP127"/>
    <x v="12"/>
    <s v="Europe"/>
    <x v="0"/>
    <s v="Small"/>
    <n v="1089809"/>
    <s v="INV01159"/>
    <n v="61559"/>
    <d v="2025-10-24T00:00:00"/>
    <n v="60"/>
    <n v="10"/>
    <n v="0.16689999999999999"/>
    <n v="4.5999999999999999E-2"/>
    <n v="5"/>
    <s v="No"/>
    <s v="Yes"/>
    <n v="0.9"/>
    <n v="1688.9091123287669"/>
    <n v="38.790602739726026"/>
    <n v="1650.118509589041"/>
    <n v="55"/>
    <x v="45"/>
    <n v="46"/>
  </r>
  <r>
    <s v="SUP115"/>
    <x v="0"/>
    <s v="APAC"/>
    <x v="0"/>
    <s v="Small"/>
    <n v="1484226"/>
    <s v="INV01390"/>
    <n v="99802"/>
    <d v="2025-06-24T00:00:00"/>
    <n v="60"/>
    <n v="7"/>
    <n v="0.17929999999999999"/>
    <n v="4.5499999999999999E-2"/>
    <n v="10"/>
    <s v="Yes"/>
    <s v="Yes"/>
    <n v="0.5"/>
    <n v="2941.5614136986296"/>
    <n v="124.41071232876712"/>
    <n v="2817.1507013698624"/>
    <n v="50"/>
    <x v="46"/>
    <n v="47"/>
  </r>
  <r>
    <s v="SUP098"/>
    <x v="1"/>
    <s v="Europe"/>
    <x v="1"/>
    <s v="Small"/>
    <n v="764840"/>
    <s v="INV01338"/>
    <n v="76673"/>
    <d v="2025-07-28T00:00:00"/>
    <n v="45"/>
    <n v="4"/>
    <n v="0.16819999999999999"/>
    <n v="5.9799999999999999E-2"/>
    <n v="6"/>
    <s v="Yes"/>
    <s v="Yes"/>
    <n v="0.8"/>
    <n v="1589.9669506849314"/>
    <n v="75.370609315068492"/>
    <n v="1514.5963413698628"/>
    <n v="39"/>
    <x v="47"/>
    <n v="48"/>
  </r>
  <r>
    <s v="SUP010"/>
    <x v="10"/>
    <s v="APAC"/>
    <x v="1"/>
    <s v="Small"/>
    <n v="809893"/>
    <s v="INV00313"/>
    <n v="75499"/>
    <d v="2025-09-17T00:00:00"/>
    <n v="60"/>
    <n v="4"/>
    <n v="0.15909999999999999"/>
    <n v="6.1400000000000003E-2"/>
    <n v="10"/>
    <s v="No"/>
    <s v="Yes"/>
    <n v="0.9"/>
    <n v="1974.5574082191777"/>
    <n v="127.00379726027397"/>
    <n v="1847.5536109589036"/>
    <n v="50"/>
    <x v="48"/>
    <n v="49"/>
  </r>
  <r>
    <s v="SUP085"/>
    <x v="25"/>
    <s v="US"/>
    <x v="2"/>
    <s v="Small"/>
    <n v="1076320"/>
    <s v="INV00545"/>
    <n v="92879"/>
    <d v="2026-01-12T00:00:00"/>
    <n v="60"/>
    <n v="4"/>
    <n v="0.15140000000000001"/>
    <n v="6.2300000000000001E-2"/>
    <n v="6"/>
    <s v="No"/>
    <s v="Yes"/>
    <n v="0.8"/>
    <n v="2311.5420164383563"/>
    <n v="95.118274520547942"/>
    <n v="2216.4237419178085"/>
    <n v="54"/>
    <x v="49"/>
    <n v="50"/>
  </r>
  <r>
    <s v="SUP054"/>
    <x v="4"/>
    <s v="Mexico"/>
    <x v="1"/>
    <s v="Small"/>
    <n v="896464"/>
    <s v="INV00870"/>
    <n v="84938"/>
    <d v="2025-06-25T00:00:00"/>
    <n v="90"/>
    <n v="5"/>
    <n v="0.13550000000000001"/>
    <n v="4.9200000000000001E-2"/>
    <n v="10"/>
    <s v="No"/>
    <s v="Yes"/>
    <n v="0.9"/>
    <n v="2837.8600273972602"/>
    <n v="114.49176986301369"/>
    <n v="2723.3682575342464"/>
    <n v="80"/>
    <x v="50"/>
    <n v="51"/>
  </r>
  <r>
    <s v="SUP098"/>
    <x v="1"/>
    <s v="Europe"/>
    <x v="1"/>
    <s v="Small"/>
    <n v="764840"/>
    <s v="INV00224"/>
    <n v="66293"/>
    <d v="2025-07-08T00:00:00"/>
    <n v="60"/>
    <n v="2"/>
    <n v="0.16819999999999999"/>
    <n v="5.7700000000000001E-2"/>
    <n v="5"/>
    <s v="No"/>
    <s v="Yes"/>
    <n v="0.9"/>
    <n v="1832.9560438356161"/>
    <n v="52.398713698630132"/>
    <n v="1780.5573301369859"/>
    <n v="55"/>
    <x v="51"/>
    <n v="52"/>
  </r>
  <r>
    <s v="SUP043"/>
    <x v="17"/>
    <s v="Canada"/>
    <x v="4"/>
    <s v="Medium"/>
    <n v="4153903"/>
    <s v="INV00365"/>
    <n v="80417"/>
    <d v="2026-01-05T00:00:00"/>
    <n v="60"/>
    <n v="2"/>
    <n v="0.13669999999999999"/>
    <n v="4.5900000000000003E-2"/>
    <n v="6"/>
    <s v="No"/>
    <s v="Yes"/>
    <n v="0.9"/>
    <n v="1807.0691342465752"/>
    <n v="60.676278904109594"/>
    <n v="1746.3928553424657"/>
    <n v="54"/>
    <x v="52"/>
    <n v="53"/>
  </r>
  <r>
    <s v="SUP010"/>
    <x v="10"/>
    <s v="APAC"/>
    <x v="1"/>
    <s v="Small"/>
    <n v="809893"/>
    <s v="INV00083"/>
    <n v="98628"/>
    <d v="2025-01-22T00:00:00"/>
    <n v="45"/>
    <n v="5"/>
    <n v="0.15909999999999999"/>
    <n v="5.7099999999999998E-2"/>
    <n v="8"/>
    <s v="Yes"/>
    <s v="Yes"/>
    <n v="0.65"/>
    <n v="1934.5949753424657"/>
    <n v="123.43361753424658"/>
    <n v="1811.161357808219"/>
    <n v="37"/>
    <x v="53"/>
    <n v="54"/>
  </r>
  <r>
    <s v="SUP128"/>
    <x v="26"/>
    <s v="APAC"/>
    <x v="0"/>
    <s v="Small"/>
    <n v="927954"/>
    <s v="INV00955"/>
    <n v="99342"/>
    <d v="2025-04-30T00:00:00"/>
    <n v="60"/>
    <n v="4"/>
    <n v="0.1181"/>
    <n v="4.5400000000000003E-2"/>
    <n v="10"/>
    <s v="No"/>
    <s v="Yes"/>
    <n v="0.9"/>
    <n v="1928.5956493150684"/>
    <n v="123.56511780821917"/>
    <n v="1805.0305315068492"/>
    <n v="50"/>
    <x v="54"/>
    <n v="55"/>
  </r>
  <r>
    <s v="SUP077"/>
    <x v="27"/>
    <s v="Europe"/>
    <x v="1"/>
    <s v="Medium"/>
    <n v="3573998"/>
    <s v="INV00446"/>
    <n v="101337"/>
    <d v="2026-02-08T00:00:00"/>
    <n v="60"/>
    <n v="7"/>
    <n v="0.13200000000000001"/>
    <n v="6.2199999999999998E-2"/>
    <n v="8"/>
    <s v="Yes"/>
    <s v="Yes"/>
    <n v="0.9"/>
    <n v="2198.8740821917809"/>
    <n v="138.15148273972602"/>
    <n v="2060.722599452055"/>
    <n v="52"/>
    <x v="55"/>
    <n v="56"/>
  </r>
  <r>
    <s v="SUP137"/>
    <x v="2"/>
    <s v="Canada"/>
    <x v="2"/>
    <s v="Small"/>
    <n v="876116"/>
    <s v="INV01236"/>
    <n v="58890"/>
    <d v="2025-03-19T00:00:00"/>
    <n v="60"/>
    <n v="7"/>
    <n v="0.1686"/>
    <n v="4.9200000000000001E-2"/>
    <n v="10"/>
    <s v="No"/>
    <s v="Yes"/>
    <n v="0.9"/>
    <n v="1632.1403835616436"/>
    <n v="79.380493150684927"/>
    <n v="1552.7598904109586"/>
    <n v="50"/>
    <x v="56"/>
    <n v="57"/>
  </r>
  <r>
    <s v="SUP136"/>
    <x v="28"/>
    <s v="Mexico"/>
    <x v="0"/>
    <s v="Small"/>
    <n v="1120197"/>
    <s v="INV00535"/>
    <n v="93988"/>
    <d v="2025-06-18T00:00:00"/>
    <n v="60"/>
    <n v="5"/>
    <n v="0.1338"/>
    <n v="4.9799999999999997E-2"/>
    <n v="6"/>
    <s v="No"/>
    <s v="Yes"/>
    <n v="0.8"/>
    <n v="2067.2209972602736"/>
    <n v="76.941409315068483"/>
    <n v="1990.2795879452051"/>
    <n v="54"/>
    <x v="57"/>
    <n v="58"/>
  </r>
  <r>
    <s v="SUP052"/>
    <x v="12"/>
    <s v="US"/>
    <x v="0"/>
    <s v="Medium"/>
    <n v="6127831"/>
    <s v="INV01300"/>
    <n v="89274"/>
    <d v="2025-08-21T00:00:00"/>
    <n v="90"/>
    <n v="7"/>
    <n v="0.12529999999999999"/>
    <n v="4.6699999999999998E-2"/>
    <n v="5"/>
    <s v="No"/>
    <s v="Yes"/>
    <n v="0.9"/>
    <n v="2758.1997205479452"/>
    <n v="57.110901369863008"/>
    <n v="2701.0888191780823"/>
    <n v="85"/>
    <x v="58"/>
    <n v="59"/>
  </r>
  <r>
    <s v="SUP052"/>
    <x v="12"/>
    <s v="US"/>
    <x v="0"/>
    <s v="Medium"/>
    <n v="6127831"/>
    <s v="INV00650"/>
    <n v="97426"/>
    <d v="2025-05-19T00:00:00"/>
    <n v="60"/>
    <n v="4"/>
    <n v="0.12529999999999999"/>
    <n v="5.33E-2"/>
    <n v="8"/>
    <s v="No"/>
    <s v="Yes"/>
    <n v="0.9"/>
    <n v="2006.7086794520544"/>
    <n v="113.81492164383562"/>
    <n v="1892.8937578082189"/>
    <n v="52"/>
    <x v="59"/>
    <n v="60"/>
  </r>
  <r>
    <s v="SUP010"/>
    <x v="10"/>
    <s v="APAC"/>
    <x v="1"/>
    <s v="Small"/>
    <n v="809893"/>
    <s v="INV00997"/>
    <n v="90732"/>
    <d v="2026-02-18T00:00:00"/>
    <n v="30"/>
    <n v="4"/>
    <n v="0.15909999999999999"/>
    <n v="5.2499999999999998E-2"/>
    <n v="8"/>
    <s v="No"/>
    <s v="Yes"/>
    <n v="0.65"/>
    <n v="1186.4762630136986"/>
    <n v="104.40394520547945"/>
    <n v="1082.0723178082192"/>
    <n v="22"/>
    <x v="60"/>
    <n v="61"/>
  </r>
  <r>
    <s v="SUP004"/>
    <x v="29"/>
    <s v="Europe"/>
    <x v="4"/>
    <s v="Small"/>
    <n v="1485779"/>
    <s v="INV01244"/>
    <n v="87206"/>
    <d v="2025-03-24T00:00:00"/>
    <n v="60"/>
    <n v="3"/>
    <n v="0.1295"/>
    <n v="0.05"/>
    <n v="8"/>
    <s v="No"/>
    <s v="Yes"/>
    <n v="0.9"/>
    <n v="1856.4126575342464"/>
    <n v="95.568219178082202"/>
    <n v="1760.8444383561641"/>
    <n v="52"/>
    <x v="61"/>
    <n v="62"/>
  </r>
  <r>
    <s v="SUP140"/>
    <x v="30"/>
    <s v="Europe"/>
    <x v="1"/>
    <s v="Small"/>
    <n v="1241903"/>
    <s v="INV00971"/>
    <n v="62439"/>
    <d v="2025-06-28T00:00:00"/>
    <n v="90"/>
    <n v="3"/>
    <n v="0.15939999999999999"/>
    <n v="4.8899999999999999E-2"/>
    <n v="8"/>
    <s v="No"/>
    <s v="Yes"/>
    <n v="0.9"/>
    <n v="2454.1092986301364"/>
    <n v="66.920922739726024"/>
    <n v="2387.1883758904105"/>
    <n v="82"/>
    <x v="62"/>
    <n v="63"/>
  </r>
  <r>
    <s v="SUP024"/>
    <x v="15"/>
    <s v="US"/>
    <x v="3"/>
    <s v="Small"/>
    <n v="1439833"/>
    <s v="INV00321"/>
    <n v="61345"/>
    <d v="2025-07-23T00:00:00"/>
    <n v="90"/>
    <n v="5"/>
    <n v="0.17630000000000001"/>
    <n v="0.05"/>
    <n v="8"/>
    <s v="No"/>
    <s v="Yes"/>
    <n v="0.8"/>
    <n v="2666.7427808219181"/>
    <n v="67.227397260273975"/>
    <n v="2599.5153835616443"/>
    <n v="82"/>
    <x v="63"/>
    <n v="64"/>
  </r>
  <r>
    <s v="SUP118"/>
    <x v="31"/>
    <s v="US"/>
    <x v="1"/>
    <s v="Small"/>
    <n v="735440"/>
    <s v="INV00260"/>
    <n v="103861"/>
    <d v="2026-02-24T00:00:00"/>
    <n v="90"/>
    <n v="5"/>
    <n v="0.13020000000000001"/>
    <n v="6.4500000000000002E-2"/>
    <n v="5"/>
    <s v="No"/>
    <s v="Yes"/>
    <n v="0.9"/>
    <n v="3334.3649260273974"/>
    <n v="91.767595890410945"/>
    <n v="3242.5973301369863"/>
    <n v="85"/>
    <x v="64"/>
    <n v="65"/>
  </r>
  <r>
    <s v="SUP003"/>
    <x v="16"/>
    <s v="APAC"/>
    <x v="2"/>
    <s v="Small"/>
    <n v="1309806"/>
    <s v="INV00606"/>
    <n v="91223"/>
    <d v="2025-07-01T00:00:00"/>
    <n v="90"/>
    <n v="7"/>
    <n v="0.15210000000000001"/>
    <n v="4.8599999999999997E-2"/>
    <n v="10"/>
    <s v="No"/>
    <s v="Yes"/>
    <n v="0.65"/>
    <n v="3421.2373890410959"/>
    <n v="121.46404931506848"/>
    <n v="3299.7733397260272"/>
    <n v="80"/>
    <x v="65"/>
    <n v="66"/>
  </r>
  <r>
    <s v="SUP010"/>
    <x v="10"/>
    <s v="APAC"/>
    <x v="1"/>
    <s v="Small"/>
    <n v="809893"/>
    <s v="INV00635"/>
    <n v="69154"/>
    <d v="2026-02-23T00:00:00"/>
    <n v="60"/>
    <n v="10"/>
    <n v="0.15909999999999999"/>
    <n v="6.0600000000000001E-2"/>
    <n v="5"/>
    <s v="No"/>
    <s v="Yes"/>
    <n v="0.9"/>
    <n v="1808.6139287671231"/>
    <n v="57.407293150684929"/>
    <n v="1751.2066356164382"/>
    <n v="55"/>
    <x v="66"/>
    <n v="67"/>
  </r>
  <r>
    <s v="SUP145"/>
    <x v="32"/>
    <s v="US"/>
    <x v="2"/>
    <s v="Medium"/>
    <n v="3469396"/>
    <s v="INV00716"/>
    <n v="109805"/>
    <d v="2025-05-04T00:00:00"/>
    <n v="90"/>
    <n v="7"/>
    <n v="0.1216"/>
    <n v="5.1999999999999998E-2"/>
    <n v="6"/>
    <s v="No"/>
    <s v="Yes"/>
    <n v="0.8"/>
    <n v="3292.3449863013698"/>
    <n v="93.860712328767107"/>
    <n v="3198.4842739726028"/>
    <n v="84"/>
    <x v="67"/>
    <n v="68"/>
  </r>
  <r>
    <s v="SUP104"/>
    <x v="33"/>
    <s v="Mexico"/>
    <x v="4"/>
    <s v="Small"/>
    <n v="1410716"/>
    <s v="INV00519"/>
    <n v="74371"/>
    <d v="2025-03-08T00:00:00"/>
    <n v="60"/>
    <n v="2"/>
    <n v="0.1472"/>
    <n v="5.6000000000000001E-2"/>
    <n v="7"/>
    <s v="Yes"/>
    <s v="Yes"/>
    <n v="0.9"/>
    <n v="1799.5744438356164"/>
    <n v="79.872416438356169"/>
    <n v="1719.7020273972603"/>
    <n v="53"/>
    <x v="68"/>
    <n v="69"/>
  </r>
  <r>
    <s v="SUP024"/>
    <x v="15"/>
    <s v="US"/>
    <x v="3"/>
    <s v="Small"/>
    <n v="1439833"/>
    <s v="INV00149"/>
    <n v="100276"/>
    <d v="2025-04-07T00:00:00"/>
    <n v="60"/>
    <n v="5"/>
    <n v="0.17630000000000001"/>
    <n v="5.5599999999999997E-2"/>
    <n v="6"/>
    <s v="Yes"/>
    <s v="Yes"/>
    <n v="0.5"/>
    <n v="2906.0808986301372"/>
    <n v="91.649516712328747"/>
    <n v="2814.4313819178083"/>
    <n v="54"/>
    <x v="69"/>
    <n v="70"/>
  </r>
  <r>
    <s v="SUP003"/>
    <x v="16"/>
    <s v="APAC"/>
    <x v="2"/>
    <s v="Small"/>
    <n v="1309806"/>
    <s v="INV00015"/>
    <n v="97841"/>
    <d v="2025-08-16T00:00:00"/>
    <n v="30"/>
    <n v="5"/>
    <n v="0.15210000000000001"/>
    <n v="5.7299999999999997E-2"/>
    <n v="7"/>
    <s v="Yes"/>
    <s v="Yes"/>
    <n v="0.65"/>
    <n v="1223.1465287671233"/>
    <n v="107.51787698630136"/>
    <n v="1115.6286517808219"/>
    <n v="23"/>
    <x v="70"/>
    <n v="71"/>
  </r>
  <r>
    <s v="SUP075"/>
    <x v="11"/>
    <s v="Europe"/>
    <x v="3"/>
    <s v="Small"/>
    <n v="1224427"/>
    <s v="INV00158"/>
    <n v="66090"/>
    <d v="2025-02-10T00:00:00"/>
    <n v="90"/>
    <n v="7"/>
    <n v="0.15670000000000001"/>
    <n v="5.5599999999999997E-2"/>
    <n v="8"/>
    <s v="Yes"/>
    <s v="Yes"/>
    <n v="0.9"/>
    <n v="2553.6089589041094"/>
    <n v="80.539265753424658"/>
    <n v="2473.0696931506845"/>
    <n v="82"/>
    <x v="71"/>
    <n v="72"/>
  </r>
  <r>
    <s v="SUP029"/>
    <x v="34"/>
    <s v="US"/>
    <x v="3"/>
    <s v="Small"/>
    <n v="373467"/>
    <s v="INV01448"/>
    <n v="95087"/>
    <d v="2025-04-21T00:00:00"/>
    <n v="30"/>
    <n v="5"/>
    <n v="0.126"/>
    <n v="4.7300000000000002E-2"/>
    <n v="5"/>
    <s v="No"/>
    <s v="Yes"/>
    <n v="0.8"/>
    <n v="984.73660273972598"/>
    <n v="61.61116575342465"/>
    <n v="923.12543698630134"/>
    <n v="25"/>
    <x v="72"/>
    <n v="73"/>
  </r>
  <r>
    <s v="SUP104"/>
    <x v="33"/>
    <s v="Mexico"/>
    <x v="4"/>
    <s v="Small"/>
    <n v="1410716"/>
    <s v="INV00415"/>
    <n v="95042"/>
    <d v="2025-07-07T00:00:00"/>
    <n v="60"/>
    <n v="10"/>
    <n v="0.1472"/>
    <n v="5.0299999999999997E-2"/>
    <n v="10"/>
    <s v="No"/>
    <s v="Yes"/>
    <n v="0.65"/>
    <n v="2299.756010958904"/>
    <n v="130.97568767123286"/>
    <n v="2168.7803232876713"/>
    <n v="50"/>
    <x v="73"/>
    <n v="74"/>
  </r>
  <r>
    <s v="SUP047"/>
    <x v="35"/>
    <s v="US"/>
    <x v="3"/>
    <s v="Medium"/>
    <n v="6056843"/>
    <s v="INV01271"/>
    <n v="89458"/>
    <d v="2026-01-12T00:00:00"/>
    <n v="45"/>
    <n v="2"/>
    <n v="0.12520000000000001"/>
    <n v="5.1799999999999999E-2"/>
    <n v="10"/>
    <s v="No"/>
    <s v="Yes"/>
    <n v="0.9"/>
    <n v="1380.8393753424657"/>
    <n v="126.95683287671231"/>
    <n v="1253.8825424657534"/>
    <n v="35"/>
    <x v="74"/>
    <n v="75"/>
  </r>
  <r>
    <s v="SUP032"/>
    <x v="36"/>
    <s v="US"/>
    <x v="2"/>
    <s v="Medium"/>
    <n v="1954421"/>
    <s v="INV00936"/>
    <n v="103791"/>
    <d v="2026-01-11T00:00:00"/>
    <n v="60"/>
    <n v="4"/>
    <n v="0.1237"/>
    <n v="5.28E-2"/>
    <n v="6"/>
    <s v="No"/>
    <s v="Yes"/>
    <n v="0.8"/>
    <n v="2110.5117863013697"/>
    <n v="90.084900821917799"/>
    <n v="2020.426885479452"/>
    <n v="54"/>
    <x v="75"/>
    <n v="76"/>
  </r>
  <r>
    <s v="SUP022"/>
    <x v="37"/>
    <s v="APAC"/>
    <x v="4"/>
    <s v="Medium"/>
    <n v="6024640"/>
    <s v="INV00881"/>
    <n v="102831"/>
    <d v="2025-11-25T00:00:00"/>
    <n v="60"/>
    <n v="7"/>
    <n v="0.13769999999999999"/>
    <n v="5.0099999999999999E-2"/>
    <n v="10"/>
    <s v="No"/>
    <s v="Yes"/>
    <n v="0.65"/>
    <n v="2327.6430739726025"/>
    <n v="141.14611232876712"/>
    <n v="2186.4969616438352"/>
    <n v="50"/>
    <x v="76"/>
    <n v="77"/>
  </r>
  <r>
    <s v="SUP043"/>
    <x v="17"/>
    <s v="Canada"/>
    <x v="4"/>
    <s v="Medium"/>
    <n v="4153903"/>
    <s v="INV00390"/>
    <n v="79746"/>
    <d v="2025-04-09T00:00:00"/>
    <n v="60"/>
    <n v="4"/>
    <n v="0.13669999999999999"/>
    <n v="5.5300000000000002E-2"/>
    <n v="10"/>
    <s v="No"/>
    <s v="Yes"/>
    <n v="0.9"/>
    <n v="1791.990936986301"/>
    <n v="120.82065205479452"/>
    <n v="1671.1702849315066"/>
    <n v="50"/>
    <x v="77"/>
    <n v="78"/>
  </r>
  <r>
    <s v="SUP136"/>
    <x v="28"/>
    <s v="Mexico"/>
    <x v="0"/>
    <s v="Small"/>
    <n v="1120197"/>
    <s v="INV01034"/>
    <n v="81688"/>
    <d v="2025-03-21T00:00:00"/>
    <n v="60"/>
    <n v="5"/>
    <n v="0.1338"/>
    <n v="5.45E-2"/>
    <n v="6"/>
    <s v="No"/>
    <s v="Yes"/>
    <n v="0.9"/>
    <n v="1796.6883945205479"/>
    <n v="73.183495890410953"/>
    <n v="1723.5048986301369"/>
    <n v="54"/>
    <x v="78"/>
    <n v="79"/>
  </r>
  <r>
    <s v="SUP040"/>
    <x v="38"/>
    <s v="US"/>
    <x v="3"/>
    <s v="Small"/>
    <n v="1249897"/>
    <s v="INV00979"/>
    <n v="76451"/>
    <d v="2025-08-09T00:00:00"/>
    <n v="30"/>
    <n v="2"/>
    <n v="0.1452"/>
    <n v="6.0499999999999998E-2"/>
    <n v="8"/>
    <s v="No"/>
    <s v="Yes"/>
    <n v="0.9"/>
    <n v="912.38508493150675"/>
    <n v="101.37612054794521"/>
    <n v="811.00896438356153"/>
    <n v="22"/>
    <x v="79"/>
    <n v="80"/>
  </r>
  <r>
    <s v="SUP022"/>
    <x v="37"/>
    <s v="APAC"/>
    <x v="4"/>
    <s v="Medium"/>
    <n v="6024640"/>
    <s v="INV00891"/>
    <n v="85303"/>
    <d v="2026-02-08T00:00:00"/>
    <n v="30"/>
    <n v="5"/>
    <n v="0.13769999999999999"/>
    <n v="5.2999999999999999E-2"/>
    <n v="10"/>
    <s v="No"/>
    <s v="Yes"/>
    <n v="0.8"/>
    <n v="965.44299452054781"/>
    <n v="123.86463013698631"/>
    <n v="841.57836438356151"/>
    <n v="20"/>
    <x v="80"/>
    <n v="81"/>
  </r>
  <r>
    <s v="SUP087"/>
    <x v="39"/>
    <s v="Europe"/>
    <x v="4"/>
    <s v="Medium"/>
    <n v="4331160"/>
    <s v="INV00163"/>
    <n v="81946"/>
    <d v="2025-08-29T00:00:00"/>
    <n v="60"/>
    <n v="4"/>
    <n v="0.12809999999999999"/>
    <n v="5.0200000000000002E-2"/>
    <n v="10"/>
    <s v="No"/>
    <s v="Yes"/>
    <n v="0.9"/>
    <n v="1725.5807013698627"/>
    <n v="112.70381369863013"/>
    <n v="1612.8768876712327"/>
    <n v="50"/>
    <x v="81"/>
    <n v="82"/>
  </r>
  <r>
    <s v="SUP099"/>
    <x v="40"/>
    <s v="US"/>
    <x v="2"/>
    <s v="Medium"/>
    <n v="6280246"/>
    <s v="INV01403"/>
    <n v="107261"/>
    <d v="2025-05-05T00:00:00"/>
    <n v="45"/>
    <n v="5"/>
    <n v="0.1205"/>
    <n v="5.3600000000000002E-2"/>
    <n v="7"/>
    <s v="No"/>
    <s v="Yes"/>
    <n v="0.8"/>
    <n v="1593.4870479452052"/>
    <n v="110.25843068493153"/>
    <n v="1483.2286172602737"/>
    <n v="38"/>
    <x v="82"/>
    <n v="83"/>
  </r>
  <r>
    <s v="SUP045"/>
    <x v="41"/>
    <s v="Canada"/>
    <x v="3"/>
    <s v="Medium"/>
    <n v="6222733"/>
    <s v="INV01247"/>
    <n v="107679"/>
    <d v="2025-09-14T00:00:00"/>
    <n v="90"/>
    <n v="10"/>
    <n v="0.13980000000000001"/>
    <n v="5.7799999999999997E-2"/>
    <n v="8"/>
    <s v="Yes"/>
    <s v="Yes"/>
    <n v="0.65"/>
    <n v="3711.827884931507"/>
    <n v="136.41306739726028"/>
    <n v="3575.4148175342466"/>
    <n v="82"/>
    <x v="83"/>
    <n v="84"/>
  </r>
  <r>
    <s v="SUP078"/>
    <x v="24"/>
    <s v="Mexico"/>
    <x v="4"/>
    <s v="Small"/>
    <n v="412494"/>
    <s v="INV00546"/>
    <n v="61856"/>
    <d v="2026-02-07T00:00:00"/>
    <n v="60"/>
    <n v="5"/>
    <n v="0.15989999999999999"/>
    <n v="5.7200000000000001E-2"/>
    <n v="10"/>
    <s v="No"/>
    <s v="Yes"/>
    <n v="0.9"/>
    <n v="1625.8807232876709"/>
    <n v="96.935978082191781"/>
    <n v="1528.9447452054792"/>
    <n v="50"/>
    <x v="84"/>
    <n v="85"/>
  </r>
  <r>
    <s v="SUP075"/>
    <x v="11"/>
    <s v="Europe"/>
    <x v="3"/>
    <s v="Small"/>
    <n v="1224427"/>
    <s v="INV00214"/>
    <n v="105079"/>
    <d v="2025-01-17T00:00:00"/>
    <n v="60"/>
    <n v="5"/>
    <n v="0.15670000000000001"/>
    <n v="4.8300000000000003E-2"/>
    <n v="10"/>
    <s v="Yes"/>
    <s v="Yes"/>
    <n v="0.5"/>
    <n v="2706.7198849315068"/>
    <n v="139.04974520547944"/>
    <n v="2567.6701397260276"/>
    <n v="50"/>
    <x v="85"/>
    <n v="86"/>
  </r>
  <r>
    <s v="SUP065"/>
    <x v="10"/>
    <s v="Mexico"/>
    <x v="3"/>
    <s v="Medium"/>
    <n v="4269919"/>
    <s v="INV01430"/>
    <n v="105685"/>
    <d v="2026-01-29T00:00:00"/>
    <n v="30"/>
    <n v="5"/>
    <n v="0.1212"/>
    <n v="6.1600000000000002E-2"/>
    <n v="5"/>
    <s v="No"/>
    <s v="Yes"/>
    <n v="0.9"/>
    <n v="1052.7963287671232"/>
    <n v="89.180767123287666"/>
    <n v="963.61556164383558"/>
    <n v="25"/>
    <x v="86"/>
    <n v="87"/>
  </r>
  <r>
    <s v="SUP023"/>
    <x v="19"/>
    <s v="Canada"/>
    <x v="0"/>
    <s v="Medium"/>
    <n v="2438415"/>
    <s v="INV00785"/>
    <n v="69670"/>
    <d v="2025-08-28T00:00:00"/>
    <n v="30"/>
    <n v="3"/>
    <n v="0.13650000000000001"/>
    <n v="4.6100000000000002E-2"/>
    <n v="6"/>
    <s v="Yes"/>
    <s v="Yes"/>
    <n v="0.9"/>
    <n v="781.64013698630129"/>
    <n v="52.796498630136988"/>
    <n v="728.84363835616432"/>
    <n v="24"/>
    <x v="87"/>
    <n v="88"/>
  </r>
  <r>
    <s v="SUP133"/>
    <x v="42"/>
    <s v="US"/>
    <x v="1"/>
    <s v="Medium"/>
    <n v="3384926"/>
    <s v="INV00326"/>
    <n v="66862"/>
    <d v="2025-04-24T00:00:00"/>
    <n v="60"/>
    <n v="10"/>
    <n v="0.1396"/>
    <n v="4.5699999999999998E-2"/>
    <n v="10"/>
    <s v="No"/>
    <s v="Yes"/>
    <n v="0.9"/>
    <n v="1534.345512328767"/>
    <n v="83.714887671232859"/>
    <n v="1450.6306246575341"/>
    <n v="50"/>
    <x v="88"/>
    <n v="89"/>
  </r>
  <r>
    <s v="SUP018"/>
    <x v="14"/>
    <s v="APAC"/>
    <x v="4"/>
    <s v="Medium"/>
    <n v="6140796"/>
    <s v="INV00464"/>
    <n v="78904"/>
    <d v="2025-03-16T00:00:00"/>
    <n v="60"/>
    <n v="10"/>
    <n v="0.13300000000000001"/>
    <n v="5.3900000000000003E-2"/>
    <n v="5"/>
    <s v="No"/>
    <s v="Yes"/>
    <n v="0.9"/>
    <n v="1725.0792328767122"/>
    <n v="58.259254794520551"/>
    <n v="1666.8199780821917"/>
    <n v="55"/>
    <x v="89"/>
    <n v="90"/>
  </r>
  <r>
    <s v="SUP084"/>
    <x v="18"/>
    <s v="APAC"/>
    <x v="3"/>
    <s v="Small"/>
    <n v="1097913"/>
    <s v="INV00863"/>
    <n v="78115"/>
    <d v="2025-01-15T00:00:00"/>
    <n v="60"/>
    <n v="2"/>
    <n v="0.16070000000000001"/>
    <n v="5.04E-2"/>
    <n v="7"/>
    <s v="No"/>
    <s v="Yes"/>
    <n v="0.65"/>
    <n v="2063.5200821917806"/>
    <n v="75.50403287671233"/>
    <n v="1988.0160493150684"/>
    <n v="53"/>
    <x v="90"/>
    <n v="91"/>
  </r>
  <r>
    <s v="SUP140"/>
    <x v="30"/>
    <s v="Europe"/>
    <x v="1"/>
    <s v="Small"/>
    <n v="1241903"/>
    <s v="INV01332"/>
    <n v="54431"/>
    <d v="2025-10-23T00:00:00"/>
    <n v="60"/>
    <n v="10"/>
    <n v="0.15939999999999999"/>
    <n v="4.5499999999999999E-2"/>
    <n v="7"/>
    <s v="No"/>
    <s v="Yes"/>
    <n v="0.9"/>
    <n v="1426.241326027397"/>
    <n v="47.496639726027396"/>
    <n v="1378.7446863013697"/>
    <n v="53"/>
    <x v="91"/>
    <n v="92"/>
  </r>
  <r>
    <s v="SUP010"/>
    <x v="10"/>
    <s v="APAC"/>
    <x v="1"/>
    <s v="Small"/>
    <n v="809893"/>
    <s v="INV00722"/>
    <n v="90694"/>
    <d v="2025-04-07T00:00:00"/>
    <n v="60"/>
    <n v="10"/>
    <n v="0.15909999999999999"/>
    <n v="6.4500000000000002E-2"/>
    <n v="8"/>
    <s v="Yes"/>
    <s v="Yes"/>
    <n v="0.65"/>
    <n v="2371.9586958904106"/>
    <n v="128.21398356164383"/>
    <n v="2243.7447123287666"/>
    <n v="52"/>
    <x v="92"/>
    <n v="93"/>
  </r>
  <r>
    <s v="SUP118"/>
    <x v="31"/>
    <s v="US"/>
    <x v="1"/>
    <s v="Small"/>
    <n v="735440"/>
    <s v="INV01408"/>
    <n v="87148"/>
    <d v="2025-07-24T00:00:00"/>
    <n v="60"/>
    <n v="5"/>
    <n v="0.13020000000000001"/>
    <n v="5.0500000000000003E-2"/>
    <n v="6"/>
    <s v="No"/>
    <s v="Yes"/>
    <n v="0.8"/>
    <n v="1865.2059616438357"/>
    <n v="72.34477808219178"/>
    <n v="1792.8611835616439"/>
    <n v="54"/>
    <x v="93"/>
    <n v="94"/>
  </r>
  <r>
    <s v="SUP124"/>
    <x v="43"/>
    <s v="Mexico"/>
    <x v="1"/>
    <s v="Small"/>
    <n v="617401"/>
    <s v="INV00711"/>
    <n v="69925"/>
    <d v="2026-02-22T00:00:00"/>
    <n v="90"/>
    <n v="7"/>
    <n v="0.1429"/>
    <n v="5.5500000000000001E-2"/>
    <n v="7"/>
    <s v="Yes"/>
    <s v="Yes"/>
    <n v="0.9"/>
    <n v="2463.8504794520545"/>
    <n v="74.427020547945204"/>
    <n v="2389.4234589041093"/>
    <n v="83"/>
    <x v="94"/>
    <n v="95"/>
  </r>
  <r>
    <s v="SUP043"/>
    <x v="17"/>
    <s v="Canada"/>
    <x v="4"/>
    <s v="Medium"/>
    <n v="4153903"/>
    <s v="INV01288"/>
    <n v="86108"/>
    <d v="2026-02-13T00:00:00"/>
    <n v="60"/>
    <n v="7"/>
    <n v="0.13669999999999999"/>
    <n v="5.7599999999999998E-2"/>
    <n v="8"/>
    <s v="No"/>
    <s v="Yes"/>
    <n v="0.8"/>
    <n v="1934.952920547945"/>
    <n v="108.70840109589039"/>
    <n v="1826.2445194520546"/>
    <n v="52"/>
    <x v="95"/>
    <n v="96"/>
  </r>
  <r>
    <s v="SUP072"/>
    <x v="44"/>
    <s v="Europe"/>
    <x v="2"/>
    <s v="Medium"/>
    <n v="6782855"/>
    <s v="INV00949"/>
    <n v="106897"/>
    <d v="2025-04-17T00:00:00"/>
    <n v="45"/>
    <n v="5"/>
    <n v="0.1188"/>
    <n v="5.5300000000000002E-2"/>
    <n v="7"/>
    <s v="No"/>
    <s v="Yes"/>
    <n v="0.8"/>
    <n v="1565.6749643835617"/>
    <n v="113.36939369863016"/>
    <n v="1452.3055706849316"/>
    <n v="38"/>
    <x v="96"/>
    <n v="97"/>
  </r>
  <r>
    <s v="SUP136"/>
    <x v="28"/>
    <s v="Mexico"/>
    <x v="0"/>
    <s v="Small"/>
    <n v="1120197"/>
    <s v="INV00162"/>
    <n v="103177"/>
    <d v="2025-08-27T00:00:00"/>
    <n v="60"/>
    <n v="3"/>
    <n v="0.1338"/>
    <n v="5.2900000000000003E-2"/>
    <n v="6"/>
    <s v="No"/>
    <s v="Yes"/>
    <n v="0.65"/>
    <n v="2269.3286465753422"/>
    <n v="89.721588493150691"/>
    <n v="2179.6070580821915"/>
    <n v="54"/>
    <x v="97"/>
    <n v="98"/>
  </r>
  <r>
    <s v="SUP083"/>
    <x v="45"/>
    <s v="Europe"/>
    <x v="0"/>
    <s v="Medium"/>
    <n v="3350013"/>
    <s v="INV01199"/>
    <n v="102660"/>
    <d v="2025-05-28T00:00:00"/>
    <n v="45"/>
    <n v="3"/>
    <n v="0.1144"/>
    <n v="4.8399999999999999E-2"/>
    <n v="6"/>
    <s v="No"/>
    <s v="Yes"/>
    <n v="0.8"/>
    <n v="1447.9278904109588"/>
    <n v="81.677983561643828"/>
    <n v="1366.2499068493148"/>
    <n v="39"/>
    <x v="98"/>
    <n v="99"/>
  </r>
  <r>
    <s v="SUP061"/>
    <x v="14"/>
    <s v="Mexico"/>
    <x v="1"/>
    <s v="Small"/>
    <n v="1374525"/>
    <s v="INV00756"/>
    <n v="80846"/>
    <d v="2026-01-13T00:00:00"/>
    <n v="45"/>
    <n v="2"/>
    <n v="0.13320000000000001"/>
    <n v="4.9799999999999997E-2"/>
    <n v="5"/>
    <s v="No"/>
    <s v="Yes"/>
    <n v="0.8"/>
    <n v="1327.6463671232877"/>
    <n v="55.152476712328763"/>
    <n v="1272.493890410959"/>
    <n v="40"/>
    <x v="99"/>
    <n v="100"/>
  </r>
  <r>
    <s v="SUP106"/>
    <x v="5"/>
    <s v="Canada"/>
    <x v="1"/>
    <s v="Small"/>
    <n v="1373788"/>
    <s v="INV00592"/>
    <n v="87324"/>
    <d v="2025-09-30T00:00:00"/>
    <n v="45"/>
    <n v="2"/>
    <n v="0.17660000000000001"/>
    <n v="5.3100000000000001E-2"/>
    <n v="5"/>
    <s v="No"/>
    <s v="Yes"/>
    <n v="0.5"/>
    <n v="1901.2707616438356"/>
    <n v="63.519238356164387"/>
    <n v="1837.7515232876713"/>
    <n v="40"/>
    <x v="100"/>
    <n v="101"/>
  </r>
  <r>
    <s v="SUP066"/>
    <x v="46"/>
    <s v="APAC"/>
    <x v="1"/>
    <s v="Small"/>
    <n v="1106462"/>
    <s v="INV00695"/>
    <n v="85535"/>
    <d v="2025-08-06T00:00:00"/>
    <n v="30"/>
    <n v="10"/>
    <n v="0.1328"/>
    <n v="6.2799999999999995E-2"/>
    <n v="8"/>
    <s v="No"/>
    <s v="Yes"/>
    <n v="0.9"/>
    <n v="933.62038356164385"/>
    <n v="117.73365479452055"/>
    <n v="815.88672876712326"/>
    <n v="22"/>
    <x v="101"/>
    <n v="102"/>
  </r>
  <r>
    <s v="SUP046"/>
    <x v="47"/>
    <s v="Mexico"/>
    <x v="1"/>
    <s v="Small"/>
    <n v="981924"/>
    <s v="INV00596"/>
    <n v="54647"/>
    <d v="2026-01-30T00:00:00"/>
    <n v="60"/>
    <n v="5"/>
    <n v="0.17169999999999999"/>
    <n v="4.8500000000000001E-2"/>
    <n v="8"/>
    <s v="Yes"/>
    <s v="Yes"/>
    <n v="0.8"/>
    <n v="1542.3928602739725"/>
    <n v="58.090509589041098"/>
    <n v="1484.3023506849313"/>
    <n v="52"/>
    <x v="102"/>
    <n v="103"/>
  </r>
  <r>
    <s v="SUP064"/>
    <x v="28"/>
    <s v="Canada"/>
    <x v="4"/>
    <s v="Medium"/>
    <n v="1514188"/>
    <s v="INV01404"/>
    <n v="108034"/>
    <d v="2026-01-06T00:00:00"/>
    <n v="60"/>
    <n v="7"/>
    <n v="0.11600000000000001"/>
    <n v="5.4199999999999998E-2"/>
    <n v="5"/>
    <s v="No"/>
    <s v="Yes"/>
    <n v="0.8"/>
    <n v="2060.0455890410958"/>
    <n v="80.211545205479439"/>
    <n v="1979.8340438356163"/>
    <n v="55"/>
    <x v="103"/>
    <n v="104"/>
  </r>
  <r>
    <s v="SUP064"/>
    <x v="28"/>
    <s v="Canada"/>
    <x v="4"/>
    <s v="Medium"/>
    <n v="1514188"/>
    <s v="INV00392"/>
    <n v="94511"/>
    <d v="2026-02-01T00:00:00"/>
    <n v="60"/>
    <n v="10"/>
    <n v="0.11600000000000001"/>
    <n v="5.3499999999999999E-2"/>
    <n v="5"/>
    <s v="Yes"/>
    <s v="Yes"/>
    <n v="0.9"/>
    <n v="1802.1823561643835"/>
    <n v="69.26491095890411"/>
    <n v="1732.9174452054795"/>
    <n v="55"/>
    <x v="104"/>
    <n v="105"/>
  </r>
  <r>
    <s v="SUP022"/>
    <x v="37"/>
    <s v="APAC"/>
    <x v="4"/>
    <s v="Medium"/>
    <n v="6024640"/>
    <s v="INV00696"/>
    <n v="107499"/>
    <d v="2025-09-26T00:00:00"/>
    <n v="90"/>
    <n v="3"/>
    <n v="0.13769999999999999"/>
    <n v="6.1699999999999998E-2"/>
    <n v="10"/>
    <s v="Yes"/>
    <s v="Yes"/>
    <n v="0.65"/>
    <n v="3649.9591972602734"/>
    <n v="181.71748767123287"/>
    <n v="3468.2417095890405"/>
    <n v="80"/>
    <x v="105"/>
    <n v="106"/>
  </r>
  <r>
    <s v="SUP054"/>
    <x v="4"/>
    <s v="Mexico"/>
    <x v="1"/>
    <s v="Small"/>
    <n v="896464"/>
    <s v="INV00423"/>
    <n v="75133"/>
    <d v="2025-09-19T00:00:00"/>
    <n v="45"/>
    <n v="5"/>
    <n v="0.13550000000000001"/>
    <n v="5.7000000000000002E-2"/>
    <n v="10"/>
    <s v="No"/>
    <s v="Yes"/>
    <n v="0.9"/>
    <n v="1255.1327876712328"/>
    <n v="117.33098630136986"/>
    <n v="1137.8018013698629"/>
    <n v="35"/>
    <x v="106"/>
    <n v="107"/>
  </r>
  <r>
    <s v="SUP039"/>
    <x v="12"/>
    <s v="Mexico"/>
    <x v="0"/>
    <s v="Small"/>
    <n v="372648"/>
    <s v="INV01378"/>
    <n v="89121"/>
    <d v="2025-09-01T00:00:00"/>
    <n v="90"/>
    <n v="4"/>
    <n v="0.15049999999999999"/>
    <n v="5.8999999999999997E-2"/>
    <n v="7"/>
    <s v="No"/>
    <s v="Yes"/>
    <n v="0.65"/>
    <n v="3307.2436849315063"/>
    <n v="100.84102191780822"/>
    <n v="3206.4026630136982"/>
    <n v="83"/>
    <x v="107"/>
    <n v="108"/>
  </r>
  <r>
    <s v="SUP006"/>
    <x v="4"/>
    <s v="Europe"/>
    <x v="3"/>
    <s v="Small"/>
    <n v="971327"/>
    <s v="INV00233"/>
    <n v="102968"/>
    <d v="2025-07-08T00:00:00"/>
    <n v="45"/>
    <n v="2"/>
    <n v="0.15229999999999999"/>
    <n v="4.9599999999999998E-2"/>
    <n v="5"/>
    <s v="No"/>
    <s v="Yes"/>
    <n v="0.5"/>
    <n v="1933.400515068493"/>
    <n v="69.961819178082195"/>
    <n v="1863.4386958904108"/>
    <n v="40"/>
    <x v="108"/>
    <n v="109"/>
  </r>
  <r>
    <s v="SUP093"/>
    <x v="48"/>
    <s v="APAC"/>
    <x v="0"/>
    <s v="Small"/>
    <n v="759292"/>
    <s v="INV00101"/>
    <n v="95753"/>
    <d v="2025-07-27T00:00:00"/>
    <n v="30"/>
    <n v="10"/>
    <n v="0.1171"/>
    <n v="5.5899999999999998E-2"/>
    <n v="7"/>
    <s v="No"/>
    <s v="Yes"/>
    <n v="0.9"/>
    <n v="921.58983287671219"/>
    <n v="102.65246273972603"/>
    <n v="818.93737013698615"/>
    <n v="23"/>
    <x v="109"/>
    <n v="110"/>
  </r>
  <r>
    <s v="SUP023"/>
    <x v="19"/>
    <s v="Canada"/>
    <x v="0"/>
    <s v="Medium"/>
    <n v="2438415"/>
    <s v="INV00651"/>
    <n v="80562"/>
    <d v="2025-09-13T00:00:00"/>
    <n v="60"/>
    <n v="3"/>
    <n v="0.13650000000000001"/>
    <n v="6.3799999999999996E-2"/>
    <n v="10"/>
    <s v="No"/>
    <s v="Yes"/>
    <n v="0.9"/>
    <n v="1807.6788493150686"/>
    <n v="140.81796164383562"/>
    <n v="1666.8608876712331"/>
    <n v="50"/>
    <x v="110"/>
    <n v="111"/>
  </r>
  <r>
    <s v="SUP066"/>
    <x v="46"/>
    <s v="APAC"/>
    <x v="1"/>
    <s v="Small"/>
    <n v="1106462"/>
    <s v="INV00289"/>
    <n v="70540"/>
    <d v="2025-01-01T00:00:00"/>
    <n v="30"/>
    <n v="3"/>
    <n v="0.1328"/>
    <n v="0.05"/>
    <n v="5"/>
    <s v="No"/>
    <s v="Yes"/>
    <n v="0.9"/>
    <n v="769.94893150684925"/>
    <n v="48.315068493150683"/>
    <n v="721.6338630136986"/>
    <n v="25"/>
    <x v="111"/>
    <n v="112"/>
  </r>
  <r>
    <s v="SUP078"/>
    <x v="24"/>
    <s v="Mexico"/>
    <x v="4"/>
    <s v="Small"/>
    <n v="412494"/>
    <s v="INV01264"/>
    <n v="105471"/>
    <d v="2025-06-13T00:00:00"/>
    <n v="60"/>
    <n v="4"/>
    <n v="0.15989999999999999"/>
    <n v="6.0600000000000001E-2"/>
    <n v="7"/>
    <s v="No"/>
    <s v="Yes"/>
    <n v="0.5"/>
    <n v="2772.2980109589034"/>
    <n v="122.57752931506849"/>
    <n v="2649.7204816438348"/>
    <n v="53"/>
    <x v="112"/>
    <n v="113"/>
  </r>
  <r>
    <s v="SUP077"/>
    <x v="27"/>
    <s v="Europe"/>
    <x v="1"/>
    <s v="Medium"/>
    <n v="3573998"/>
    <s v="INV01252"/>
    <n v="103425"/>
    <d v="2025-05-14T00:00:00"/>
    <n v="90"/>
    <n v="7"/>
    <n v="0.13200000000000001"/>
    <n v="5.4399999999999997E-2"/>
    <n v="7"/>
    <s v="No"/>
    <s v="Yes"/>
    <n v="0.65"/>
    <n v="3366.271232876712"/>
    <n v="107.90202739726027"/>
    <n v="3258.3692054794519"/>
    <n v="83"/>
    <x v="113"/>
    <n v="114"/>
  </r>
  <r>
    <s v="SUP034"/>
    <x v="15"/>
    <s v="APAC"/>
    <x v="0"/>
    <s v="Medium"/>
    <n v="3836607"/>
    <s v="INV00993"/>
    <n v="100219"/>
    <d v="2025-05-04T00:00:00"/>
    <n v="90"/>
    <n v="5"/>
    <n v="0.11310000000000001"/>
    <n v="4.8399999999999999E-2"/>
    <n v="8"/>
    <s v="No"/>
    <s v="Yes"/>
    <n v="0.8"/>
    <n v="2794.8745232876713"/>
    <n v="106.3145117808219"/>
    <n v="2688.5600115068496"/>
    <n v="82"/>
    <x v="114"/>
    <n v="115"/>
  </r>
  <r>
    <s v="SUP046"/>
    <x v="47"/>
    <s v="Mexico"/>
    <x v="1"/>
    <s v="Small"/>
    <n v="981924"/>
    <s v="INV01002"/>
    <n v="50905"/>
    <d v="2026-02-15T00:00:00"/>
    <n v="60"/>
    <n v="5"/>
    <n v="0.17169999999999999"/>
    <n v="5.8599999999999999E-2"/>
    <n v="6"/>
    <s v="No"/>
    <s v="Yes"/>
    <n v="0.9"/>
    <n v="1436.7761917808216"/>
    <n v="49.036158904109584"/>
    <n v="1387.7400328767121"/>
    <n v="54"/>
    <x v="115"/>
    <n v="116"/>
  </r>
  <r>
    <s v="SUP111"/>
    <x v="23"/>
    <s v="US"/>
    <x v="0"/>
    <s v="Medium"/>
    <n v="3046555"/>
    <s v="INV01334"/>
    <n v="78400"/>
    <d v="2025-02-25T00:00:00"/>
    <n v="45"/>
    <n v="2"/>
    <n v="0.13830000000000001"/>
    <n v="6.4899999999999999E-2"/>
    <n v="8"/>
    <s v="No"/>
    <s v="Yes"/>
    <n v="0.9"/>
    <n v="1336.773698630137"/>
    <n v="111.52131506849315"/>
    <n v="1225.2523835616439"/>
    <n v="37"/>
    <x v="116"/>
    <n v="117"/>
  </r>
  <r>
    <s v="SUP001"/>
    <x v="20"/>
    <s v="Canada"/>
    <x v="0"/>
    <s v="Medium"/>
    <n v="1709806"/>
    <s v="INV01467"/>
    <n v="85641"/>
    <d v="2026-02-23T00:00:00"/>
    <n v="30"/>
    <n v="3"/>
    <n v="0.12709999999999999"/>
    <n v="5.16E-2"/>
    <n v="10"/>
    <s v="No"/>
    <s v="Yes"/>
    <n v="0.8"/>
    <n v="894.6551589041095"/>
    <n v="121.07056438356165"/>
    <n v="773.58459452054785"/>
    <n v="20"/>
    <x v="117"/>
    <n v="118"/>
  </r>
  <r>
    <s v="SUP130"/>
    <x v="49"/>
    <s v="Canada"/>
    <x v="4"/>
    <s v="Medium"/>
    <n v="5681664"/>
    <s v="INV01175"/>
    <n v="81109"/>
    <d v="2025-02-08T00:00:00"/>
    <n v="45"/>
    <n v="7"/>
    <n v="0.12130000000000001"/>
    <n v="5.0599999999999999E-2"/>
    <n v="10"/>
    <s v="No"/>
    <s v="Yes"/>
    <n v="0.9"/>
    <n v="1212.9684287671234"/>
    <n v="112.44151780821916"/>
    <n v="1100.5269109589042"/>
    <n v="35"/>
    <x v="118"/>
    <n v="119"/>
  </r>
  <r>
    <s v="SUP140"/>
    <x v="30"/>
    <s v="Europe"/>
    <x v="1"/>
    <s v="Small"/>
    <n v="1241903"/>
    <s v="INV00784"/>
    <n v="53026"/>
    <d v="2025-11-22T00:00:00"/>
    <n v="60"/>
    <n v="3"/>
    <n v="0.15939999999999999"/>
    <n v="5.1299999999999998E-2"/>
    <n v="8"/>
    <s v="No"/>
    <s v="Yes"/>
    <n v="0.9"/>
    <n v="1389.4264767123286"/>
    <n v="59.621562739726031"/>
    <n v="1329.8049139726027"/>
    <n v="52"/>
    <x v="119"/>
    <n v="120"/>
  </r>
  <r>
    <s v="SUP074"/>
    <x v="16"/>
    <s v="US"/>
    <x v="2"/>
    <s v="Small"/>
    <n v="1336236"/>
    <s v="INV00898"/>
    <n v="67320"/>
    <d v="2025-09-01T00:00:00"/>
    <n v="60"/>
    <n v="3"/>
    <n v="0.14249999999999999"/>
    <n v="5.7799999999999997E-2"/>
    <n v="6"/>
    <s v="No"/>
    <s v="Yes"/>
    <n v="0.9"/>
    <n v="1576.9479452054791"/>
    <n v="63.963221917808212"/>
    <n v="1512.9847232876709"/>
    <n v="54"/>
    <x v="120"/>
    <n v="121"/>
  </r>
  <r>
    <s v="SUP135"/>
    <x v="50"/>
    <s v="Canada"/>
    <x v="0"/>
    <s v="Small"/>
    <n v="1406086"/>
    <s v="INV00856"/>
    <n v="87609"/>
    <d v="2025-09-30T00:00:00"/>
    <n v="60"/>
    <n v="7"/>
    <n v="0.1201"/>
    <n v="5.5399999999999998E-2"/>
    <n v="8"/>
    <s v="No"/>
    <s v="Yes"/>
    <n v="0.9"/>
    <n v="1729.6176821917807"/>
    <n v="106.37892821917808"/>
    <n v="1623.2387539726026"/>
    <n v="52"/>
    <x v="121"/>
    <n v="122"/>
  </r>
  <r>
    <s v="SUP147"/>
    <x v="51"/>
    <s v="Canada"/>
    <x v="1"/>
    <s v="Small"/>
    <n v="367690"/>
    <s v="INV00657"/>
    <n v="79489"/>
    <d v="2025-12-13T00:00:00"/>
    <n v="45"/>
    <n v="3"/>
    <n v="0.1305"/>
    <n v="5.9400000000000001E-2"/>
    <n v="10"/>
    <s v="No"/>
    <s v="Yes"/>
    <n v="0.9"/>
    <n v="1278.9017876712328"/>
    <n v="129.36018082191779"/>
    <n v="1149.541606849315"/>
    <n v="35"/>
    <x v="122"/>
    <n v="123"/>
  </r>
  <r>
    <s v="SUP075"/>
    <x v="11"/>
    <s v="Europe"/>
    <x v="3"/>
    <s v="Small"/>
    <n v="1224427"/>
    <s v="INV01131"/>
    <n v="75739"/>
    <d v="2025-03-16T00:00:00"/>
    <n v="45"/>
    <n v="10"/>
    <n v="0.15670000000000001"/>
    <n v="5.45E-2"/>
    <n v="7"/>
    <s v="No"/>
    <s v="Yes"/>
    <n v="0.65"/>
    <n v="1463.2152287671233"/>
    <n v="79.162817808219174"/>
    <n v="1384.0524109589041"/>
    <n v="38"/>
    <x v="123"/>
    <n v="124"/>
  </r>
  <r>
    <s v="SUP004"/>
    <x v="29"/>
    <s v="Europe"/>
    <x v="4"/>
    <s v="Small"/>
    <n v="1485779"/>
    <s v="INV00648"/>
    <n v="84536"/>
    <d v="2025-11-10T00:00:00"/>
    <n v="45"/>
    <n v="3"/>
    <n v="0.1295"/>
    <n v="6.3500000000000001E-2"/>
    <n v="5"/>
    <s v="Yes"/>
    <s v="Yes"/>
    <n v="0.9"/>
    <n v="1349.6809315068492"/>
    <n v="73.534739726027397"/>
    <n v="1276.1461917808219"/>
    <n v="40"/>
    <x v="124"/>
    <n v="125"/>
  </r>
  <r>
    <s v="SUP050"/>
    <x v="52"/>
    <s v="US"/>
    <x v="2"/>
    <s v="Medium"/>
    <n v="3714458"/>
    <s v="INV01077"/>
    <n v="91319"/>
    <d v="2025-05-31T00:00:00"/>
    <n v="90"/>
    <n v="4"/>
    <n v="0.1153"/>
    <n v="4.6699999999999998E-2"/>
    <n v="10"/>
    <s v="No"/>
    <s v="Yes"/>
    <n v="0.8"/>
    <n v="2596.2116794520548"/>
    <n v="116.83828219178081"/>
    <n v="2479.373397260274"/>
    <n v="80"/>
    <x v="125"/>
    <n v="126"/>
  </r>
  <r>
    <s v="SUP150"/>
    <x v="25"/>
    <s v="Europe"/>
    <x v="4"/>
    <s v="Small"/>
    <n v="782629"/>
    <s v="INV01422"/>
    <n v="66801"/>
    <d v="2025-09-15T00:00:00"/>
    <n v="90"/>
    <n v="5"/>
    <n v="0.14219999999999999"/>
    <n v="4.8800000000000003E-2"/>
    <n v="5"/>
    <s v="No"/>
    <s v="Yes"/>
    <n v="0.8"/>
    <n v="2342.2443780821914"/>
    <n v="44.656010958904112"/>
    <n v="2297.5883671232873"/>
    <n v="85"/>
    <x v="126"/>
    <n v="127"/>
  </r>
  <r>
    <s v="SUP126"/>
    <x v="53"/>
    <s v="Europe"/>
    <x v="2"/>
    <s v="Medium"/>
    <n v="4193232"/>
    <s v="INV01114"/>
    <n v="84311"/>
    <d v="2026-02-09T00:00:00"/>
    <n v="45"/>
    <n v="2"/>
    <n v="0.1235"/>
    <n v="4.9799999999999997E-2"/>
    <n v="5"/>
    <s v="No"/>
    <s v="Yes"/>
    <n v="0.8"/>
    <n v="1283.7215958904108"/>
    <n v="57.516271232876704"/>
    <n v="1226.205324657534"/>
    <n v="40"/>
    <x v="127"/>
    <n v="128"/>
  </r>
  <r>
    <s v="SUP064"/>
    <x v="28"/>
    <s v="Canada"/>
    <x v="4"/>
    <s v="Medium"/>
    <n v="1514188"/>
    <s v="INV01349"/>
    <n v="94420"/>
    <d v="2026-01-28T00:00:00"/>
    <n v="30"/>
    <n v="3"/>
    <n v="0.11600000000000001"/>
    <n v="5.0500000000000003E-2"/>
    <n v="8"/>
    <s v="No"/>
    <s v="Yes"/>
    <n v="0.8"/>
    <n v="900.22356164383564"/>
    <n v="104.50871232876713"/>
    <n v="795.71484931506848"/>
    <n v="22"/>
    <x v="128"/>
    <n v="129"/>
  </r>
  <r>
    <s v="SUP022"/>
    <x v="37"/>
    <s v="APAC"/>
    <x v="4"/>
    <s v="Medium"/>
    <n v="6024640"/>
    <s v="INV00030"/>
    <n v="67435"/>
    <d v="2025-09-17T00:00:00"/>
    <n v="90"/>
    <n v="10"/>
    <n v="0.13769999999999999"/>
    <n v="4.5999999999999999E-2"/>
    <n v="7"/>
    <s v="No"/>
    <s v="Yes"/>
    <n v="0.8"/>
    <n v="2289.6491917808216"/>
    <n v="59.490602739726029"/>
    <n v="2230.1585890410956"/>
    <n v="83"/>
    <x v="129"/>
    <n v="130"/>
  </r>
  <r>
    <s v="SUP001"/>
    <x v="20"/>
    <s v="Canada"/>
    <x v="0"/>
    <s v="Medium"/>
    <n v="1709806"/>
    <s v="INV01232"/>
    <n v="79045"/>
    <d v="2025-09-10T00:00:00"/>
    <n v="60"/>
    <n v="7"/>
    <n v="0.12709999999999999"/>
    <n v="4.9000000000000002E-2"/>
    <n v="8"/>
    <s v="No"/>
    <s v="Yes"/>
    <n v="0.8"/>
    <n v="1651.4990958904107"/>
    <n v="84.892164383561649"/>
    <n v="1566.6069315068489"/>
    <n v="52"/>
    <x v="130"/>
    <n v="131"/>
  </r>
  <r>
    <s v="SUP078"/>
    <x v="24"/>
    <s v="Mexico"/>
    <x v="4"/>
    <s v="Small"/>
    <n v="412494"/>
    <s v="INV00249"/>
    <n v="94251"/>
    <d v="2025-03-22T00:00:00"/>
    <n v="30"/>
    <n v="5"/>
    <n v="0.15989999999999999"/>
    <n v="5.5199999999999999E-2"/>
    <n v="5"/>
    <s v="No"/>
    <s v="Yes"/>
    <n v="0.5"/>
    <n v="1238.6905397260273"/>
    <n v="71.269249315068492"/>
    <n v="1167.4212904109588"/>
    <n v="25"/>
    <x v="131"/>
    <n v="132"/>
  </r>
  <r>
    <s v="SUP133"/>
    <x v="42"/>
    <s v="US"/>
    <x v="1"/>
    <s v="Medium"/>
    <n v="3384926"/>
    <s v="INV01054"/>
    <n v="107157"/>
    <d v="2025-09-14T00:00:00"/>
    <n v="90"/>
    <n v="5"/>
    <n v="0.1396"/>
    <n v="4.7600000000000003E-2"/>
    <n v="5"/>
    <s v="No"/>
    <s v="Yes"/>
    <n v="0.5"/>
    <n v="3688.5494465753422"/>
    <n v="69.87223561643836"/>
    <n v="3618.6772109589037"/>
    <n v="85"/>
    <x v="132"/>
    <n v="133"/>
  </r>
  <r>
    <s v="SUP006"/>
    <x v="4"/>
    <s v="Europe"/>
    <x v="3"/>
    <s v="Small"/>
    <n v="971327"/>
    <s v="INV00088"/>
    <n v="60096"/>
    <d v="2025-07-18T00:00:00"/>
    <n v="60"/>
    <n v="10"/>
    <n v="0.15229999999999999"/>
    <n v="5.0599999999999999E-2"/>
    <n v="5"/>
    <s v="Yes"/>
    <s v="Yes"/>
    <n v="0.8"/>
    <n v="1504.5404054794517"/>
    <n v="41.65558356164383"/>
    <n v="1462.8848219178078"/>
    <n v="55"/>
    <x v="133"/>
    <n v="134"/>
  </r>
  <r>
    <s v="SUP074"/>
    <x v="16"/>
    <s v="US"/>
    <x v="2"/>
    <s v="Small"/>
    <n v="1336236"/>
    <s v="INV00529"/>
    <n v="59214"/>
    <d v="2025-02-20T00:00:00"/>
    <n v="90"/>
    <n v="2"/>
    <n v="0.14249999999999999"/>
    <n v="5.0799999999999998E-2"/>
    <n v="8"/>
    <s v="Yes"/>
    <s v="Yes"/>
    <n v="0.9"/>
    <n v="2080.6015068493148"/>
    <n v="65.930327671232874"/>
    <n v="2014.671179178082"/>
    <n v="82"/>
    <x v="134"/>
    <n v="135"/>
  </r>
  <r>
    <s v="SUP018"/>
    <x v="14"/>
    <s v="APAC"/>
    <x v="4"/>
    <s v="Medium"/>
    <n v="6140796"/>
    <s v="INV01177"/>
    <n v="76740"/>
    <d v="2025-07-16T00:00:00"/>
    <n v="60"/>
    <n v="4"/>
    <n v="0.13300000000000001"/>
    <n v="5.3400000000000003E-2"/>
    <n v="5"/>
    <s v="No"/>
    <s v="Yes"/>
    <n v="0.8"/>
    <n v="1677.7676712328766"/>
    <n v="56.135835616438357"/>
    <n v="1621.6318356164384"/>
    <n v="55"/>
    <x v="135"/>
    <n v="136"/>
  </r>
  <r>
    <s v="SUP046"/>
    <x v="47"/>
    <s v="Mexico"/>
    <x v="1"/>
    <s v="Small"/>
    <n v="981924"/>
    <s v="INV00205"/>
    <n v="67885"/>
    <d v="2025-01-15T00:00:00"/>
    <n v="90"/>
    <n v="3"/>
    <n v="0.17169999999999999"/>
    <n v="6.0999999999999999E-2"/>
    <n v="6"/>
    <s v="Yes"/>
    <s v="Yes"/>
    <n v="0.65"/>
    <n v="2874.0463150684927"/>
    <n v="68.070986301369857"/>
    <n v="2805.9753287671228"/>
    <n v="84"/>
    <x v="136"/>
    <n v="137"/>
  </r>
  <r>
    <s v="SUP106"/>
    <x v="5"/>
    <s v="Canada"/>
    <x v="1"/>
    <s v="Small"/>
    <n v="1373788"/>
    <s v="INV01127"/>
    <n v="46449"/>
    <d v="2025-01-05T00:00:00"/>
    <n v="90"/>
    <n v="10"/>
    <n v="0.17660000000000001"/>
    <n v="4.5900000000000003E-2"/>
    <n v="5"/>
    <s v="No"/>
    <s v="Yes"/>
    <n v="0.8"/>
    <n v="2022.6312493150685"/>
    <n v="29.205604109589043"/>
    <n v="1993.4256452054794"/>
    <n v="85"/>
    <x v="137"/>
    <n v="138"/>
  </r>
  <r>
    <s v="SUP081"/>
    <x v="54"/>
    <s v="APAC"/>
    <x v="2"/>
    <s v="Large"/>
    <n v="20068674"/>
    <s v="INV01018"/>
    <n v="105555"/>
    <d v="2025-09-08T00:00:00"/>
    <n v="90"/>
    <n v="7"/>
    <n v="0.1062"/>
    <n v="4.87E-2"/>
    <n v="5"/>
    <s v="No"/>
    <s v="Yes"/>
    <n v="0.8"/>
    <n v="2764.0950410958903"/>
    <n v="70.418198630136985"/>
    <n v="2693.6768424657535"/>
    <n v="85"/>
    <x v="138"/>
    <n v="139"/>
  </r>
  <r>
    <s v="SUP022"/>
    <x v="37"/>
    <s v="APAC"/>
    <x v="4"/>
    <s v="Medium"/>
    <n v="6024640"/>
    <s v="INV01382"/>
    <n v="78448"/>
    <d v="2025-03-27T00:00:00"/>
    <n v="45"/>
    <n v="5"/>
    <n v="0.13769999999999999"/>
    <n v="6.0499999999999998E-2"/>
    <n v="10"/>
    <s v="No"/>
    <s v="Yes"/>
    <n v="0.8"/>
    <n v="1331.789128767123"/>
    <n v="130.03024657534246"/>
    <n v="1201.7588821917805"/>
    <n v="35"/>
    <x v="139"/>
    <n v="140"/>
  </r>
  <r>
    <s v="SUP022"/>
    <x v="37"/>
    <s v="APAC"/>
    <x v="4"/>
    <s v="Medium"/>
    <n v="6024640"/>
    <s v="INV00558"/>
    <n v="65759"/>
    <d v="2025-10-13T00:00:00"/>
    <n v="60"/>
    <n v="7"/>
    <n v="0.13769999999999999"/>
    <n v="5.7000000000000002E-2"/>
    <n v="6"/>
    <s v="No"/>
    <s v="Yes"/>
    <n v="0.9"/>
    <n v="1488.4955013698627"/>
    <n v="61.615282191780814"/>
    <n v="1426.8802191780819"/>
    <n v="54"/>
    <x v="140"/>
    <n v="141"/>
  </r>
  <r>
    <s v="SUP040"/>
    <x v="38"/>
    <s v="US"/>
    <x v="3"/>
    <s v="Small"/>
    <n v="1249897"/>
    <s v="INV00372"/>
    <n v="66099"/>
    <d v="2025-11-20T00:00:00"/>
    <n v="60"/>
    <n v="10"/>
    <n v="0.1452"/>
    <n v="5.5199999999999999E-2"/>
    <n v="10"/>
    <s v="No"/>
    <s v="Yes"/>
    <n v="0.8"/>
    <n v="1577.6835287671233"/>
    <n v="99.963419178082191"/>
    <n v="1477.7201095890412"/>
    <n v="50"/>
    <x v="141"/>
    <n v="142"/>
  </r>
  <r>
    <s v="SUP118"/>
    <x v="31"/>
    <s v="US"/>
    <x v="1"/>
    <s v="Small"/>
    <n v="735440"/>
    <s v="INV00808"/>
    <n v="63773"/>
    <d v="2025-04-07T00:00:00"/>
    <n v="60"/>
    <n v="2"/>
    <n v="0.13020000000000001"/>
    <n v="4.7500000000000001E-2"/>
    <n v="5"/>
    <s v="Yes"/>
    <s v="Yes"/>
    <n v="0.9"/>
    <n v="1364.9169205479452"/>
    <n v="41.496130136986302"/>
    <n v="1323.4207904109589"/>
    <n v="55"/>
    <x v="142"/>
    <n v="143"/>
  </r>
  <r>
    <s v="SUP111"/>
    <x v="23"/>
    <s v="US"/>
    <x v="0"/>
    <s v="Medium"/>
    <n v="3046555"/>
    <s v="INV00817"/>
    <n v="90918"/>
    <d v="2025-08-02T00:00:00"/>
    <n v="90"/>
    <n v="10"/>
    <n v="0.13830000000000001"/>
    <n v="5.8099999999999999E-2"/>
    <n v="6"/>
    <s v="No"/>
    <s v="Yes"/>
    <n v="0.65"/>
    <n v="3100.4283452054792"/>
    <n v="86.832917260273959"/>
    <n v="3013.5954279452053"/>
    <n v="84"/>
    <x v="143"/>
    <n v="144"/>
  </r>
  <r>
    <s v="SUP139"/>
    <x v="55"/>
    <s v="Canada"/>
    <x v="2"/>
    <s v="Large"/>
    <n v="13330124"/>
    <s v="INV00382"/>
    <n v="107015"/>
    <d v="2025-03-03T00:00:00"/>
    <n v="90"/>
    <n v="4"/>
    <n v="0.10920000000000001"/>
    <n v="5.3999999999999999E-2"/>
    <n v="5"/>
    <s v="Yes"/>
    <s v="Yes"/>
    <n v="0.8"/>
    <n v="2881.4888219178083"/>
    <n v="79.161780821917802"/>
    <n v="2802.3270410958903"/>
    <n v="85"/>
    <x v="144"/>
    <n v="145"/>
  </r>
  <r>
    <s v="SUP057"/>
    <x v="8"/>
    <s v="Mexico"/>
    <x v="1"/>
    <s v="Small"/>
    <n v="946643"/>
    <s v="INV01242"/>
    <n v="67057"/>
    <d v="2026-01-26T00:00:00"/>
    <n v="90"/>
    <n v="2"/>
    <n v="0.1648"/>
    <n v="5.7200000000000001E-2"/>
    <n v="5"/>
    <s v="Yes"/>
    <s v="Yes"/>
    <n v="0.65"/>
    <n v="2724.9025315068493"/>
    <n v="52.543293150684931"/>
    <n v="2672.3592383561645"/>
    <n v="85"/>
    <x v="145"/>
    <n v="146"/>
  </r>
  <r>
    <s v="SUP046"/>
    <x v="47"/>
    <s v="Mexico"/>
    <x v="1"/>
    <s v="Small"/>
    <n v="981924"/>
    <s v="INV00130"/>
    <n v="66773"/>
    <d v="2025-04-06T00:00:00"/>
    <n v="90"/>
    <n v="3"/>
    <n v="0.17169999999999999"/>
    <n v="6.3700000000000007E-2"/>
    <n v="5"/>
    <s v="No"/>
    <s v="Yes"/>
    <n v="0.65"/>
    <n v="2826.9675863013699"/>
    <n v="58.266302739726036"/>
    <n v="2768.7012835616438"/>
    <n v="85"/>
    <x v="146"/>
    <n v="147"/>
  </r>
  <r>
    <s v="SUP117"/>
    <x v="56"/>
    <s v="APAC"/>
    <x v="2"/>
    <s v="Small"/>
    <n v="407422"/>
    <s v="INV01147"/>
    <n v="97147"/>
    <d v="2025-09-15T00:00:00"/>
    <n v="30"/>
    <n v="5"/>
    <n v="0.121"/>
    <n v="4.7100000000000003E-2"/>
    <n v="10"/>
    <s v="No"/>
    <s v="Yes"/>
    <n v="0.65"/>
    <n v="966.14687671232878"/>
    <n v="125.35955342465753"/>
    <n v="840.78732328767126"/>
    <n v="20"/>
    <x v="147"/>
    <n v="148"/>
  </r>
  <r>
    <s v="SUP084"/>
    <x v="18"/>
    <s v="APAC"/>
    <x v="3"/>
    <s v="Small"/>
    <n v="1097913"/>
    <s v="INV00928"/>
    <n v="82056"/>
    <d v="2025-02-17T00:00:00"/>
    <n v="60"/>
    <n v="5"/>
    <n v="0.16070000000000001"/>
    <n v="4.7199999999999999E-2"/>
    <n v="10"/>
    <s v="No"/>
    <s v="Yes"/>
    <n v="0.5"/>
    <n v="2167.627265753425"/>
    <n v="106.11077260273973"/>
    <n v="2061.5164931506852"/>
    <n v="50"/>
    <x v="148"/>
    <n v="149"/>
  </r>
  <r>
    <s v="SUP077"/>
    <x v="27"/>
    <s v="Europe"/>
    <x v="1"/>
    <s v="Medium"/>
    <n v="3573998"/>
    <s v="INV01027"/>
    <n v="67750"/>
    <d v="2025-12-23T00:00:00"/>
    <n v="90"/>
    <n v="3"/>
    <n v="0.13200000000000001"/>
    <n v="5.57E-2"/>
    <n v="5"/>
    <s v="No"/>
    <s v="Yes"/>
    <n v="0.9"/>
    <n v="2205.1232876712329"/>
    <n v="51.694178082191783"/>
    <n v="2153.4291095890412"/>
    <n v="85"/>
    <x v="149"/>
    <n v="150"/>
  </r>
  <r>
    <s v="SUP012"/>
    <x v="34"/>
    <s v="Europe"/>
    <x v="4"/>
    <s v="Medium"/>
    <n v="1969242"/>
    <s v="INV00755"/>
    <n v="106926"/>
    <d v="2026-02-01T00:00:00"/>
    <n v="60"/>
    <n v="3"/>
    <n v="0.10150000000000001"/>
    <n v="4.7199999999999999E-2"/>
    <n v="10"/>
    <s v="No"/>
    <s v="Yes"/>
    <n v="0.8"/>
    <n v="1784.0529863013701"/>
    <n v="138.27143013698628"/>
    <n v="1645.7815561643838"/>
    <n v="50"/>
    <x v="150"/>
    <n v="151"/>
  </r>
  <r>
    <s v="SUP129"/>
    <x v="57"/>
    <s v="APAC"/>
    <x v="4"/>
    <s v="Medium"/>
    <n v="6051605"/>
    <s v="INV00551"/>
    <n v="83618"/>
    <d v="2025-04-14T00:00:00"/>
    <n v="45"/>
    <n v="5"/>
    <n v="0.11310000000000001"/>
    <n v="5.1499999999999997E-2"/>
    <n v="5"/>
    <s v="Yes"/>
    <s v="Yes"/>
    <n v="0.9"/>
    <n v="1165.9556465753426"/>
    <n v="58.990780821917795"/>
    <n v="1106.9648657534249"/>
    <n v="40"/>
    <x v="151"/>
    <n v="152"/>
  </r>
  <r>
    <s v="SUP029"/>
    <x v="34"/>
    <s v="US"/>
    <x v="3"/>
    <s v="Small"/>
    <n v="373467"/>
    <s v="INV01268"/>
    <n v="89101"/>
    <d v="2025-07-16T00:00:00"/>
    <n v="60"/>
    <n v="2"/>
    <n v="0.126"/>
    <n v="4.6199999999999998E-2"/>
    <n v="10"/>
    <s v="No"/>
    <s v="Yes"/>
    <n v="0.65"/>
    <n v="1845.489205479452"/>
    <n v="112.77989589041096"/>
    <n v="1732.7093095890411"/>
    <n v="50"/>
    <x v="152"/>
    <n v="153"/>
  </r>
  <r>
    <s v="SUP126"/>
    <x v="53"/>
    <s v="Europe"/>
    <x v="2"/>
    <s v="Medium"/>
    <n v="4193232"/>
    <s v="INV00220"/>
    <n v="92760"/>
    <d v="2025-10-03T00:00:00"/>
    <n v="45"/>
    <n v="3"/>
    <n v="0.1235"/>
    <n v="6.13E-2"/>
    <n v="5"/>
    <s v="No"/>
    <s v="Yes"/>
    <n v="0.8"/>
    <n v="1412.3663013698631"/>
    <n v="77.892986301369859"/>
    <n v="1334.4733150684933"/>
    <n v="40"/>
    <x v="153"/>
    <n v="154"/>
  </r>
  <r>
    <s v="SUP069"/>
    <x v="58"/>
    <s v="US"/>
    <x v="4"/>
    <s v="Medium"/>
    <n v="3292658"/>
    <s v="INV00054"/>
    <n v="80517"/>
    <d v="2025-11-03T00:00:00"/>
    <n v="60"/>
    <n v="4"/>
    <n v="0.11559999999999999"/>
    <n v="5.2499999999999998E-2"/>
    <n v="7"/>
    <s v="No"/>
    <s v="Yes"/>
    <n v="0.9"/>
    <n v="1530.0435945205479"/>
    <n v="81.068486301369859"/>
    <n v="1448.9751082191781"/>
    <n v="53"/>
    <x v="154"/>
    <n v="155"/>
  </r>
  <r>
    <s v="SUP093"/>
    <x v="48"/>
    <s v="APAC"/>
    <x v="0"/>
    <s v="Small"/>
    <n v="759292"/>
    <s v="INV01239"/>
    <n v="98364"/>
    <d v="2025-07-26T00:00:00"/>
    <n v="60"/>
    <n v="3"/>
    <n v="0.1171"/>
    <n v="5.8999999999999997E-2"/>
    <n v="10"/>
    <s v="No"/>
    <s v="Yes"/>
    <n v="0.8"/>
    <n v="1893.4396273972602"/>
    <n v="158.99934246575341"/>
    <n v="1734.4402849315068"/>
    <n v="50"/>
    <x v="155"/>
    <n v="156"/>
  </r>
  <r>
    <s v="SUP057"/>
    <x v="8"/>
    <s v="Mexico"/>
    <x v="1"/>
    <s v="Small"/>
    <n v="946643"/>
    <s v="INV00183"/>
    <n v="44302"/>
    <d v="2025-07-19T00:00:00"/>
    <n v="60"/>
    <n v="2"/>
    <n v="0.1648"/>
    <n v="5.04E-2"/>
    <n v="8"/>
    <s v="No"/>
    <s v="Yes"/>
    <n v="0.9"/>
    <n v="1200.1593863013698"/>
    <n v="48.938538082191783"/>
    <n v="1151.2208482191779"/>
    <n v="52"/>
    <x v="156"/>
    <n v="157"/>
  </r>
  <r>
    <s v="SUP107"/>
    <x v="59"/>
    <s v="APAC"/>
    <x v="4"/>
    <s v="Medium"/>
    <n v="3819447"/>
    <s v="INV01356"/>
    <n v="91348"/>
    <d v="2025-08-15T00:00:00"/>
    <n v="60"/>
    <n v="3"/>
    <n v="0.12620000000000001"/>
    <n v="6.3899999999999998E-2"/>
    <n v="7"/>
    <s v="No"/>
    <s v="Yes"/>
    <n v="0.8"/>
    <n v="1895.0330301369863"/>
    <n v="111.94509698630138"/>
    <n v="1783.0879331506849"/>
    <n v="53"/>
    <x v="157"/>
    <n v="158"/>
  </r>
  <r>
    <s v="SUP064"/>
    <x v="28"/>
    <s v="Canada"/>
    <x v="4"/>
    <s v="Medium"/>
    <n v="1514188"/>
    <s v="INV00182"/>
    <n v="84487"/>
    <d v="2025-06-01T00:00:00"/>
    <n v="90"/>
    <n v="5"/>
    <n v="0.11600000000000001"/>
    <n v="4.87E-2"/>
    <n v="10"/>
    <s v="No"/>
    <s v="Yes"/>
    <n v="0.8"/>
    <n v="2416.5596712328766"/>
    <n v="112.72649041095889"/>
    <n v="2303.8331808219177"/>
    <n v="80"/>
    <x v="158"/>
    <n v="159"/>
  </r>
  <r>
    <s v="SUP126"/>
    <x v="53"/>
    <s v="Europe"/>
    <x v="2"/>
    <s v="Medium"/>
    <n v="4193232"/>
    <s v="INV00571"/>
    <n v="92739"/>
    <d v="2026-02-13T00:00:00"/>
    <n v="90"/>
    <n v="3"/>
    <n v="0.1235"/>
    <n v="4.8899999999999999E-2"/>
    <n v="7"/>
    <s v="No"/>
    <s v="Yes"/>
    <n v="0.65"/>
    <n v="2824.093109589041"/>
    <n v="86.971396438356166"/>
    <n v="2737.1217131506846"/>
    <n v="83"/>
    <x v="159"/>
    <n v="160"/>
  </r>
  <r>
    <s v="SUP057"/>
    <x v="8"/>
    <s v="Mexico"/>
    <x v="1"/>
    <s v="Small"/>
    <n v="946643"/>
    <s v="INV00828"/>
    <n v="60815"/>
    <d v="2026-02-08T00:00:00"/>
    <n v="60"/>
    <n v="5"/>
    <n v="0.1648"/>
    <n v="5.2200000000000003E-2"/>
    <n v="6"/>
    <s v="Yes"/>
    <s v="Yes"/>
    <n v="0.65"/>
    <n v="1647.5033424657533"/>
    <n v="52.184268493150682"/>
    <n v="1595.3190739726026"/>
    <n v="54"/>
    <x v="160"/>
    <n v="161"/>
  </r>
  <r>
    <s v="SUP111"/>
    <x v="23"/>
    <s v="US"/>
    <x v="0"/>
    <s v="Medium"/>
    <n v="3046555"/>
    <s v="INV00301"/>
    <n v="89296"/>
    <d v="2025-10-21T00:00:00"/>
    <n v="45"/>
    <n v="2"/>
    <n v="0.13830000000000001"/>
    <n v="6.1800000000000001E-2"/>
    <n v="10"/>
    <s v="No"/>
    <s v="Yes"/>
    <n v="0.65"/>
    <n v="1522.5579616438356"/>
    <n v="151.19158356164382"/>
    <n v="1371.3663780821917"/>
    <n v="35"/>
    <x v="161"/>
    <n v="162"/>
  </r>
  <r>
    <s v="SUP140"/>
    <x v="30"/>
    <s v="Europe"/>
    <x v="1"/>
    <s v="Small"/>
    <n v="1241903"/>
    <s v="INV00187"/>
    <n v="85339"/>
    <d v="2025-06-04T00:00:00"/>
    <n v="90"/>
    <n v="3"/>
    <n v="0.15939999999999999"/>
    <n v="5.6399999999999999E-2"/>
    <n v="6"/>
    <s v="No"/>
    <s v="Yes"/>
    <n v="0.5"/>
    <n v="3354.1734082191779"/>
    <n v="79.119774246575332"/>
    <n v="3275.0536339726027"/>
    <n v="84"/>
    <x v="162"/>
    <n v="163"/>
  </r>
  <r>
    <s v="SUP054"/>
    <x v="4"/>
    <s v="Mexico"/>
    <x v="1"/>
    <s v="Small"/>
    <n v="896464"/>
    <s v="INV00556"/>
    <n v="94110"/>
    <d v="2025-09-12T00:00:00"/>
    <n v="45"/>
    <n v="3"/>
    <n v="0.13550000000000001"/>
    <n v="6.4199999999999993E-2"/>
    <n v="5"/>
    <s v="No"/>
    <s v="Yes"/>
    <n v="0.65"/>
    <n v="1572.1526712328766"/>
    <n v="82.765232876712318"/>
    <n v="1489.3874383561642"/>
    <n v="40"/>
    <x v="163"/>
    <n v="164"/>
  </r>
  <r>
    <s v="SUP140"/>
    <x v="30"/>
    <s v="Europe"/>
    <x v="1"/>
    <s v="Small"/>
    <n v="1241903"/>
    <s v="INV01050"/>
    <n v="68143"/>
    <d v="2025-03-24T00:00:00"/>
    <n v="90"/>
    <n v="7"/>
    <n v="0.15939999999999999"/>
    <n v="6.1199999999999997E-2"/>
    <n v="5"/>
    <s v="No"/>
    <s v="Yes"/>
    <n v="0.65"/>
    <n v="2678.2999397260269"/>
    <n v="57.128104109589039"/>
    <n v="2621.1718356164379"/>
    <n v="85"/>
    <x v="164"/>
    <n v="165"/>
  </r>
  <r>
    <s v="SUP064"/>
    <x v="28"/>
    <s v="Canada"/>
    <x v="4"/>
    <s v="Medium"/>
    <n v="1514188"/>
    <s v="INV01367"/>
    <n v="107545"/>
    <d v="2025-03-30T00:00:00"/>
    <n v="45"/>
    <n v="3"/>
    <n v="0.11600000000000001"/>
    <n v="5.3900000000000003E-2"/>
    <n v="7"/>
    <s v="No"/>
    <s v="Yes"/>
    <n v="0.65"/>
    <n v="1538.0408219178082"/>
    <n v="111.1691191780822"/>
    <n v="1426.8717027397261"/>
    <n v="38"/>
    <x v="165"/>
    <n v="166"/>
  </r>
  <r>
    <s v="SUP047"/>
    <x v="35"/>
    <s v="US"/>
    <x v="3"/>
    <s v="Medium"/>
    <n v="6056843"/>
    <s v="INV00036"/>
    <n v="86395"/>
    <d v="2025-12-05T00:00:00"/>
    <n v="60"/>
    <n v="2"/>
    <n v="0.12520000000000001"/>
    <n v="4.8099999999999997E-2"/>
    <n v="10"/>
    <s v="Yes"/>
    <s v="Yes"/>
    <n v="0.65"/>
    <n v="1778.0801095890411"/>
    <n v="113.85204109589039"/>
    <n v="1664.2280684931507"/>
    <n v="50"/>
    <x v="166"/>
    <n v="167"/>
  </r>
  <r>
    <s v="SUP104"/>
    <x v="33"/>
    <s v="Mexico"/>
    <x v="4"/>
    <s v="Small"/>
    <n v="1410716"/>
    <s v="INV01487"/>
    <n v="68904"/>
    <d v="2025-01-09T00:00:00"/>
    <n v="90"/>
    <n v="10"/>
    <n v="0.1472"/>
    <n v="5.0999999999999997E-2"/>
    <n v="5"/>
    <s v="No"/>
    <s v="Yes"/>
    <n v="0.65"/>
    <n v="2500.9320328767121"/>
    <n v="48.138410958904103"/>
    <n v="2452.7936219178082"/>
    <n v="85"/>
    <x v="167"/>
    <n v="168"/>
  </r>
  <r>
    <s v="SUP127"/>
    <x v="12"/>
    <s v="Europe"/>
    <x v="0"/>
    <s v="Small"/>
    <n v="1089809"/>
    <s v="INV00726"/>
    <n v="42522"/>
    <d v="2025-07-24T00:00:00"/>
    <n v="60"/>
    <n v="10"/>
    <n v="0.16689999999999999"/>
    <n v="5.5E-2"/>
    <n v="10"/>
    <s v="No"/>
    <s v="Yes"/>
    <n v="0.9"/>
    <n v="1166.6172821917808"/>
    <n v="64.074246575342457"/>
    <n v="1102.5430356164384"/>
    <n v="50"/>
    <x v="168"/>
    <n v="169"/>
  </r>
  <r>
    <s v="SUP111"/>
    <x v="23"/>
    <s v="US"/>
    <x v="0"/>
    <s v="Medium"/>
    <n v="3046555"/>
    <s v="INV00091"/>
    <n v="57537"/>
    <d v="2025-11-23T00:00:00"/>
    <n v="60"/>
    <n v="7"/>
    <n v="0.13830000000000001"/>
    <n v="5.5800000000000002E-2"/>
    <n v="7"/>
    <s v="No"/>
    <s v="Yes"/>
    <n v="0.9"/>
    <n v="1308.0603452054795"/>
    <n v="61.572471780821921"/>
    <n v="1246.4878734246577"/>
    <n v="53"/>
    <x v="169"/>
    <n v="170"/>
  </r>
  <r>
    <s v="SUP049"/>
    <x v="60"/>
    <s v="Mexico"/>
    <x v="1"/>
    <s v="Medium"/>
    <n v="2803992"/>
    <s v="INV00961"/>
    <n v="102092"/>
    <d v="2025-01-04T00:00:00"/>
    <n v="60"/>
    <n v="3"/>
    <n v="0.1036"/>
    <n v="5.7200000000000001E-2"/>
    <n v="8"/>
    <s v="No"/>
    <s v="Yes"/>
    <n v="0.9"/>
    <n v="1738.6407452054793"/>
    <n v="127.99260054794522"/>
    <n v="1610.6481446575342"/>
    <n v="52"/>
    <x v="170"/>
    <n v="171"/>
  </r>
  <r>
    <s v="SUP092"/>
    <x v="61"/>
    <s v="Europe"/>
    <x v="1"/>
    <s v="Small"/>
    <n v="303851"/>
    <s v="INV00916"/>
    <n v="68689"/>
    <d v="2025-11-27T00:00:00"/>
    <n v="60"/>
    <n v="5"/>
    <n v="0.17499999999999999"/>
    <n v="5.1299999999999998E-2"/>
    <n v="8"/>
    <s v="Yes"/>
    <s v="Yes"/>
    <n v="0.5"/>
    <n v="1975.9849315068491"/>
    <n v="77.232782465753431"/>
    <n v="1898.7521490410957"/>
    <n v="52"/>
    <x v="171"/>
    <n v="172"/>
  </r>
  <r>
    <s v="SUP003"/>
    <x v="16"/>
    <s v="APAC"/>
    <x v="2"/>
    <s v="Small"/>
    <n v="1309806"/>
    <s v="INV01022"/>
    <n v="51135"/>
    <d v="2026-02-05T00:00:00"/>
    <n v="60"/>
    <n v="7"/>
    <n v="0.15210000000000001"/>
    <n v="4.8399999999999999E-2"/>
    <n v="5"/>
    <s v="Yes"/>
    <s v="Yes"/>
    <n v="0.8"/>
    <n v="1278.515095890411"/>
    <n v="33.903205479452048"/>
    <n v="1244.6118904109589"/>
    <n v="55"/>
    <x v="172"/>
    <n v="173"/>
  </r>
  <r>
    <s v="SUP029"/>
    <x v="34"/>
    <s v="US"/>
    <x v="3"/>
    <s v="Small"/>
    <n v="373467"/>
    <s v="INV00471"/>
    <n v="81041"/>
    <d v="2025-08-28T00:00:00"/>
    <n v="60"/>
    <n v="2"/>
    <n v="0.126"/>
    <n v="4.5699999999999998E-2"/>
    <n v="7"/>
    <s v="No"/>
    <s v="Yes"/>
    <n v="0.65"/>
    <n v="1678.5478356164381"/>
    <n v="71.027440821917807"/>
    <n v="1607.5203947945204"/>
    <n v="53"/>
    <x v="173"/>
    <n v="174"/>
  </r>
  <r>
    <s v="SUP132"/>
    <x v="62"/>
    <s v="US"/>
    <x v="3"/>
    <s v="Large"/>
    <n v="15029491"/>
    <s v="INV01200"/>
    <n v="108191"/>
    <d v="2025-05-03T00:00:00"/>
    <n v="30"/>
    <n v="3"/>
    <n v="9.8400000000000001E-2"/>
    <n v="5.5100000000000003E-2"/>
    <n v="10"/>
    <s v="No"/>
    <s v="Yes"/>
    <n v="0.9"/>
    <n v="875.01323835616427"/>
    <n v="163.3239479452055"/>
    <n v="711.68929041095873"/>
    <n v="20"/>
    <x v="174"/>
    <n v="175"/>
  </r>
  <r>
    <s v="SUP066"/>
    <x v="46"/>
    <s v="APAC"/>
    <x v="1"/>
    <s v="Small"/>
    <n v="1106462"/>
    <s v="INV00043"/>
    <n v="93018"/>
    <d v="2025-10-29T00:00:00"/>
    <n v="60"/>
    <n v="10"/>
    <n v="0.1328"/>
    <n v="6.3399999999999998E-2"/>
    <n v="5"/>
    <s v="No"/>
    <s v="Yes"/>
    <n v="0.65"/>
    <n v="2030.5956821917807"/>
    <n v="80.785495890410957"/>
    <n v="1949.8101863013699"/>
    <n v="55"/>
    <x v="175"/>
    <n v="176"/>
  </r>
  <r>
    <s v="SUP150"/>
    <x v="25"/>
    <s v="Europe"/>
    <x v="4"/>
    <s v="Small"/>
    <n v="782629"/>
    <s v="INV00108"/>
    <n v="76866"/>
    <d v="2025-03-10T00:00:00"/>
    <n v="60"/>
    <n v="10"/>
    <n v="0.14219999999999999"/>
    <n v="5.8500000000000003E-2"/>
    <n v="7"/>
    <s v="No"/>
    <s v="Yes"/>
    <n v="0.65"/>
    <n v="1796.7690739726027"/>
    <n v="86.237334246575344"/>
    <n v="1710.5317397260274"/>
    <n v="53"/>
    <x v="176"/>
    <n v="177"/>
  </r>
  <r>
    <s v="SUP058"/>
    <x v="63"/>
    <s v="Canada"/>
    <x v="1"/>
    <s v="Medium"/>
    <n v="2406772"/>
    <s v="INV00493"/>
    <n v="85272"/>
    <d v="2025-08-28T00:00:00"/>
    <n v="45"/>
    <n v="10"/>
    <n v="0.1091"/>
    <n v="5.4800000000000001E-2"/>
    <n v="10"/>
    <s v="Yes"/>
    <s v="Yes"/>
    <n v="0.9"/>
    <n v="1146.966805479452"/>
    <n v="128.02481095890411"/>
    <n v="1018.9419945205478"/>
    <n v="35"/>
    <x v="177"/>
    <n v="178"/>
  </r>
  <r>
    <s v="SUP024"/>
    <x v="15"/>
    <s v="US"/>
    <x v="3"/>
    <s v="Small"/>
    <n v="1439833"/>
    <s v="INV00492"/>
    <n v="37292"/>
    <d v="2025-08-13T00:00:00"/>
    <n v="30"/>
    <n v="5"/>
    <n v="0.17630000000000001"/>
    <n v="5.2200000000000003E-2"/>
    <n v="6"/>
    <s v="No"/>
    <s v="Yes"/>
    <n v="0.9"/>
    <n v="540.37640547945205"/>
    <n v="31.999601095890412"/>
    <n v="508.37680438356165"/>
    <n v="24"/>
    <x v="178"/>
    <n v="179"/>
  </r>
  <r>
    <s v="SUP091"/>
    <x v="64"/>
    <s v="Canada"/>
    <x v="4"/>
    <s v="Medium"/>
    <n v="3649528"/>
    <s v="INV00453"/>
    <n v="64150"/>
    <d v="2025-01-17T00:00:00"/>
    <n v="45"/>
    <n v="7"/>
    <n v="0.1283"/>
    <n v="4.7600000000000003E-2"/>
    <n v="10"/>
    <s v="No"/>
    <s v="Yes"/>
    <n v="0.8"/>
    <n v="1014.7123972602739"/>
    <n v="83.658630136986304"/>
    <n v="931.05376712328757"/>
    <n v="35"/>
    <x v="179"/>
    <n v="180"/>
  </r>
  <r>
    <s v="SUP024"/>
    <x v="15"/>
    <s v="US"/>
    <x v="3"/>
    <s v="Small"/>
    <n v="1439833"/>
    <s v="INV00305"/>
    <n v="45801"/>
    <d v="2025-06-16T00:00:00"/>
    <n v="60"/>
    <n v="10"/>
    <n v="0.17630000000000001"/>
    <n v="6.3299999999999995E-2"/>
    <n v="5"/>
    <s v="Yes"/>
    <s v="Yes"/>
    <n v="0.8"/>
    <n v="1327.3506246575344"/>
    <n v="39.715113698630127"/>
    <n v="1287.6355109589042"/>
    <n v="55"/>
    <x v="180"/>
    <n v="181"/>
  </r>
  <r>
    <s v="SUP004"/>
    <x v="29"/>
    <s v="Europe"/>
    <x v="4"/>
    <s v="Small"/>
    <n v="1485779"/>
    <s v="INV00864"/>
    <n v="65411"/>
    <d v="2025-11-30T00:00:00"/>
    <n v="60"/>
    <n v="2"/>
    <n v="0.1295"/>
    <n v="5.04E-2"/>
    <n v="10"/>
    <s v="No"/>
    <s v="Yes"/>
    <n v="0.8"/>
    <n v="1392.4478630136987"/>
    <n v="90.320942465753419"/>
    <n v="1302.1269205479452"/>
    <n v="50"/>
    <x v="181"/>
    <n v="182"/>
  </r>
  <r>
    <s v="SUP111"/>
    <x v="23"/>
    <s v="US"/>
    <x v="0"/>
    <s v="Medium"/>
    <n v="3046555"/>
    <s v="INV00742"/>
    <n v="92586"/>
    <d v="2025-05-16T00:00:00"/>
    <n v="45"/>
    <n v="5"/>
    <n v="0.13830000000000001"/>
    <n v="4.9000000000000002E-2"/>
    <n v="5"/>
    <s v="No"/>
    <s v="Yes"/>
    <n v="0.5"/>
    <n v="1578.654715068493"/>
    <n v="62.146767123287667"/>
    <n v="1516.5079479452054"/>
    <n v="40"/>
    <x v="182"/>
    <n v="183"/>
  </r>
  <r>
    <s v="SUP091"/>
    <x v="64"/>
    <s v="Canada"/>
    <x v="4"/>
    <s v="Medium"/>
    <n v="3649528"/>
    <s v="INV00159"/>
    <n v="70954"/>
    <d v="2025-11-05T00:00:00"/>
    <n v="60"/>
    <n v="2"/>
    <n v="0.1283"/>
    <n v="5.57E-2"/>
    <n v="6"/>
    <s v="Yes"/>
    <s v="Yes"/>
    <n v="0.8"/>
    <n v="1496.4490191780822"/>
    <n v="64.966648767123274"/>
    <n v="1431.482370410959"/>
    <n v="54"/>
    <x v="183"/>
    <n v="184"/>
  </r>
  <r>
    <s v="SUP139"/>
    <x v="55"/>
    <s v="Canada"/>
    <x v="2"/>
    <s v="Large"/>
    <n v="13330124"/>
    <s v="INV00693"/>
    <n v="79081"/>
    <d v="2025-07-04T00:00:00"/>
    <n v="60"/>
    <n v="5"/>
    <n v="0.10920000000000001"/>
    <n v="5.1400000000000001E-2"/>
    <n v="10"/>
    <s v="No"/>
    <s v="Yes"/>
    <n v="0.9"/>
    <n v="1419.5581150684932"/>
    <n v="111.36338082191781"/>
    <n v="1308.1947342465753"/>
    <n v="50"/>
    <x v="184"/>
    <n v="185"/>
  </r>
  <r>
    <s v="SUP111"/>
    <x v="23"/>
    <s v="US"/>
    <x v="0"/>
    <s v="Medium"/>
    <n v="3046555"/>
    <s v="INV00611"/>
    <n v="99650"/>
    <d v="2025-10-01T00:00:00"/>
    <n v="30"/>
    <n v="10"/>
    <n v="0.13830000000000001"/>
    <n v="5.5800000000000002E-2"/>
    <n v="10"/>
    <s v="No"/>
    <s v="Yes"/>
    <n v="0.5"/>
    <n v="1132.7338356164385"/>
    <n v="152.34164383561642"/>
    <n v="980.39219178082203"/>
    <n v="20"/>
    <x v="185"/>
    <n v="186"/>
  </r>
  <r>
    <s v="SUP026"/>
    <x v="16"/>
    <s v="Mexico"/>
    <x v="2"/>
    <s v="Large"/>
    <n v="21198154"/>
    <s v="INV01333"/>
    <n v="73787"/>
    <d v="2025-10-01T00:00:00"/>
    <n v="60"/>
    <n v="5"/>
    <n v="0.1086"/>
    <n v="4.6899999999999997E-2"/>
    <n v="8"/>
    <s v="No"/>
    <s v="Yes"/>
    <n v="0.9"/>
    <n v="1317.2495671232878"/>
    <n v="75.84899287671233"/>
    <n v="1241.4005742465754"/>
    <n v="52"/>
    <x v="186"/>
    <n v="187"/>
  </r>
  <r>
    <s v="SUP052"/>
    <x v="12"/>
    <s v="US"/>
    <x v="0"/>
    <s v="Medium"/>
    <n v="6127831"/>
    <s v="INV01265"/>
    <n v="103458"/>
    <d v="2025-02-10T00:00:00"/>
    <n v="60"/>
    <n v="2"/>
    <n v="0.12529999999999999"/>
    <n v="4.6100000000000002E-2"/>
    <n v="8"/>
    <s v="No"/>
    <s v="Yes"/>
    <n v="0.5"/>
    <n v="2130.9513534246571"/>
    <n v="104.53509698630138"/>
    <n v="2026.4162564383557"/>
    <n v="52"/>
    <x v="187"/>
    <n v="188"/>
  </r>
  <r>
    <s v="SUP004"/>
    <x v="29"/>
    <s v="Europe"/>
    <x v="4"/>
    <s v="Small"/>
    <n v="1485779"/>
    <s v="INV00772"/>
    <n v="64564"/>
    <d v="2025-03-02T00:00:00"/>
    <n v="60"/>
    <n v="7"/>
    <n v="0.1295"/>
    <n v="5.0200000000000002E-2"/>
    <n v="5"/>
    <s v="No"/>
    <s v="Yes"/>
    <n v="0.8"/>
    <n v="1374.4172054794522"/>
    <n v="44.398805479452051"/>
    <n v="1330.0184000000002"/>
    <n v="55"/>
    <x v="188"/>
    <n v="189"/>
  </r>
  <r>
    <s v="SUP135"/>
    <x v="50"/>
    <s v="Canada"/>
    <x v="0"/>
    <s v="Small"/>
    <n v="1406086"/>
    <s v="INV00225"/>
    <n v="71597"/>
    <d v="2025-12-24T00:00:00"/>
    <n v="90"/>
    <n v="4"/>
    <n v="0.1201"/>
    <n v="5.6599999999999998E-2"/>
    <n v="5"/>
    <s v="No"/>
    <s v="Yes"/>
    <n v="0.9"/>
    <n v="2120.2519808219176"/>
    <n v="55.512194520547936"/>
    <n v="2064.7397863013698"/>
    <n v="85"/>
    <x v="189"/>
    <n v="190"/>
  </r>
  <r>
    <s v="SUP036"/>
    <x v="21"/>
    <s v="Europe"/>
    <x v="0"/>
    <s v="Medium"/>
    <n v="3293043"/>
    <s v="INV01377"/>
    <n v="79768"/>
    <d v="2025-12-04T00:00:00"/>
    <n v="60"/>
    <n v="3"/>
    <n v="0.13320000000000001"/>
    <n v="5.45E-2"/>
    <n v="8"/>
    <s v="No"/>
    <s v="Yes"/>
    <n v="0.65"/>
    <n v="1746.59138630137"/>
    <n v="95.28451506849315"/>
    <n v="1651.3068712328768"/>
    <n v="52"/>
    <x v="190"/>
    <n v="191"/>
  </r>
  <r>
    <s v="SUP026"/>
    <x v="16"/>
    <s v="Mexico"/>
    <x v="2"/>
    <s v="Large"/>
    <n v="21198154"/>
    <s v="INV01148"/>
    <n v="88183"/>
    <d v="2025-07-15T00:00:00"/>
    <n v="60"/>
    <n v="10"/>
    <n v="0.1086"/>
    <n v="5.0799999999999998E-2"/>
    <n v="8"/>
    <s v="Yes"/>
    <s v="Yes"/>
    <n v="0.8"/>
    <n v="1574.2477479452054"/>
    <n v="98.185126575342466"/>
    <n v="1476.0626213698629"/>
    <n v="52"/>
    <x v="191"/>
    <n v="192"/>
  </r>
  <r>
    <s v="SUP147"/>
    <x v="51"/>
    <s v="Canada"/>
    <x v="1"/>
    <s v="Small"/>
    <n v="367690"/>
    <s v="INV00548"/>
    <n v="108360"/>
    <d v="2026-02-01T00:00:00"/>
    <n v="30"/>
    <n v="5"/>
    <n v="0.1305"/>
    <n v="5.5300000000000002E-2"/>
    <n v="5"/>
    <s v="Yes"/>
    <s v="Yes"/>
    <n v="0.5"/>
    <n v="1162.2723287671233"/>
    <n v="82.086410958904111"/>
    <n v="1080.1859178082193"/>
    <n v="25"/>
    <x v="192"/>
    <n v="193"/>
  </r>
  <r>
    <s v="SUP104"/>
    <x v="33"/>
    <s v="Mexico"/>
    <x v="4"/>
    <s v="Small"/>
    <n v="1410716"/>
    <s v="INV00213"/>
    <n v="75518"/>
    <d v="2025-08-01T00:00:00"/>
    <n v="45"/>
    <n v="5"/>
    <n v="0.1472"/>
    <n v="6.4299999999999996E-2"/>
    <n v="10"/>
    <s v="No"/>
    <s v="Yes"/>
    <n v="0.65"/>
    <n v="1370.4965260273971"/>
    <n v="133.03581917808216"/>
    <n v="1237.4607068493149"/>
    <n v="35"/>
    <x v="193"/>
    <n v="194"/>
  </r>
  <r>
    <s v="SUP005"/>
    <x v="13"/>
    <s v="US"/>
    <x v="2"/>
    <s v="Small"/>
    <n v="701545"/>
    <s v="INV01100"/>
    <n v="40748"/>
    <d v="2025-08-31T00:00:00"/>
    <n v="60"/>
    <n v="3"/>
    <n v="0.17699999999999999"/>
    <n v="5.2200000000000003E-2"/>
    <n v="6"/>
    <s v="No"/>
    <s v="Yes"/>
    <n v="0.8"/>
    <n v="1185.5993424657534"/>
    <n v="34.965133150684927"/>
    <n v="1150.6342093150683"/>
    <n v="54"/>
    <x v="194"/>
    <n v="195"/>
  </r>
  <r>
    <s v="SUP037"/>
    <x v="65"/>
    <s v="Mexico"/>
    <x v="2"/>
    <s v="Large"/>
    <n v="15898738"/>
    <s v="INV00807"/>
    <n v="90890"/>
    <d v="2025-12-12T00:00:00"/>
    <n v="60"/>
    <n v="4"/>
    <n v="0.1071"/>
    <n v="5.74E-2"/>
    <n v="10"/>
    <s v="No"/>
    <s v="Yes"/>
    <n v="0.9"/>
    <n v="1600.1620273972601"/>
    <n v="142.93386301369864"/>
    <n v="1457.2281643835615"/>
    <n v="50"/>
    <x v="195"/>
    <n v="196"/>
  </r>
  <r>
    <s v="SUP122"/>
    <x v="66"/>
    <s v="Europe"/>
    <x v="4"/>
    <s v="Medium"/>
    <n v="5642255"/>
    <s v="INV00965"/>
    <n v="95309"/>
    <d v="2025-08-05T00:00:00"/>
    <n v="45"/>
    <n v="5"/>
    <n v="0.1119"/>
    <n v="4.6600000000000003E-2"/>
    <n v="7"/>
    <s v="No"/>
    <s v="Yes"/>
    <n v="0.65"/>
    <n v="1314.8725191780823"/>
    <n v="85.177522739726029"/>
    <n v="1229.6949964383562"/>
    <n v="38"/>
    <x v="196"/>
    <n v="197"/>
  </r>
  <r>
    <s v="SUP018"/>
    <x v="14"/>
    <s v="APAC"/>
    <x v="4"/>
    <s v="Medium"/>
    <n v="6140796"/>
    <s v="INV00310"/>
    <n v="102507"/>
    <d v="2025-06-09T00:00:00"/>
    <n v="45"/>
    <n v="10"/>
    <n v="0.13300000000000001"/>
    <n v="5.45E-2"/>
    <n v="7"/>
    <s v="No"/>
    <s v="Yes"/>
    <n v="0.5"/>
    <n v="1680.8339589041095"/>
    <n v="107.14087808219179"/>
    <n v="1573.6930808219176"/>
    <n v="38"/>
    <x v="197"/>
    <n v="198"/>
  </r>
  <r>
    <s v="SUP054"/>
    <x v="4"/>
    <s v="Mexico"/>
    <x v="1"/>
    <s v="Small"/>
    <n v="896464"/>
    <s v="INV01302"/>
    <n v="76656"/>
    <d v="2025-05-27T00:00:00"/>
    <n v="60"/>
    <n v="7"/>
    <n v="0.13550000000000001"/>
    <n v="5.5399999999999998E-2"/>
    <n v="10"/>
    <s v="No"/>
    <s v="Yes"/>
    <n v="0.65"/>
    <n v="1707.4336438356165"/>
    <n v="116.34910684931506"/>
    <n v="1591.0845369863014"/>
    <n v="50"/>
    <x v="198"/>
    <n v="199"/>
  </r>
  <r>
    <s v="SUP097"/>
    <x v="67"/>
    <s v="APAC"/>
    <x v="4"/>
    <s v="Medium"/>
    <n v="6014522"/>
    <s v="INV00057"/>
    <n v="97990"/>
    <d v="2026-02-21T00:00:00"/>
    <n v="60"/>
    <n v="5"/>
    <n v="0.12870000000000001"/>
    <n v="4.7600000000000003E-2"/>
    <n v="5"/>
    <s v="No"/>
    <s v="Yes"/>
    <n v="0.5"/>
    <n v="2073.0925479452053"/>
    <n v="63.894849315068498"/>
    <n v="2009.1976986301368"/>
    <n v="55"/>
    <x v="199"/>
    <n v="200"/>
  </r>
  <r>
    <s v="SUP044"/>
    <x v="9"/>
    <s v="US"/>
    <x v="2"/>
    <s v="Small"/>
    <n v="879139"/>
    <s v="INV01234"/>
    <n v="49148"/>
    <d v="2025-11-14T00:00:00"/>
    <n v="60"/>
    <n v="7"/>
    <n v="0.14199999999999999"/>
    <n v="5.28E-2"/>
    <n v="10"/>
    <s v="No"/>
    <s v="Yes"/>
    <n v="0.9"/>
    <n v="1147.235506849315"/>
    <n v="71.096284931506844"/>
    <n v="1076.1392219178081"/>
    <n v="50"/>
    <x v="200"/>
    <n v="201"/>
  </r>
  <r>
    <s v="SUP010"/>
    <x v="10"/>
    <s v="APAC"/>
    <x v="1"/>
    <s v="Small"/>
    <n v="809893"/>
    <s v="INV01374"/>
    <n v="57725"/>
    <d v="2025-03-21T00:00:00"/>
    <n v="60"/>
    <n v="7"/>
    <n v="0.15909999999999999"/>
    <n v="5.3999999999999999E-2"/>
    <n v="6"/>
    <s v="Yes"/>
    <s v="Yes"/>
    <n v="0.65"/>
    <n v="1509.7064383561642"/>
    <n v="51.240821917808219"/>
    <n v="1458.4656164383559"/>
    <n v="54"/>
    <x v="201"/>
    <n v="202"/>
  </r>
  <r>
    <s v="SUP093"/>
    <x v="48"/>
    <s v="APAC"/>
    <x v="0"/>
    <s v="Small"/>
    <n v="759292"/>
    <s v="INV01040"/>
    <n v="78674"/>
    <d v="2025-12-24T00:00:00"/>
    <n v="90"/>
    <n v="3"/>
    <n v="0.1171"/>
    <n v="5.4600000000000003E-2"/>
    <n v="10"/>
    <s v="No"/>
    <s v="Yes"/>
    <n v="0.8"/>
    <n v="2271.6309205479447"/>
    <n v="117.68768219178082"/>
    <n v="2153.9432383561639"/>
    <n v="80"/>
    <x v="202"/>
    <n v="203"/>
  </r>
  <r>
    <s v="SUP010"/>
    <x v="10"/>
    <s v="APAC"/>
    <x v="1"/>
    <s v="Small"/>
    <n v="809893"/>
    <s v="INV00513"/>
    <n v="40499"/>
    <d v="2025-12-26T00:00:00"/>
    <n v="60"/>
    <n v="10"/>
    <n v="0.15909999999999999"/>
    <n v="5.1499999999999997E-2"/>
    <n v="8"/>
    <s v="Yes"/>
    <s v="Yes"/>
    <n v="0.9"/>
    <n v="1059.1875452054794"/>
    <n v="45.713939726027398"/>
    <n v="1013.473605479452"/>
    <n v="52"/>
    <x v="203"/>
    <n v="204"/>
  </r>
  <r>
    <s v="SUP131"/>
    <x v="68"/>
    <s v="US"/>
    <x v="0"/>
    <s v="Medium"/>
    <n v="3916164"/>
    <s v="INV01449"/>
    <n v="90419"/>
    <d v="2026-02-03T00:00:00"/>
    <n v="60"/>
    <n v="7"/>
    <n v="0.1119"/>
    <n v="4.5199999999999997E-2"/>
    <n v="8"/>
    <s v="No"/>
    <s v="Yes"/>
    <n v="0.65"/>
    <n v="1663.2141534246573"/>
    <n v="89.576740821917809"/>
    <n v="1573.6374126027395"/>
    <n v="52"/>
    <x v="204"/>
    <n v="205"/>
  </r>
  <r>
    <s v="SUP055"/>
    <x v="69"/>
    <s v="APAC"/>
    <x v="1"/>
    <s v="Medium"/>
    <n v="2362296"/>
    <s v="INV01473"/>
    <n v="95148"/>
    <d v="2025-02-14T00:00:00"/>
    <n v="30"/>
    <n v="2"/>
    <n v="0.1077"/>
    <n v="5.6300000000000003E-2"/>
    <n v="10"/>
    <s v="No"/>
    <s v="Yes"/>
    <n v="0.8"/>
    <n v="842.25530958904108"/>
    <n v="146.76253150684931"/>
    <n v="695.49277808219176"/>
    <n v="20"/>
    <x v="205"/>
    <n v="206"/>
  </r>
  <r>
    <s v="SUP008"/>
    <x v="48"/>
    <s v="US"/>
    <x v="1"/>
    <s v="Medium"/>
    <n v="1884403"/>
    <s v="INV00259"/>
    <n v="76491"/>
    <d v="2025-07-31T00:00:00"/>
    <n v="90"/>
    <n v="3"/>
    <n v="0.1231"/>
    <n v="5.9200000000000003E-2"/>
    <n v="5"/>
    <s v="Yes"/>
    <s v="Yes"/>
    <n v="0.8"/>
    <n v="2321.763805479452"/>
    <n v="62.031057534246578"/>
    <n v="2259.7327479452056"/>
    <n v="85"/>
    <x v="206"/>
    <n v="207"/>
  </r>
  <r>
    <s v="SUP013"/>
    <x v="7"/>
    <s v="Europe"/>
    <x v="2"/>
    <s v="Small"/>
    <n v="1439462"/>
    <s v="INV00871"/>
    <n v="95252"/>
    <d v="2025-08-24T00:00:00"/>
    <n v="45"/>
    <n v="10"/>
    <n v="0.17130000000000001"/>
    <n v="5.4100000000000002E-2"/>
    <n v="6"/>
    <s v="No"/>
    <s v="Yes"/>
    <n v="0.35"/>
    <n v="2011.6439506849315"/>
    <n v="84.70903890410959"/>
    <n v="1926.9349117808219"/>
    <n v="39"/>
    <x v="207"/>
    <n v="208"/>
  </r>
  <r>
    <s v="SUP017"/>
    <x v="70"/>
    <s v="APAC"/>
    <x v="2"/>
    <s v="Medium"/>
    <n v="5041335"/>
    <s v="INV01261"/>
    <n v="106349"/>
    <d v="2025-06-29T00:00:00"/>
    <n v="45"/>
    <n v="2"/>
    <n v="0.1198"/>
    <n v="4.65E-2"/>
    <n v="6"/>
    <s v="No"/>
    <s v="Yes"/>
    <n v="0.5"/>
    <n v="1570.7601616438355"/>
    <n v="81.291427397260264"/>
    <n v="1489.4687342465752"/>
    <n v="39"/>
    <x v="208"/>
    <n v="209"/>
  </r>
  <r>
    <s v="SUP086"/>
    <x v="45"/>
    <s v="Mexico"/>
    <x v="1"/>
    <s v="Small"/>
    <n v="1218251"/>
    <s v="INV00076"/>
    <n v="109952"/>
    <d v="2025-03-10T00:00:00"/>
    <n v="30"/>
    <n v="2"/>
    <n v="0.1227"/>
    <n v="5.1900000000000002E-2"/>
    <n v="5"/>
    <s v="No"/>
    <s v="Yes"/>
    <n v="0.5"/>
    <n v="1108.8583890410957"/>
    <n v="78.171353424657539"/>
    <n v="1030.6870356164382"/>
    <n v="25"/>
    <x v="209"/>
    <n v="210"/>
  </r>
  <r>
    <s v="SUP006"/>
    <x v="4"/>
    <s v="Europe"/>
    <x v="3"/>
    <s v="Small"/>
    <n v="971327"/>
    <s v="INV00234"/>
    <n v="51223"/>
    <d v="2025-11-29T00:00:00"/>
    <n v="45"/>
    <n v="3"/>
    <n v="0.15229999999999999"/>
    <n v="5.7799999999999997E-2"/>
    <n v="6"/>
    <s v="Yes"/>
    <s v="Yes"/>
    <n v="0.8"/>
    <n v="961.79953561643822"/>
    <n v="48.668866849315059"/>
    <n v="913.13066876712321"/>
    <n v="39"/>
    <x v="210"/>
    <n v="211"/>
  </r>
  <r>
    <s v="SUP137"/>
    <x v="2"/>
    <s v="Canada"/>
    <x v="2"/>
    <s v="Small"/>
    <n v="876116"/>
    <s v="INV01211"/>
    <n v="52543"/>
    <d v="2025-10-18T00:00:00"/>
    <n v="45"/>
    <n v="7"/>
    <n v="0.1686"/>
    <n v="5.5399999999999998E-2"/>
    <n v="7"/>
    <s v="No"/>
    <s v="Yes"/>
    <n v="0.65"/>
    <n v="1092.1746328767122"/>
    <n v="55.825138082191785"/>
    <n v="1036.3494947945203"/>
    <n v="38"/>
    <x v="211"/>
    <n v="212"/>
  </r>
  <r>
    <s v="SUP124"/>
    <x v="43"/>
    <s v="Mexico"/>
    <x v="1"/>
    <s v="Small"/>
    <n v="617401"/>
    <s v="INV01303"/>
    <n v="54310"/>
    <d v="2025-04-18T00:00:00"/>
    <n v="60"/>
    <n v="3"/>
    <n v="0.1429"/>
    <n v="6.4100000000000004E-2"/>
    <n v="5"/>
    <s v="No"/>
    <s v="Yes"/>
    <n v="0.9"/>
    <n v="1275.7642191780822"/>
    <n v="47.688643835616439"/>
    <n v="1228.0755753424658"/>
    <n v="55"/>
    <x v="212"/>
    <n v="213"/>
  </r>
  <r>
    <s v="SUP078"/>
    <x v="24"/>
    <s v="Mexico"/>
    <x v="4"/>
    <s v="Small"/>
    <n v="412494"/>
    <s v="INV00404"/>
    <n v="75682"/>
    <d v="2025-08-08T00:00:00"/>
    <n v="60"/>
    <n v="7"/>
    <n v="0.15989999999999999"/>
    <n v="5.8200000000000002E-2"/>
    <n v="10"/>
    <s v="Yes"/>
    <s v="Yes"/>
    <n v="0.5"/>
    <n v="1989.2961863013697"/>
    <n v="120.67650410958903"/>
    <n v="1868.6196821917806"/>
    <n v="50"/>
    <x v="213"/>
    <n v="214"/>
  </r>
  <r>
    <s v="SUP048"/>
    <x v="6"/>
    <s v="US"/>
    <x v="0"/>
    <s v="Small"/>
    <n v="467236"/>
    <s v="INV00744"/>
    <n v="87784"/>
    <d v="2025-06-27T00:00:00"/>
    <n v="30"/>
    <n v="4"/>
    <n v="0.1757"/>
    <n v="5.0500000000000003E-2"/>
    <n v="10"/>
    <s v="No"/>
    <s v="Yes"/>
    <n v="0.35"/>
    <n v="1267.6971616438354"/>
    <n v="121.45457534246576"/>
    <n v="1146.2425863013698"/>
    <n v="20"/>
    <x v="214"/>
    <n v="215"/>
  </r>
  <r>
    <s v="SUP147"/>
    <x v="51"/>
    <s v="Canada"/>
    <x v="1"/>
    <s v="Small"/>
    <n v="367690"/>
    <s v="INV01205"/>
    <n v="108493"/>
    <d v="2025-08-23T00:00:00"/>
    <n v="60"/>
    <n v="5"/>
    <n v="0.1305"/>
    <n v="5.9700000000000003E-2"/>
    <n v="10"/>
    <s v="No"/>
    <s v="Yes"/>
    <n v="0.5"/>
    <n v="2327.3977808219179"/>
    <n v="177.45293424657535"/>
    <n v="2149.9448465753426"/>
    <n v="50"/>
    <x v="215"/>
    <n v="216"/>
  </r>
  <r>
    <s v="SUP115"/>
    <x v="0"/>
    <s v="APAC"/>
    <x v="0"/>
    <s v="Small"/>
    <n v="1484226"/>
    <s v="INV00192"/>
    <n v="64198"/>
    <d v="2025-07-12T00:00:00"/>
    <n v="90"/>
    <n v="4"/>
    <n v="0.17929999999999999"/>
    <n v="5.9700000000000003E-2"/>
    <n v="8"/>
    <s v="No"/>
    <s v="Yes"/>
    <n v="0.5"/>
    <n v="2838.2551397260272"/>
    <n v="84.002643287671233"/>
    <n v="2754.252496438356"/>
    <n v="82"/>
    <x v="216"/>
    <n v="217"/>
  </r>
  <r>
    <s v="SUP066"/>
    <x v="46"/>
    <s v="APAC"/>
    <x v="1"/>
    <s v="Small"/>
    <n v="1106462"/>
    <s v="INV00079"/>
    <n v="53365"/>
    <d v="2025-04-08T00:00:00"/>
    <n v="90"/>
    <n v="7"/>
    <n v="0.1328"/>
    <n v="5.2999999999999999E-2"/>
    <n v="10"/>
    <s v="No"/>
    <s v="Yes"/>
    <n v="0.9"/>
    <n v="1747.447890410959"/>
    <n v="77.488904109589029"/>
    <n v="1669.95898630137"/>
    <n v="80"/>
    <x v="217"/>
    <n v="218"/>
  </r>
  <r>
    <s v="SUP140"/>
    <x v="30"/>
    <s v="Europe"/>
    <x v="1"/>
    <s v="Small"/>
    <n v="1241903"/>
    <s v="INV00973"/>
    <n v="44347"/>
    <d v="2025-12-07T00:00:00"/>
    <n v="45"/>
    <n v="2"/>
    <n v="0.15939999999999999"/>
    <n v="6.3399999999999998E-2"/>
    <n v="7"/>
    <s v="No"/>
    <s v="Yes"/>
    <n v="0.9"/>
    <n v="871.50967397260251"/>
    <n v="53.921092054794521"/>
    <n v="817.58858191780803"/>
    <n v="38"/>
    <x v="218"/>
    <n v="219"/>
  </r>
  <r>
    <s v="SUP035"/>
    <x v="3"/>
    <s v="Canada"/>
    <x v="2"/>
    <s v="Small"/>
    <n v="1383695"/>
    <s v="INV00027"/>
    <n v="66239"/>
    <d v="2025-07-11T00:00:00"/>
    <n v="60"/>
    <n v="5"/>
    <n v="0.16850000000000001"/>
    <n v="5.2999999999999999E-2"/>
    <n v="5"/>
    <s v="No"/>
    <s v="Yes"/>
    <n v="0.5"/>
    <n v="1834.7295616438357"/>
    <n v="48.091328767123287"/>
    <n v="1786.6382328767124"/>
    <n v="55"/>
    <x v="219"/>
    <n v="220"/>
  </r>
  <r>
    <s v="SUP087"/>
    <x v="39"/>
    <s v="Europe"/>
    <x v="4"/>
    <s v="Medium"/>
    <n v="4331160"/>
    <s v="INV00318"/>
    <n v="62667"/>
    <d v="2025-04-16T00:00:00"/>
    <n v="30"/>
    <n v="7"/>
    <n v="0.12809999999999999"/>
    <n v="6.0600000000000001E-2"/>
    <n v="6"/>
    <s v="No"/>
    <s v="Yes"/>
    <n v="0.9"/>
    <n v="659.80624931506838"/>
    <n v="62.426633424657531"/>
    <n v="597.37961589041083"/>
    <n v="24"/>
    <x v="220"/>
    <n v="221"/>
  </r>
  <r>
    <s v="SUP050"/>
    <x v="52"/>
    <s v="US"/>
    <x v="2"/>
    <s v="Medium"/>
    <n v="3714458"/>
    <s v="INV01443"/>
    <n v="109173"/>
    <d v="2025-10-11T00:00:00"/>
    <n v="45"/>
    <n v="10"/>
    <n v="0.1153"/>
    <n v="4.5699999999999998E-2"/>
    <n v="5"/>
    <s v="No"/>
    <s v="Yes"/>
    <n v="0.5"/>
    <n v="1551.9016726027396"/>
    <n v="68.345289041095882"/>
    <n v="1483.5563835616438"/>
    <n v="40"/>
    <x v="221"/>
    <n v="222"/>
  </r>
  <r>
    <s v="SUP082"/>
    <x v="70"/>
    <s v="APAC"/>
    <x v="3"/>
    <s v="Medium"/>
    <n v="4450767"/>
    <s v="INV01310"/>
    <n v="107896"/>
    <d v="2025-06-21T00:00:00"/>
    <n v="60"/>
    <n v="4"/>
    <n v="0.10489999999999999"/>
    <n v="6.1100000000000002E-2"/>
    <n v="6"/>
    <s v="No"/>
    <s v="Yes"/>
    <n v="0.8"/>
    <n v="1860.5408876712327"/>
    <n v="108.36896876712328"/>
    <n v="1752.1719189041094"/>
    <n v="54"/>
    <x v="222"/>
    <n v="223"/>
  </r>
  <r>
    <s v="SUP111"/>
    <x v="23"/>
    <s v="US"/>
    <x v="0"/>
    <s v="Medium"/>
    <n v="3046555"/>
    <s v="INV00096"/>
    <n v="89042"/>
    <d v="2025-03-26T00:00:00"/>
    <n v="45"/>
    <n v="3"/>
    <n v="0.13830000000000001"/>
    <n v="5.3699999999999998E-2"/>
    <n v="5"/>
    <s v="No"/>
    <s v="Yes"/>
    <n v="0.5"/>
    <n v="1518.227087671233"/>
    <n v="65.500758904109588"/>
    <n v="1452.7263287671235"/>
    <n v="40"/>
    <x v="223"/>
    <n v="224"/>
  </r>
  <r>
    <s v="SUP092"/>
    <x v="61"/>
    <s v="Europe"/>
    <x v="1"/>
    <s v="Small"/>
    <n v="303851"/>
    <s v="INV00199"/>
    <n v="96769"/>
    <d v="2025-09-19T00:00:00"/>
    <n v="60"/>
    <n v="4"/>
    <n v="0.17499999999999999"/>
    <n v="6.4299999999999996E-2"/>
    <n v="8"/>
    <s v="Yes"/>
    <s v="Yes"/>
    <n v="0.35"/>
    <n v="2783.7657534246573"/>
    <n v="136.37800986301369"/>
    <n v="2647.3877435616437"/>
    <n v="52"/>
    <x v="224"/>
    <n v="225"/>
  </r>
  <r>
    <s v="SUP010"/>
    <x v="10"/>
    <s v="APAC"/>
    <x v="1"/>
    <s v="Small"/>
    <n v="809893"/>
    <s v="INV00078"/>
    <n v="94802"/>
    <d v="2025-01-22T00:00:00"/>
    <n v="45"/>
    <n v="3"/>
    <n v="0.15909999999999999"/>
    <n v="4.6300000000000001E-2"/>
    <n v="8"/>
    <s v="Yes"/>
    <s v="Yes"/>
    <n v="0.35"/>
    <n v="1859.547723287671"/>
    <n v="96.204550136986299"/>
    <n v="1763.3431731506848"/>
    <n v="37"/>
    <x v="225"/>
    <n v="226"/>
  </r>
  <r>
    <s v="SUP109"/>
    <x v="71"/>
    <s v="Mexico"/>
    <x v="1"/>
    <s v="Medium"/>
    <n v="2561855"/>
    <s v="INV00895"/>
    <n v="106977"/>
    <d v="2025-09-20T00:00:00"/>
    <n v="60"/>
    <n v="3"/>
    <n v="0.1037"/>
    <n v="4.99E-2"/>
    <n v="5"/>
    <s v="Yes"/>
    <s v="Yes"/>
    <n v="0.65"/>
    <n v="1823.5914904109588"/>
    <n v="73.125373972602731"/>
    <n v="1750.466116438356"/>
    <n v="55"/>
    <x v="226"/>
    <n v="227"/>
  </r>
  <r>
    <s v="SUP147"/>
    <x v="51"/>
    <s v="Canada"/>
    <x v="1"/>
    <s v="Small"/>
    <n v="367690"/>
    <s v="INV01429"/>
    <n v="62504"/>
    <d v="2025-10-01T00:00:00"/>
    <n v="30"/>
    <n v="5"/>
    <n v="0.1305"/>
    <n v="6.4199999999999993E-2"/>
    <n v="10"/>
    <s v="Yes"/>
    <s v="Yes"/>
    <n v="0.9"/>
    <n v="670.41961643835612"/>
    <n v="109.93854246575341"/>
    <n v="560.48107397260264"/>
    <n v="20"/>
    <x v="227"/>
    <n v="228"/>
  </r>
  <r>
    <s v="SUP054"/>
    <x v="4"/>
    <s v="Mexico"/>
    <x v="1"/>
    <s v="Small"/>
    <n v="896464"/>
    <s v="INV00019"/>
    <n v="88858"/>
    <d v="2025-03-16T00:00:00"/>
    <n v="45"/>
    <n v="3"/>
    <n v="0.13550000000000001"/>
    <n v="5.16E-2"/>
    <n v="6"/>
    <s v="No"/>
    <s v="Yes"/>
    <n v="0.5"/>
    <n v="1484.4154931506848"/>
    <n v="75.371059726027383"/>
    <n v="1409.0444334246574"/>
    <n v="39"/>
    <x v="228"/>
    <n v="229"/>
  </r>
  <r>
    <s v="SUP052"/>
    <x v="12"/>
    <s v="US"/>
    <x v="0"/>
    <s v="Medium"/>
    <n v="6127831"/>
    <s v="INV01414"/>
    <n v="94756"/>
    <d v="2025-08-20T00:00:00"/>
    <n v="60"/>
    <n v="4"/>
    <n v="0.12529999999999999"/>
    <n v="4.6699999999999998E-2"/>
    <n v="10"/>
    <s v="No"/>
    <s v="Yes"/>
    <n v="0.5"/>
    <n v="1951.7139945205477"/>
    <n v="121.23575890410959"/>
    <n v="1830.478235616438"/>
    <n v="50"/>
    <x v="229"/>
    <n v="230"/>
  </r>
  <r>
    <s v="SUP050"/>
    <x v="52"/>
    <s v="US"/>
    <x v="2"/>
    <s v="Medium"/>
    <n v="3714458"/>
    <s v="INV00981"/>
    <n v="86329"/>
    <d v="2025-08-14T00:00:00"/>
    <n v="60"/>
    <n v="3"/>
    <n v="0.1153"/>
    <n v="4.9000000000000002E-2"/>
    <n v="6"/>
    <s v="No"/>
    <s v="Yes"/>
    <n v="0.65"/>
    <n v="1636.2301972602741"/>
    <n v="69.536235616438347"/>
    <n v="1566.6939616438358"/>
    <n v="54"/>
    <x v="230"/>
    <n v="231"/>
  </r>
  <r>
    <s v="SUP143"/>
    <x v="44"/>
    <s v="US"/>
    <x v="4"/>
    <s v="Medium"/>
    <n v="3723173"/>
    <s v="INV00598"/>
    <n v="95379"/>
    <d v="2025-08-17T00:00:00"/>
    <n v="60"/>
    <n v="3"/>
    <n v="0.1069"/>
    <n v="5.8200000000000002E-2"/>
    <n v="8"/>
    <s v="No"/>
    <s v="Yes"/>
    <n v="0.8"/>
    <n v="1676.0572767123285"/>
    <n v="121.66702027397261"/>
    <n v="1554.3902564383559"/>
    <n v="52"/>
    <x v="231"/>
    <n v="232"/>
  </r>
  <r>
    <s v="SUP039"/>
    <x v="12"/>
    <s v="Mexico"/>
    <x v="0"/>
    <s v="Small"/>
    <n v="372648"/>
    <s v="INV00862"/>
    <n v="54495"/>
    <d v="2025-09-18T00:00:00"/>
    <n v="45"/>
    <n v="2"/>
    <n v="0.15049999999999999"/>
    <n v="4.5999999999999999E-2"/>
    <n v="6"/>
    <s v="No"/>
    <s v="Yes"/>
    <n v="0.65"/>
    <n v="1011.1435273972602"/>
    <n v="41.207178082191774"/>
    <n v="969.93634931506836"/>
    <n v="39"/>
    <x v="232"/>
    <n v="233"/>
  </r>
  <r>
    <s v="SUP047"/>
    <x v="35"/>
    <s v="US"/>
    <x v="3"/>
    <s v="Medium"/>
    <n v="6056843"/>
    <s v="INV00089"/>
    <n v="85619"/>
    <d v="2025-04-13T00:00:00"/>
    <n v="45"/>
    <n v="4"/>
    <n v="0.12520000000000001"/>
    <n v="5.91E-2"/>
    <n v="6"/>
    <s v="No"/>
    <s v="Yes"/>
    <n v="0.65"/>
    <n v="1321.5820438356166"/>
    <n v="83.17944493150685"/>
    <n v="1238.4025989041097"/>
    <n v="39"/>
    <x v="233"/>
    <n v="234"/>
  </r>
  <r>
    <s v="SUP004"/>
    <x v="29"/>
    <s v="Europe"/>
    <x v="4"/>
    <s v="Small"/>
    <n v="1485779"/>
    <s v="INV01405"/>
    <n v="95599"/>
    <d v="2025-08-05T00:00:00"/>
    <n v="60"/>
    <n v="2"/>
    <n v="0.1295"/>
    <n v="5.2600000000000001E-2"/>
    <n v="5"/>
    <s v="No"/>
    <s v="Yes"/>
    <n v="0.5"/>
    <n v="2035.0800821917808"/>
    <n v="68.883663013698637"/>
    <n v="1966.1964191780821"/>
    <n v="55"/>
    <x v="234"/>
    <n v="235"/>
  </r>
  <r>
    <s v="SUP107"/>
    <x v="59"/>
    <s v="APAC"/>
    <x v="4"/>
    <s v="Medium"/>
    <n v="3819447"/>
    <s v="INV00912"/>
    <n v="61005"/>
    <d v="2026-02-09T00:00:00"/>
    <n v="60"/>
    <n v="5"/>
    <n v="0.12620000000000001"/>
    <n v="5.9299999999999999E-2"/>
    <n v="8"/>
    <s v="No"/>
    <s v="Yes"/>
    <n v="0.9"/>
    <n v="1265.5612602739725"/>
    <n v="79.289786301369872"/>
    <n v="1186.2714739726025"/>
    <n v="52"/>
    <x v="235"/>
    <n v="236"/>
  </r>
  <r>
    <s v="SUP091"/>
    <x v="64"/>
    <s v="Canada"/>
    <x v="4"/>
    <s v="Medium"/>
    <n v="3649528"/>
    <s v="INV01130"/>
    <n v="107915"/>
    <d v="2025-11-06T00:00:00"/>
    <n v="45"/>
    <n v="5"/>
    <n v="0.1283"/>
    <n v="6.0400000000000002E-2"/>
    <n v="6"/>
    <s v="No"/>
    <s v="Yes"/>
    <n v="0.5"/>
    <n v="1706.9787739726025"/>
    <n v="107.14629041095888"/>
    <n v="1599.8324835616436"/>
    <n v="39"/>
    <x v="236"/>
    <n v="237"/>
  </r>
  <r>
    <s v="SUP149"/>
    <x v="72"/>
    <s v="APAC"/>
    <x v="1"/>
    <s v="Medium"/>
    <n v="4709015"/>
    <s v="INV01316"/>
    <n v="66808"/>
    <d v="2025-12-03T00:00:00"/>
    <n v="60"/>
    <n v="7"/>
    <n v="0.121"/>
    <n v="5.2600000000000001E-2"/>
    <n v="10"/>
    <s v="Yes"/>
    <s v="Yes"/>
    <n v="0.8"/>
    <n v="1328.8385753424657"/>
    <n v="96.276734246575344"/>
    <n v="1232.5618410958903"/>
    <n v="50"/>
    <x v="237"/>
    <n v="238"/>
  </r>
  <r>
    <s v="SUP055"/>
    <x v="69"/>
    <s v="APAC"/>
    <x v="1"/>
    <s v="Medium"/>
    <n v="2362296"/>
    <s v="INV00252"/>
    <n v="84465"/>
    <d v="2025-06-13T00:00:00"/>
    <n v="60"/>
    <n v="10"/>
    <n v="0.1077"/>
    <n v="5.9799999999999999E-2"/>
    <n v="8"/>
    <s v="Yes"/>
    <s v="Yes"/>
    <n v="0.9"/>
    <n v="1495.3776164383562"/>
    <n v="110.70700273972602"/>
    <n v="1384.6706136986302"/>
    <n v="52"/>
    <x v="238"/>
    <n v="239"/>
  </r>
  <r>
    <s v="SUP023"/>
    <x v="19"/>
    <s v="Canada"/>
    <x v="0"/>
    <s v="Medium"/>
    <n v="2438415"/>
    <s v="INV00888"/>
    <n v="55724"/>
    <d v="2025-08-17T00:00:00"/>
    <n v="60"/>
    <n v="3"/>
    <n v="0.13650000000000001"/>
    <n v="6.3899999999999998E-2"/>
    <n v="10"/>
    <s v="No"/>
    <s v="Yes"/>
    <n v="0.9"/>
    <n v="1250.3549589041097"/>
    <n v="97.55516712328766"/>
    <n v="1152.799791780822"/>
    <n v="50"/>
    <x v="239"/>
    <n v="240"/>
  </r>
  <r>
    <s v="SUP149"/>
    <x v="72"/>
    <s v="APAC"/>
    <x v="1"/>
    <s v="Medium"/>
    <n v="4709015"/>
    <s v="INV00048"/>
    <n v="95269"/>
    <d v="2025-11-20T00:00:00"/>
    <n v="90"/>
    <n v="4"/>
    <n v="0.121"/>
    <n v="6.2300000000000001E-2"/>
    <n v="7"/>
    <s v="Yes"/>
    <s v="Yes"/>
    <n v="0.65"/>
    <n v="2842.4093424657531"/>
    <n v="113.82687917808221"/>
    <n v="2728.5824632876711"/>
    <n v="83"/>
    <x v="240"/>
    <n v="241"/>
  </r>
  <r>
    <s v="SUP135"/>
    <x v="50"/>
    <s v="Canada"/>
    <x v="0"/>
    <s v="Small"/>
    <n v="1406086"/>
    <s v="INV01273"/>
    <n v="67552"/>
    <d v="2025-05-02T00:00:00"/>
    <n v="60"/>
    <n v="7"/>
    <n v="0.1201"/>
    <n v="6.0400000000000002E-2"/>
    <n v="7"/>
    <s v="Yes"/>
    <s v="Yes"/>
    <n v="0.9"/>
    <n v="1333.6430465753424"/>
    <n v="78.249275616438368"/>
    <n v="1255.393770958904"/>
    <n v="53"/>
    <x v="241"/>
    <n v="242"/>
  </r>
  <r>
    <s v="SUP074"/>
    <x v="16"/>
    <s v="US"/>
    <x v="2"/>
    <s v="Small"/>
    <n v="1336236"/>
    <s v="INV01198"/>
    <n v="48105"/>
    <d v="2026-02-26T00:00:00"/>
    <n v="45"/>
    <n v="7"/>
    <n v="0.14249999999999999"/>
    <n v="5.8999999999999997E-2"/>
    <n v="8"/>
    <s v="No"/>
    <s v="Yes"/>
    <n v="0.9"/>
    <n v="845.13236301369852"/>
    <n v="62.207013698630128"/>
    <n v="782.92534931506839"/>
    <n v="37"/>
    <x v="242"/>
    <n v="243"/>
  </r>
  <r>
    <s v="SUP019"/>
    <x v="73"/>
    <s v="Europe"/>
    <x v="0"/>
    <s v="Medium"/>
    <n v="4353599"/>
    <s v="INV00974"/>
    <n v="96585"/>
    <d v="2025-03-24T00:00:00"/>
    <n v="45"/>
    <n v="7"/>
    <n v="9.5600000000000004E-2"/>
    <n v="5.4100000000000002E-2"/>
    <n v="6"/>
    <s v="No"/>
    <s v="Yes"/>
    <n v="0.9"/>
    <n v="1138.379917808219"/>
    <n v="85.894495890410965"/>
    <n v="1052.485421917808"/>
    <n v="39"/>
    <x v="243"/>
    <n v="244"/>
  </r>
  <r>
    <s v="SUP022"/>
    <x v="37"/>
    <s v="APAC"/>
    <x v="4"/>
    <s v="Medium"/>
    <n v="6024640"/>
    <s v="INV01144"/>
    <n v="65790"/>
    <d v="2025-07-11T00:00:00"/>
    <n v="60"/>
    <n v="7"/>
    <n v="0.13769999999999999"/>
    <n v="5.3499999999999999E-2"/>
    <n v="7"/>
    <s v="Yes"/>
    <s v="Yes"/>
    <n v="0.65"/>
    <n v="1489.1972054794519"/>
    <n v="67.502342465753429"/>
    <n v="1421.6948630136985"/>
    <n v="53"/>
    <x v="244"/>
    <n v="245"/>
  </r>
  <r>
    <s v="SUP006"/>
    <x v="4"/>
    <s v="Europe"/>
    <x v="3"/>
    <s v="Small"/>
    <n v="971327"/>
    <s v="INV01253"/>
    <n v="38281"/>
    <d v="2025-02-01T00:00:00"/>
    <n v="60"/>
    <n v="2"/>
    <n v="0.15229999999999999"/>
    <n v="4.7800000000000002E-2"/>
    <n v="10"/>
    <s v="No"/>
    <s v="Yes"/>
    <n v="0.9"/>
    <n v="958.38843287671216"/>
    <n v="50.132378082191785"/>
    <n v="908.25605479452042"/>
    <n v="50"/>
    <x v="245"/>
    <n v="246"/>
  </r>
  <r>
    <s v="SUP061"/>
    <x v="14"/>
    <s v="Mexico"/>
    <x v="1"/>
    <s v="Small"/>
    <n v="1374525"/>
    <s v="INV01345"/>
    <n v="92478"/>
    <d v="2026-01-18T00:00:00"/>
    <n v="90"/>
    <n v="4"/>
    <n v="0.13320000000000001"/>
    <n v="5.5399999999999998E-2"/>
    <n v="7"/>
    <s v="No"/>
    <s v="Yes"/>
    <n v="0.5"/>
    <n v="3037.3322301369863"/>
    <n v="98.254707945205467"/>
    <n v="2939.0775221917806"/>
    <n v="83"/>
    <x v="246"/>
    <n v="247"/>
  </r>
  <r>
    <s v="SUP140"/>
    <x v="30"/>
    <s v="Europe"/>
    <x v="1"/>
    <s v="Small"/>
    <n v="1241903"/>
    <s v="INV00330"/>
    <n v="46152"/>
    <d v="2025-11-14T00:00:00"/>
    <n v="60"/>
    <n v="5"/>
    <n v="0.15939999999999999"/>
    <n v="6.2E-2"/>
    <n v="8"/>
    <s v="Yes"/>
    <s v="Yes"/>
    <n v="0.8"/>
    <n v="1209.3088438356162"/>
    <n v="62.716142465753421"/>
    <n v="1146.5927013698629"/>
    <n v="52"/>
    <x v="247"/>
    <n v="248"/>
  </r>
  <r>
    <s v="SUP116"/>
    <x v="74"/>
    <s v="Canada"/>
    <x v="1"/>
    <s v="Large"/>
    <n v="13972206"/>
    <s v="INV00540"/>
    <n v="95472"/>
    <d v="2025-11-12T00:00:00"/>
    <n v="90"/>
    <n v="4"/>
    <n v="9.5000000000000001E-2"/>
    <n v="4.8000000000000001E-2"/>
    <n v="6"/>
    <s v="Yes"/>
    <s v="Yes"/>
    <n v="0.8"/>
    <n v="2236.3989041095888"/>
    <n v="75.33133150684931"/>
    <n v="2161.0675726027393"/>
    <n v="84"/>
    <x v="248"/>
    <n v="249"/>
  </r>
  <r>
    <s v="SUP095"/>
    <x v="56"/>
    <s v="US"/>
    <x v="2"/>
    <s v="Small"/>
    <n v="965613"/>
    <s v="INV00932"/>
    <n v="62986"/>
    <d v="2025-09-01T00:00:00"/>
    <n v="90"/>
    <n v="3"/>
    <n v="0.1109"/>
    <n v="4.7600000000000003E-2"/>
    <n v="6"/>
    <s v="No"/>
    <s v="Yes"/>
    <n v="0.9"/>
    <n v="1722.3651123287671"/>
    <n v="49.284387945205474"/>
    <n v="1673.0807243835616"/>
    <n v="84"/>
    <x v="249"/>
    <n v="250"/>
  </r>
  <r>
    <s v="SUP023"/>
    <x v="19"/>
    <s v="Canada"/>
    <x v="0"/>
    <s v="Medium"/>
    <n v="2438415"/>
    <s v="INV00254"/>
    <n v="79603"/>
    <d v="2025-06-17T00:00:00"/>
    <n v="90"/>
    <n v="5"/>
    <n v="0.13650000000000001"/>
    <n v="4.6399999999999997E-2"/>
    <n v="8"/>
    <s v="No"/>
    <s v="Yes"/>
    <n v="0.5"/>
    <n v="2679.2406986301371"/>
    <n v="80.955160547945198"/>
    <n v="2598.285538082192"/>
    <n v="82"/>
    <x v="250"/>
    <n v="251"/>
  </r>
  <r>
    <s v="SUP052"/>
    <x v="12"/>
    <s v="US"/>
    <x v="0"/>
    <s v="Medium"/>
    <n v="6127831"/>
    <s v="INV00931"/>
    <n v="54830"/>
    <d v="2025-02-05T00:00:00"/>
    <n v="90"/>
    <n v="5"/>
    <n v="0.12529999999999999"/>
    <n v="5.28E-2"/>
    <n v="5"/>
    <s v="Yes"/>
    <s v="Yes"/>
    <n v="0.9"/>
    <n v="1694.0216712328765"/>
    <n v="39.657863013698623"/>
    <n v="1654.3638082191778"/>
    <n v="85"/>
    <x v="251"/>
    <n v="252"/>
  </r>
  <r>
    <s v="SUP023"/>
    <x v="19"/>
    <s v="Canada"/>
    <x v="0"/>
    <s v="Medium"/>
    <n v="2438415"/>
    <s v="INV01384"/>
    <n v="98954"/>
    <d v="2025-08-23T00:00:00"/>
    <n v="60"/>
    <n v="2"/>
    <n v="0.13650000000000001"/>
    <n v="6.4399999999999999E-2"/>
    <n v="7"/>
    <s v="No"/>
    <s v="Yes"/>
    <n v="0.5"/>
    <n v="2220.3650958904109"/>
    <n v="122.21496767123288"/>
    <n v="2098.150128219178"/>
    <n v="53"/>
    <x v="252"/>
    <n v="253"/>
  </r>
  <r>
    <s v="SUP107"/>
    <x v="59"/>
    <s v="APAC"/>
    <x v="4"/>
    <s v="Medium"/>
    <n v="3819447"/>
    <s v="INV00501"/>
    <n v="76409"/>
    <d v="2026-02-25T00:00:00"/>
    <n v="90"/>
    <n v="2"/>
    <n v="0.12620000000000001"/>
    <n v="5.4399999999999997E-2"/>
    <n v="5"/>
    <s v="No"/>
    <s v="Yes"/>
    <n v="0.65"/>
    <n v="2377.6806082191779"/>
    <n v="56.940405479452046"/>
    <n v="2320.7402027397256"/>
    <n v="85"/>
    <x v="253"/>
    <n v="254"/>
  </r>
  <r>
    <s v="SUP074"/>
    <x v="16"/>
    <s v="US"/>
    <x v="2"/>
    <s v="Small"/>
    <n v="1336236"/>
    <s v="INV00496"/>
    <n v="59720"/>
    <d v="2025-04-08T00:00:00"/>
    <n v="60"/>
    <n v="3"/>
    <n v="0.14249999999999999"/>
    <n v="5.1400000000000001E-2"/>
    <n v="5"/>
    <s v="No"/>
    <s v="Yes"/>
    <n v="0.65"/>
    <n v="1398.9205479452053"/>
    <n v="42.049424657534246"/>
    <n v="1356.871123287671"/>
    <n v="55"/>
    <x v="254"/>
    <n v="255"/>
  </r>
  <r>
    <s v="SUP127"/>
    <x v="12"/>
    <s v="Europe"/>
    <x v="0"/>
    <s v="Small"/>
    <n v="1089809"/>
    <s v="INV00977"/>
    <n v="62172"/>
    <d v="2026-02-21T00:00:00"/>
    <n v="60"/>
    <n v="10"/>
    <n v="0.16689999999999999"/>
    <n v="5.3199999999999997E-2"/>
    <n v="5"/>
    <s v="Yes"/>
    <s v="Yes"/>
    <n v="0.5"/>
    <n v="1705.7271452054792"/>
    <n v="45.308909589041086"/>
    <n v="1660.4182356164381"/>
    <n v="55"/>
    <x v="255"/>
    <n v="256"/>
  </r>
  <r>
    <s v="SUP136"/>
    <x v="28"/>
    <s v="Mexico"/>
    <x v="0"/>
    <s v="Small"/>
    <n v="1120197"/>
    <s v="INV00486"/>
    <n v="63003"/>
    <d v="2025-09-24T00:00:00"/>
    <n v="60"/>
    <n v="4"/>
    <n v="0.1338"/>
    <n v="6.3700000000000007E-2"/>
    <n v="6"/>
    <s v="No"/>
    <s v="Yes"/>
    <n v="0.8"/>
    <n v="1385.7207780821918"/>
    <n v="65.971908493150679"/>
    <n v="1319.7488695890411"/>
    <n v="54"/>
    <x v="256"/>
    <n v="257"/>
  </r>
  <r>
    <s v="SUP091"/>
    <x v="64"/>
    <s v="Canada"/>
    <x v="4"/>
    <s v="Medium"/>
    <n v="3649528"/>
    <s v="INV01035"/>
    <n v="98188"/>
    <d v="2025-12-29T00:00:00"/>
    <n v="45"/>
    <n v="5"/>
    <n v="0.1283"/>
    <n v="5.6399999999999999E-2"/>
    <n v="7"/>
    <s v="Yes"/>
    <s v="Yes"/>
    <n v="0.5"/>
    <n v="1553.1189534246573"/>
    <n v="106.20444493150686"/>
    <n v="1446.9145084931504"/>
    <n v="38"/>
    <x v="257"/>
    <n v="258"/>
  </r>
  <r>
    <s v="SUP020"/>
    <x v="75"/>
    <s v="APAC"/>
    <x v="0"/>
    <s v="Large"/>
    <n v="15837870"/>
    <s v="INV00370"/>
    <n v="87832"/>
    <d v="2025-08-03T00:00:00"/>
    <n v="45"/>
    <n v="3"/>
    <n v="0.1089"/>
    <n v="4.7100000000000003E-2"/>
    <n v="10"/>
    <s v="No"/>
    <s v="Yes"/>
    <n v="0.65"/>
    <n v="1179.2348383561643"/>
    <n v="113.33937534246576"/>
    <n v="1065.8954630136986"/>
    <n v="35"/>
    <x v="258"/>
    <n v="259"/>
  </r>
  <r>
    <s v="SUP015"/>
    <x v="61"/>
    <s v="Mexico"/>
    <x v="1"/>
    <s v="Small"/>
    <n v="1475965"/>
    <s v="INV00136"/>
    <n v="46995"/>
    <d v="2025-05-01T00:00:00"/>
    <n v="90"/>
    <n v="4"/>
    <n v="0.14000000000000001"/>
    <n v="5.6599999999999998E-2"/>
    <n v="10"/>
    <s v="Yes"/>
    <s v="Yes"/>
    <n v="0.9"/>
    <n v="1622.2931506849316"/>
    <n v="72.874438356164376"/>
    <n v="1549.4187123287672"/>
    <n v="80"/>
    <x v="259"/>
    <n v="260"/>
  </r>
  <r>
    <s v="SUP140"/>
    <x v="30"/>
    <s v="Europe"/>
    <x v="1"/>
    <s v="Small"/>
    <n v="1241903"/>
    <s v="INV00299"/>
    <n v="61996"/>
    <d v="2025-10-16T00:00:00"/>
    <n v="60"/>
    <n v="5"/>
    <n v="0.15939999999999999"/>
    <n v="4.5900000000000003E-2"/>
    <n v="8"/>
    <s v="No"/>
    <s v="Yes"/>
    <n v="0.5"/>
    <n v="1624.4650520547943"/>
    <n v="62.369674520547953"/>
    <n v="1562.0953775342464"/>
    <n v="52"/>
    <x v="260"/>
    <n v="261"/>
  </r>
  <r>
    <s v="SUP022"/>
    <x v="37"/>
    <s v="APAC"/>
    <x v="4"/>
    <s v="Medium"/>
    <n v="6024640"/>
    <s v="INV00064"/>
    <n v="60213"/>
    <d v="2025-09-28T00:00:00"/>
    <n v="60"/>
    <n v="7"/>
    <n v="0.13769999999999999"/>
    <n v="6.4699999999999994E-2"/>
    <n v="8"/>
    <s v="No"/>
    <s v="Yes"/>
    <n v="0.8"/>
    <n v="1362.9583726027395"/>
    <n v="85.386983013698625"/>
    <n v="1277.5713895890408"/>
    <n v="52"/>
    <x v="261"/>
    <n v="262"/>
  </r>
  <r>
    <s v="SUP124"/>
    <x v="43"/>
    <s v="Mexico"/>
    <x v="1"/>
    <s v="Small"/>
    <n v="617401"/>
    <s v="INV00281"/>
    <n v="74650"/>
    <d v="2025-01-31T00:00:00"/>
    <n v="30"/>
    <n v="7"/>
    <n v="0.1429"/>
    <n v="4.9000000000000002E-2"/>
    <n v="6"/>
    <s v="No"/>
    <s v="Yes"/>
    <n v="0.5"/>
    <n v="876.77958904109585"/>
    <n v="60.129041095890408"/>
    <n v="816.6505479452054"/>
    <n v="24"/>
    <x v="262"/>
    <n v="263"/>
  </r>
  <r>
    <s v="SUP023"/>
    <x v="19"/>
    <s v="Canada"/>
    <x v="0"/>
    <s v="Medium"/>
    <n v="2438415"/>
    <s v="INV00847"/>
    <n v="74043"/>
    <d v="2025-02-26T00:00:00"/>
    <n v="30"/>
    <n v="3"/>
    <n v="0.13650000000000001"/>
    <n v="6.3899999999999998E-2"/>
    <n v="7"/>
    <s v="No"/>
    <s v="Yes"/>
    <n v="0.65"/>
    <n v="830.70160273972601"/>
    <n v="90.738175068493163"/>
    <n v="739.96342767123281"/>
    <n v="23"/>
    <x v="263"/>
    <n v="264"/>
  </r>
  <r>
    <s v="SUP065"/>
    <x v="10"/>
    <s v="Mexico"/>
    <x v="3"/>
    <s v="Medium"/>
    <n v="4269919"/>
    <s v="INV01072"/>
    <n v="79303"/>
    <d v="2025-11-07T00:00:00"/>
    <n v="90"/>
    <n v="3"/>
    <n v="0.1212"/>
    <n v="5.3800000000000001E-2"/>
    <n v="10"/>
    <s v="No"/>
    <s v="Yes"/>
    <n v="0.65"/>
    <n v="2369.9647232876714"/>
    <n v="116.89044931506849"/>
    <n v="2253.0742739726029"/>
    <n v="80"/>
    <x v="264"/>
    <n v="265"/>
  </r>
  <r>
    <s v="SUP131"/>
    <x v="68"/>
    <s v="US"/>
    <x v="0"/>
    <s v="Medium"/>
    <n v="3916164"/>
    <s v="INV00074"/>
    <n v="66600"/>
    <d v="2026-02-07T00:00:00"/>
    <n v="45"/>
    <n v="10"/>
    <n v="0.1119"/>
    <n v="4.6699999999999998E-2"/>
    <n v="7"/>
    <s v="Yes"/>
    <s v="Yes"/>
    <n v="0.8"/>
    <n v="918.80630136986292"/>
    <n v="59.648054794520547"/>
    <n v="859.15824657534233"/>
    <n v="38"/>
    <x v="265"/>
    <n v="266"/>
  </r>
  <r>
    <s v="SUP038"/>
    <x v="76"/>
    <s v="Canada"/>
    <x v="4"/>
    <s v="Medium"/>
    <n v="6162123"/>
    <s v="INV00004"/>
    <n v="109605"/>
    <d v="2025-04-23T00:00:00"/>
    <n v="90"/>
    <n v="7"/>
    <n v="0.1231"/>
    <n v="5.9900000000000002E-2"/>
    <n v="7"/>
    <s v="No"/>
    <s v="Yes"/>
    <n v="0.5"/>
    <n v="3326.8871095890408"/>
    <n v="125.91062054794521"/>
    <n v="3200.9764890410956"/>
    <n v="83"/>
    <x v="266"/>
    <n v="267"/>
  </r>
  <r>
    <s v="SUP107"/>
    <x v="59"/>
    <s v="APAC"/>
    <x v="4"/>
    <s v="Medium"/>
    <n v="3819447"/>
    <s v="INV00518"/>
    <n v="90005"/>
    <d v="2025-02-12T00:00:00"/>
    <n v="60"/>
    <n v="2"/>
    <n v="0.12620000000000001"/>
    <n v="4.9399999999999999E-2"/>
    <n v="7"/>
    <s v="No"/>
    <s v="Yes"/>
    <n v="0.5"/>
    <n v="1867.1722191780823"/>
    <n v="85.270490410958914"/>
    <n v="1781.9017287671234"/>
    <n v="53"/>
    <x v="267"/>
    <n v="268"/>
  </r>
  <r>
    <s v="SUP114"/>
    <x v="77"/>
    <s v="Europe"/>
    <x v="2"/>
    <s v="Medium"/>
    <n v="6687670"/>
    <s v="INV00925"/>
    <n v="77509"/>
    <d v="2025-10-03T00:00:00"/>
    <n v="60"/>
    <n v="4"/>
    <n v="0.1013"/>
    <n v="5.1799999999999999E-2"/>
    <n v="8"/>
    <s v="No"/>
    <s v="Yes"/>
    <n v="0.9"/>
    <n v="1290.6841150684929"/>
    <n v="87.999259178082184"/>
    <n v="1202.6848558904107"/>
    <n v="52"/>
    <x v="268"/>
    <n v="269"/>
  </r>
  <r>
    <s v="SUP122"/>
    <x v="66"/>
    <s v="Europe"/>
    <x v="4"/>
    <s v="Medium"/>
    <n v="5642255"/>
    <s v="INV00878"/>
    <n v="91433"/>
    <d v="2025-09-10T00:00:00"/>
    <n v="45"/>
    <n v="3"/>
    <n v="0.1119"/>
    <n v="6.4699999999999994E-2"/>
    <n v="8"/>
    <s v="Yes"/>
    <s v="Yes"/>
    <n v="0.8"/>
    <n v="1261.3996479452053"/>
    <n v="129.65950904109587"/>
    <n v="1131.7401389041095"/>
    <n v="37"/>
    <x v="269"/>
    <n v="270"/>
  </r>
  <r>
    <s v="SUP143"/>
    <x v="44"/>
    <s v="US"/>
    <x v="4"/>
    <s v="Medium"/>
    <n v="3723173"/>
    <s v="INV00671"/>
    <n v="81588"/>
    <d v="2025-02-11T00:00:00"/>
    <n v="30"/>
    <n v="5"/>
    <n v="0.1069"/>
    <n v="6.0100000000000001E-2"/>
    <n v="10"/>
    <s v="No"/>
    <s v="Yes"/>
    <n v="0.9"/>
    <n v="716.85675616438357"/>
    <n v="134.34078904109589"/>
    <n v="582.51596712328774"/>
    <n v="20"/>
    <x v="270"/>
    <n v="271"/>
  </r>
  <r>
    <s v="SUP061"/>
    <x v="14"/>
    <s v="Mexico"/>
    <x v="1"/>
    <s v="Small"/>
    <n v="1374525"/>
    <s v="INV01426"/>
    <n v="54300"/>
    <d v="2025-11-05T00:00:00"/>
    <n v="45"/>
    <n v="2"/>
    <n v="0.13320000000000001"/>
    <n v="6.2899999999999998E-2"/>
    <n v="6"/>
    <s v="No"/>
    <s v="Yes"/>
    <n v="0.9"/>
    <n v="891.71013698630145"/>
    <n v="56.144712328767113"/>
    <n v="835.56542465753432"/>
    <n v="39"/>
    <x v="271"/>
    <n v="272"/>
  </r>
  <r>
    <s v="SUP102"/>
    <x v="72"/>
    <s v="Europe"/>
    <x v="2"/>
    <s v="Medium"/>
    <n v="5598489"/>
    <s v="INV00368"/>
    <n v="71048"/>
    <d v="2025-01-25T00:00:00"/>
    <n v="60"/>
    <n v="7"/>
    <n v="0.1178"/>
    <n v="6.4100000000000004E-2"/>
    <n v="6"/>
    <s v="No"/>
    <s v="Yes"/>
    <n v="0.9"/>
    <n v="1375.8007232876712"/>
    <n v="74.863180273972603"/>
    <n v="1300.9375430136986"/>
    <n v="54"/>
    <x v="272"/>
    <n v="273"/>
  </r>
  <r>
    <s v="SUP050"/>
    <x v="52"/>
    <s v="US"/>
    <x v="2"/>
    <s v="Medium"/>
    <n v="3714458"/>
    <s v="INV00003"/>
    <n v="59049"/>
    <d v="2026-02-03T00:00:00"/>
    <n v="60"/>
    <n v="10"/>
    <n v="0.1153"/>
    <n v="5.0900000000000001E-2"/>
    <n v="8"/>
    <s v="No"/>
    <s v="Yes"/>
    <n v="0.9"/>
    <n v="1119.1807726027396"/>
    <n v="65.876035068493152"/>
    <n v="1053.3047375342464"/>
    <n v="52"/>
    <x v="273"/>
    <n v="274"/>
  </r>
  <r>
    <s v="SUP095"/>
    <x v="56"/>
    <s v="US"/>
    <x v="2"/>
    <s v="Small"/>
    <n v="965613"/>
    <s v="INV01139"/>
    <n v="108563"/>
    <d v="2025-02-28T00:00:00"/>
    <n v="60"/>
    <n v="2"/>
    <n v="0.1109"/>
    <n v="4.8000000000000001E-2"/>
    <n v="8"/>
    <s v="No"/>
    <s v="Yes"/>
    <n v="0.5"/>
    <n v="1979.1183616438354"/>
    <n v="114.21422465753426"/>
    <n v="1864.9041369863012"/>
    <n v="52"/>
    <x v="274"/>
    <n v="275"/>
  </r>
  <r>
    <s v="SUP030"/>
    <x v="78"/>
    <s v="Canada"/>
    <x v="2"/>
    <s v="Small"/>
    <n v="1267987"/>
    <s v="INV00317"/>
    <n v="88923"/>
    <d v="2025-01-15T00:00:00"/>
    <n v="60"/>
    <n v="4"/>
    <n v="0.125"/>
    <n v="4.8300000000000003E-2"/>
    <n v="7"/>
    <s v="No"/>
    <s v="Yes"/>
    <n v="0.5"/>
    <n v="1827.1849315068491"/>
    <n v="82.369496712328782"/>
    <n v="1744.8154347945203"/>
    <n v="53"/>
    <x v="275"/>
    <n v="276"/>
  </r>
  <r>
    <s v="SUP083"/>
    <x v="45"/>
    <s v="Europe"/>
    <x v="0"/>
    <s v="Medium"/>
    <n v="3350013"/>
    <s v="INV00010"/>
    <n v="63717"/>
    <d v="2025-07-15T00:00:00"/>
    <n v="30"/>
    <n v="7"/>
    <n v="0.1144"/>
    <n v="4.7500000000000001E-2"/>
    <n v="7"/>
    <s v="No"/>
    <s v="Yes"/>
    <n v="0.8"/>
    <n v="599.11436712328759"/>
    <n v="58.043568493150687"/>
    <n v="541.07079863013689"/>
    <n v="23"/>
    <x v="276"/>
    <n v="277"/>
  </r>
  <r>
    <s v="SUP045"/>
    <x v="41"/>
    <s v="Canada"/>
    <x v="3"/>
    <s v="Medium"/>
    <n v="6222733"/>
    <s v="INV01346"/>
    <n v="106388"/>
    <d v="2025-08-29T00:00:00"/>
    <n v="90"/>
    <n v="3"/>
    <n v="0.13980000000000001"/>
    <n v="4.8300000000000003E-2"/>
    <n v="8"/>
    <s v="Yes"/>
    <s v="Yes"/>
    <n v="0.35"/>
    <n v="3667.3255232876709"/>
    <n v="112.62554301369863"/>
    <n v="3554.6999802739724"/>
    <n v="82"/>
    <x v="277"/>
    <n v="278"/>
  </r>
  <r>
    <s v="SUP118"/>
    <x v="31"/>
    <s v="US"/>
    <x v="1"/>
    <s v="Small"/>
    <n v="735440"/>
    <s v="INV00964"/>
    <n v="52824"/>
    <d v="2025-08-18T00:00:00"/>
    <n v="45"/>
    <n v="3"/>
    <n v="0.13020000000000001"/>
    <n v="4.99E-2"/>
    <n v="6"/>
    <s v="No"/>
    <s v="Yes"/>
    <n v="0.8"/>
    <n v="847.93374246575354"/>
    <n v="43.33015232876712"/>
    <n v="804.60359013698644"/>
    <n v="39"/>
    <x v="278"/>
    <n v="279"/>
  </r>
  <r>
    <s v="SUP043"/>
    <x v="17"/>
    <s v="Canada"/>
    <x v="4"/>
    <s v="Medium"/>
    <n v="4153903"/>
    <s v="INV00591"/>
    <n v="75898"/>
    <d v="2025-11-06T00:00:00"/>
    <n v="30"/>
    <n v="5"/>
    <n v="0.13669999999999999"/>
    <n v="4.7300000000000002E-2"/>
    <n v="8"/>
    <s v="No"/>
    <s v="Yes"/>
    <n v="0.5"/>
    <n v="852.76081643835607"/>
    <n v="78.684392328767132"/>
    <n v="774.07642410958897"/>
    <n v="22"/>
    <x v="279"/>
    <n v="280"/>
  </r>
  <r>
    <s v="SUP070"/>
    <x v="3"/>
    <s v="Mexico"/>
    <x v="1"/>
    <s v="Medium"/>
    <n v="6809493"/>
    <s v="INV00766"/>
    <n v="83791"/>
    <d v="2026-02-10T00:00:00"/>
    <n v="60"/>
    <n v="5"/>
    <n v="0.121"/>
    <n v="5.8900000000000001E-2"/>
    <n v="5"/>
    <s v="No"/>
    <s v="Yes"/>
    <n v="0.65"/>
    <n v="1666.637424657534"/>
    <n v="67.606710958904102"/>
    <n v="1599.0307136986298"/>
    <n v="55"/>
    <x v="280"/>
    <n v="281"/>
  </r>
  <r>
    <s v="SUP048"/>
    <x v="6"/>
    <s v="US"/>
    <x v="0"/>
    <s v="Small"/>
    <n v="467236"/>
    <s v="INV00821"/>
    <n v="77991"/>
    <d v="2025-09-07T00:00:00"/>
    <n v="30"/>
    <n v="2"/>
    <n v="0.1757"/>
    <n v="5.1799999999999999E-2"/>
    <n v="5"/>
    <s v="No"/>
    <s v="Yes"/>
    <n v="0.35"/>
    <n v="1126.2755095890409"/>
    <n v="55.341558904109583"/>
    <n v="1070.9339506849312"/>
    <n v="25"/>
    <x v="281"/>
    <n v="282"/>
  </r>
  <r>
    <s v="SUP028"/>
    <x v="16"/>
    <s v="APAC"/>
    <x v="1"/>
    <s v="Small"/>
    <n v="959016"/>
    <s v="INV00927"/>
    <n v="94554"/>
    <d v="2025-02-02T00:00:00"/>
    <n v="60"/>
    <n v="7"/>
    <n v="0.1115"/>
    <n v="5.6500000000000002E-2"/>
    <n v="8"/>
    <s v="No"/>
    <s v="Yes"/>
    <n v="0.65"/>
    <n v="1733.0582465753425"/>
    <n v="117.09152876712329"/>
    <n v="1615.9667178082193"/>
    <n v="52"/>
    <x v="282"/>
    <n v="283"/>
  </r>
  <r>
    <s v="SUP048"/>
    <x v="6"/>
    <s v="US"/>
    <x v="0"/>
    <s v="Small"/>
    <n v="467236"/>
    <s v="INV01084"/>
    <n v="30811"/>
    <d v="2026-01-20T00:00:00"/>
    <n v="30"/>
    <n v="3"/>
    <n v="0.1757"/>
    <n v="5.4100000000000002E-2"/>
    <n v="8"/>
    <s v="Yes"/>
    <s v="Yes"/>
    <n v="0.9"/>
    <n v="444.94460547945204"/>
    <n v="36.534248767123287"/>
    <n v="408.41035671232873"/>
    <n v="22"/>
    <x v="283"/>
    <n v="284"/>
  </r>
  <r>
    <s v="SUP049"/>
    <x v="60"/>
    <s v="Mexico"/>
    <x v="1"/>
    <s v="Medium"/>
    <n v="2803992"/>
    <s v="INV01299"/>
    <n v="70950"/>
    <d v="2026-01-28T00:00:00"/>
    <n v="60"/>
    <n v="5"/>
    <n v="0.1036"/>
    <n v="5.0799999999999998E-2"/>
    <n v="8"/>
    <s v="No"/>
    <s v="Yes"/>
    <n v="0.9"/>
    <n v="1208.288219178082"/>
    <n v="78.99747945205479"/>
    <n v="1129.2907397260274"/>
    <n v="52"/>
    <x v="284"/>
    <n v="285"/>
  </r>
  <r>
    <s v="SUP058"/>
    <x v="63"/>
    <s v="Canada"/>
    <x v="1"/>
    <s v="Medium"/>
    <n v="2406772"/>
    <s v="INV01415"/>
    <n v="100408"/>
    <d v="2026-01-27T00:00:00"/>
    <n v="60"/>
    <n v="3"/>
    <n v="0.1091"/>
    <n v="5.7500000000000002E-2"/>
    <n v="6"/>
    <s v="No"/>
    <s v="Yes"/>
    <n v="0.65"/>
    <n v="1800.7418301369862"/>
    <n v="94.906191780821914"/>
    <n v="1705.8356383561643"/>
    <n v="54"/>
    <x v="285"/>
    <n v="286"/>
  </r>
  <r>
    <s v="SUP126"/>
    <x v="53"/>
    <s v="Europe"/>
    <x v="2"/>
    <s v="Medium"/>
    <n v="4193232"/>
    <s v="INV00128"/>
    <n v="97575"/>
    <d v="2025-11-27T00:00:00"/>
    <n v="90"/>
    <n v="5"/>
    <n v="0.1235"/>
    <n v="5.45E-2"/>
    <n v="6"/>
    <s v="No"/>
    <s v="Yes"/>
    <n v="0.5"/>
    <n v="2971.3592465753427"/>
    <n v="87.416506849315056"/>
    <n v="2883.9427397260279"/>
    <n v="84"/>
    <x v="286"/>
    <n v="287"/>
  </r>
  <r>
    <s v="SUP032"/>
    <x v="36"/>
    <s v="US"/>
    <x v="2"/>
    <s v="Medium"/>
    <n v="1954421"/>
    <s v="INV01460"/>
    <n v="66673"/>
    <d v="2026-01-28T00:00:00"/>
    <n v="30"/>
    <n v="5"/>
    <n v="0.1237"/>
    <n v="4.6100000000000002E-2"/>
    <n v="8"/>
    <s v="No"/>
    <s v="Yes"/>
    <n v="0.65"/>
    <n v="677.87261095890403"/>
    <n v="67.367129863013702"/>
    <n v="610.50548109589033"/>
    <n v="22"/>
    <x v="287"/>
    <n v="288"/>
  </r>
  <r>
    <s v="SUP070"/>
    <x v="3"/>
    <s v="Mexico"/>
    <x v="1"/>
    <s v="Medium"/>
    <n v="6809493"/>
    <s v="INV01478"/>
    <n v="100413"/>
    <d v="2026-01-02T00:00:00"/>
    <n v="60"/>
    <n v="7"/>
    <n v="0.121"/>
    <n v="5.4199999999999998E-2"/>
    <n v="6"/>
    <s v="No"/>
    <s v="Yes"/>
    <n v="0.5"/>
    <n v="1997.2558356164382"/>
    <n v="89.463856438356146"/>
    <n v="1907.7919791780821"/>
    <n v="54"/>
    <x v="288"/>
    <n v="289"/>
  </r>
  <r>
    <s v="SUP081"/>
    <x v="54"/>
    <s v="APAC"/>
    <x v="2"/>
    <s v="Large"/>
    <n v="20068674"/>
    <s v="INV00135"/>
    <n v="99720"/>
    <d v="2026-01-21T00:00:00"/>
    <n v="30"/>
    <n v="3"/>
    <n v="0.1062"/>
    <n v="5.45E-2"/>
    <n v="6"/>
    <s v="Yes"/>
    <s v="Yes"/>
    <n v="0.65"/>
    <n v="870.43265753424657"/>
    <n v="89.338191780821901"/>
    <n v="781.09446575342463"/>
    <n v="24"/>
    <x v="289"/>
    <n v="290"/>
  </r>
  <r>
    <s v="SUP118"/>
    <x v="31"/>
    <s v="US"/>
    <x v="1"/>
    <s v="Small"/>
    <n v="735440"/>
    <s v="INV00194"/>
    <n v="101353"/>
    <d v="2025-12-21T00:00:00"/>
    <n v="60"/>
    <n v="2"/>
    <n v="0.13020000000000001"/>
    <n v="6.4100000000000004E-2"/>
    <n v="8"/>
    <s v="No"/>
    <s v="Yes"/>
    <n v="0.5"/>
    <n v="2169.2318794520547"/>
    <n v="142.39402301369864"/>
    <n v="2026.8378564383561"/>
    <n v="52"/>
    <x v="290"/>
    <n v="291"/>
  </r>
  <r>
    <s v="SUP114"/>
    <x v="77"/>
    <s v="Europe"/>
    <x v="2"/>
    <s v="Medium"/>
    <n v="6687670"/>
    <s v="INV01099"/>
    <n v="76566"/>
    <d v="2026-02-20T00:00:00"/>
    <n v="60"/>
    <n v="3"/>
    <n v="0.1013"/>
    <n v="5.2699999999999997E-2"/>
    <n v="10"/>
    <s v="No"/>
    <s v="Yes"/>
    <n v="0.9"/>
    <n v="1274.9812273972602"/>
    <n v="110.54871780821917"/>
    <n v="1164.432509589041"/>
    <n v="50"/>
    <x v="291"/>
    <n v="292"/>
  </r>
  <r>
    <s v="SUP128"/>
    <x v="26"/>
    <s v="APAC"/>
    <x v="0"/>
    <s v="Small"/>
    <n v="927954"/>
    <s v="INV00144"/>
    <n v="63897"/>
    <d v="2025-02-02T00:00:00"/>
    <n v="45"/>
    <n v="2"/>
    <n v="0.1181"/>
    <n v="5.9900000000000002E-2"/>
    <n v="10"/>
    <s v="Yes"/>
    <s v="Yes"/>
    <n v="0.9"/>
    <n v="930.35782602739721"/>
    <n v="104.86110410958904"/>
    <n v="825.49672191780815"/>
    <n v="35"/>
    <x v="292"/>
    <n v="293"/>
  </r>
  <r>
    <s v="SUP054"/>
    <x v="4"/>
    <s v="Mexico"/>
    <x v="1"/>
    <s v="Small"/>
    <n v="896464"/>
    <s v="INV01115"/>
    <n v="75413"/>
    <d v="2025-07-23T00:00:00"/>
    <n v="30"/>
    <n v="4"/>
    <n v="0.13550000000000001"/>
    <n v="4.6899999999999997E-2"/>
    <n v="7"/>
    <s v="Yes"/>
    <s v="Yes"/>
    <n v="0.5"/>
    <n v="839.87354794520559"/>
    <n v="67.830377808219183"/>
    <n v="772.04317013698642"/>
    <n v="23"/>
    <x v="293"/>
    <n v="294"/>
  </r>
  <r>
    <s v="SUP103"/>
    <x v="79"/>
    <s v="Mexico"/>
    <x v="3"/>
    <s v="Medium"/>
    <n v="2280589"/>
    <s v="INV00001"/>
    <n v="100815"/>
    <d v="2025-12-20T00:00:00"/>
    <n v="60"/>
    <n v="2"/>
    <n v="0.1047"/>
    <n v="5.3800000000000001E-2"/>
    <n v="7"/>
    <s v="No"/>
    <s v="Yes"/>
    <n v="0.65"/>
    <n v="1735.1228219178081"/>
    <n v="104.01898356164384"/>
    <n v="1631.1038383561643"/>
    <n v="53"/>
    <x v="294"/>
    <n v="295"/>
  </r>
  <r>
    <s v="SUP136"/>
    <x v="28"/>
    <s v="Mexico"/>
    <x v="0"/>
    <s v="Small"/>
    <n v="1120197"/>
    <s v="INV00247"/>
    <n v="79793"/>
    <d v="2026-01-11T00:00:00"/>
    <n v="60"/>
    <n v="10"/>
    <n v="0.1338"/>
    <n v="5.0200000000000002E-2"/>
    <n v="7"/>
    <s v="Yes"/>
    <s v="Yes"/>
    <n v="0.5"/>
    <n v="1755.0087780821918"/>
    <n v="76.819890958904111"/>
    <n v="1678.1888871232877"/>
    <n v="53"/>
    <x v="295"/>
    <n v="296"/>
  </r>
  <r>
    <s v="SUP011"/>
    <x v="39"/>
    <s v="APAC"/>
    <x v="1"/>
    <s v="Medium"/>
    <n v="3553623"/>
    <s v="INV01156"/>
    <n v="84470"/>
    <d v="2025-03-20T00:00:00"/>
    <n v="45"/>
    <n v="4"/>
    <n v="9.8199999999999996E-2"/>
    <n v="4.9099999999999998E-2"/>
    <n v="5"/>
    <s v="Yes"/>
    <s v="Yes"/>
    <n v="0.8"/>
    <n v="1022.6655616438355"/>
    <n v="56.814753424657532"/>
    <n v="965.85080821917802"/>
    <n v="40"/>
    <x v="296"/>
    <n v="297"/>
  </r>
  <r>
    <s v="SUP127"/>
    <x v="12"/>
    <s v="Europe"/>
    <x v="0"/>
    <s v="Small"/>
    <n v="1089809"/>
    <s v="INV00139"/>
    <n v="32078"/>
    <d v="2026-02-27T00:00:00"/>
    <n v="60"/>
    <n v="7"/>
    <n v="0.16689999999999999"/>
    <n v="5.2499999999999998E-2"/>
    <n v="10"/>
    <s v="No"/>
    <s v="Yes"/>
    <n v="0.9"/>
    <n v="880.07970410958899"/>
    <n v="46.139589041095888"/>
    <n v="833.94011506849313"/>
    <n v="50"/>
    <x v="297"/>
    <n v="298"/>
  </r>
  <r>
    <s v="SUP032"/>
    <x v="36"/>
    <s v="US"/>
    <x v="2"/>
    <s v="Medium"/>
    <n v="1954421"/>
    <s v="INV00948"/>
    <n v="56186"/>
    <d v="2025-03-27T00:00:00"/>
    <n v="60"/>
    <n v="10"/>
    <n v="0.1237"/>
    <n v="5.8400000000000001E-2"/>
    <n v="6"/>
    <s v="No"/>
    <s v="Yes"/>
    <n v="0.9"/>
    <n v="1142.4999780821918"/>
    <n v="53.938559999999995"/>
    <n v="1088.5614180821917"/>
    <n v="54"/>
    <x v="298"/>
    <n v="299"/>
  </r>
  <r>
    <s v="SUP011"/>
    <x v="39"/>
    <s v="APAC"/>
    <x v="1"/>
    <s v="Medium"/>
    <n v="3553623"/>
    <s v="INV00238"/>
    <n v="102502"/>
    <d v="2025-07-20T00:00:00"/>
    <n v="30"/>
    <n v="10"/>
    <n v="9.8199999999999996E-2"/>
    <n v="6.25E-2"/>
    <n v="6"/>
    <s v="No"/>
    <s v="Yes"/>
    <n v="0.9"/>
    <n v="827.31751232876695"/>
    <n v="105.31027397260273"/>
    <n v="722.00723835616418"/>
    <n v="24"/>
    <x v="299"/>
    <n v="300"/>
  </r>
  <r>
    <s v="SUP132"/>
    <x v="62"/>
    <s v="US"/>
    <x v="3"/>
    <s v="Large"/>
    <n v="15029491"/>
    <s v="INV00340"/>
    <n v="89292"/>
    <d v="2025-11-16T00:00:00"/>
    <n v="60"/>
    <n v="2"/>
    <n v="9.8400000000000001E-2"/>
    <n v="5.2299999999999999E-2"/>
    <n v="5"/>
    <s v="No"/>
    <s v="Yes"/>
    <n v="0.8"/>
    <n v="1444.3286794520548"/>
    <n v="63.972213698630128"/>
    <n v="1380.3564657534246"/>
    <n v="55"/>
    <x v="300"/>
    <n v="301"/>
  </r>
  <r>
    <s v="SUP057"/>
    <x v="8"/>
    <s v="Mexico"/>
    <x v="1"/>
    <s v="Small"/>
    <n v="946643"/>
    <s v="INV01237"/>
    <n v="58119"/>
    <d v="2025-07-21T00:00:00"/>
    <n v="60"/>
    <n v="7"/>
    <n v="0.1648"/>
    <n v="5.1799999999999999E-2"/>
    <n v="6"/>
    <s v="No"/>
    <s v="Yes"/>
    <n v="0.5"/>
    <n v="1574.4675945205479"/>
    <n v="49.488726575342454"/>
    <n v="1524.9788679452054"/>
    <n v="54"/>
    <x v="301"/>
    <n v="302"/>
  </r>
  <r>
    <s v="SUP126"/>
    <x v="53"/>
    <s v="Europe"/>
    <x v="2"/>
    <s v="Medium"/>
    <n v="4193232"/>
    <s v="INV00573"/>
    <n v="66257"/>
    <d v="2025-10-02T00:00:00"/>
    <n v="90"/>
    <n v="2"/>
    <n v="0.1235"/>
    <n v="6.1699999999999998E-2"/>
    <n v="7"/>
    <s v="No"/>
    <s v="Yes"/>
    <n v="0.8"/>
    <n v="2017.6617945205478"/>
    <n v="78.401091232876723"/>
    <n v="1939.260703287671"/>
    <n v="83"/>
    <x v="302"/>
    <n v="303"/>
  </r>
  <r>
    <s v="SUP100"/>
    <x v="80"/>
    <s v="Mexico"/>
    <x v="4"/>
    <s v="Large"/>
    <n v="13101534"/>
    <s v="INV00528"/>
    <n v="103295"/>
    <d v="2025-12-04T00:00:00"/>
    <n v="60"/>
    <n v="2"/>
    <n v="8.9499999999999996E-2"/>
    <n v="5.4300000000000001E-2"/>
    <n v="5"/>
    <s v="Yes"/>
    <s v="Yes"/>
    <n v="0.9"/>
    <n v="1519.71"/>
    <n v="76.834499999999991"/>
    <n v="1442.8755000000001"/>
    <n v="55"/>
    <x v="303"/>
    <n v="304"/>
  </r>
  <r>
    <s v="SUP056"/>
    <x v="58"/>
    <s v="Europe"/>
    <x v="0"/>
    <s v="Large"/>
    <n v="14943587"/>
    <s v="INV00207"/>
    <n v="104243"/>
    <d v="2025-02-28T00:00:00"/>
    <n v="60"/>
    <n v="2"/>
    <n v="0.1046"/>
    <n v="5.6500000000000002E-2"/>
    <n v="10"/>
    <s v="Yes"/>
    <s v="Yes"/>
    <n v="0.65"/>
    <n v="1792.4084054794521"/>
    <n v="161.36245205479452"/>
    <n v="1631.0459534246575"/>
    <n v="50"/>
    <x v="304"/>
    <n v="305"/>
  </r>
  <r>
    <s v="SUP078"/>
    <x v="24"/>
    <s v="Mexico"/>
    <x v="4"/>
    <s v="Small"/>
    <n v="412494"/>
    <s v="INV01493"/>
    <n v="65432"/>
    <d v="2025-04-25T00:00:00"/>
    <n v="30"/>
    <n v="5"/>
    <n v="0.15989999999999999"/>
    <n v="6.0299999999999999E-2"/>
    <n v="10"/>
    <s v="Yes"/>
    <s v="Yes"/>
    <n v="0.5"/>
    <n v="859.93781917808201"/>
    <n v="108.09724931506848"/>
    <n v="751.84056986301357"/>
    <n v="20"/>
    <x v="305"/>
    <n v="306"/>
  </r>
  <r>
    <s v="SUP022"/>
    <x v="37"/>
    <s v="APAC"/>
    <x v="4"/>
    <s v="Medium"/>
    <n v="6024640"/>
    <s v="INV01135"/>
    <n v="67013"/>
    <d v="2025-06-25T00:00:00"/>
    <n v="60"/>
    <n v="10"/>
    <n v="0.13769999999999999"/>
    <n v="6.2899999999999998E-2"/>
    <n v="6"/>
    <s v="No"/>
    <s v="Yes"/>
    <n v="0.65"/>
    <n v="1516.8805643835615"/>
    <n v="69.289606027397255"/>
    <n v="1447.5909583561643"/>
    <n v="54"/>
    <x v="306"/>
    <n v="307"/>
  </r>
  <r>
    <s v="SUP147"/>
    <x v="51"/>
    <s v="Canada"/>
    <x v="1"/>
    <s v="Small"/>
    <n v="367690"/>
    <s v="INV00570"/>
    <n v="51358"/>
    <d v="2025-10-19T00:00:00"/>
    <n v="60"/>
    <n v="4"/>
    <n v="0.1305"/>
    <n v="6.0299999999999999E-2"/>
    <n v="5"/>
    <s v="No"/>
    <s v="Yes"/>
    <n v="0.9"/>
    <n v="1101.7346301369862"/>
    <n v="42.423115068493146"/>
    <n v="1059.311515068493"/>
    <n v="55"/>
    <x v="307"/>
    <n v="308"/>
  </r>
  <r>
    <s v="SUP005"/>
    <x v="13"/>
    <s v="US"/>
    <x v="2"/>
    <s v="Small"/>
    <n v="701545"/>
    <s v="INV01000"/>
    <n v="82202"/>
    <d v="2025-09-24T00:00:00"/>
    <n v="45"/>
    <n v="5"/>
    <n v="0.17699999999999999"/>
    <n v="6.4600000000000005E-2"/>
    <n v="7"/>
    <s v="No"/>
    <s v="Yes"/>
    <n v="0.35"/>
    <n v="1793.8052876712327"/>
    <n v="101.84039561643837"/>
    <n v="1691.9648920547943"/>
    <n v="38"/>
    <x v="308"/>
    <n v="309"/>
  </r>
  <r>
    <s v="SUP105"/>
    <x v="81"/>
    <s v="Canada"/>
    <x v="4"/>
    <s v="Medium"/>
    <n v="3772612"/>
    <s v="INV00167"/>
    <n v="108940"/>
    <d v="2025-04-05T00:00:00"/>
    <n v="60"/>
    <n v="3"/>
    <n v="0.1053"/>
    <n v="5.9700000000000003E-2"/>
    <n v="7"/>
    <s v="Yes"/>
    <s v="Yes"/>
    <n v="0.65"/>
    <n v="1885.7066301369862"/>
    <n v="124.7288383561644"/>
    <n v="1760.9777917808217"/>
    <n v="53"/>
    <x v="309"/>
    <n v="310"/>
  </r>
  <r>
    <s v="SUP067"/>
    <x v="22"/>
    <s v="Europe"/>
    <x v="3"/>
    <s v="Small"/>
    <n v="1045125"/>
    <s v="INV00062"/>
    <n v="93885"/>
    <d v="2025-08-16T00:00:00"/>
    <n v="60"/>
    <n v="3"/>
    <n v="0.15740000000000001"/>
    <n v="5.9400000000000001E-2"/>
    <n v="5"/>
    <s v="No"/>
    <s v="Yes"/>
    <n v="0.35"/>
    <n v="2429.1779178082193"/>
    <n v="76.394095890410952"/>
    <n v="2352.7838219178084"/>
    <n v="55"/>
    <x v="310"/>
    <n v="311"/>
  </r>
  <r>
    <s v="SUP139"/>
    <x v="55"/>
    <s v="Canada"/>
    <x v="2"/>
    <s v="Large"/>
    <n v="13330124"/>
    <s v="INV00746"/>
    <n v="64730"/>
    <d v="2025-09-22T00:00:00"/>
    <n v="45"/>
    <n v="7"/>
    <n v="0.10920000000000001"/>
    <n v="5.4100000000000002E-2"/>
    <n v="10"/>
    <s v="Yes"/>
    <s v="Yes"/>
    <n v="0.9"/>
    <n v="871.46087671232874"/>
    <n v="95.942273972602734"/>
    <n v="775.51860273972602"/>
    <n v="35"/>
    <x v="311"/>
    <n v="312"/>
  </r>
  <r>
    <s v="SUP110"/>
    <x v="82"/>
    <s v="Europe"/>
    <x v="2"/>
    <s v="Medium"/>
    <n v="5617789"/>
    <s v="INV01363"/>
    <n v="83511"/>
    <d v="2025-04-01T00:00:00"/>
    <n v="60"/>
    <n v="2"/>
    <n v="9.5100000000000004E-2"/>
    <n v="5.2400000000000002E-2"/>
    <n v="10"/>
    <s v="No"/>
    <s v="Yes"/>
    <n v="0.9"/>
    <n v="1305.5171671232877"/>
    <n v="119.88976438356165"/>
    <n v="1185.627402739726"/>
    <n v="50"/>
    <x v="312"/>
    <n v="313"/>
  </r>
  <r>
    <s v="SUP067"/>
    <x v="22"/>
    <s v="Europe"/>
    <x v="3"/>
    <s v="Small"/>
    <n v="1045125"/>
    <s v="INV00028"/>
    <n v="32006"/>
    <d v="2025-07-10T00:00:00"/>
    <n v="60"/>
    <n v="5"/>
    <n v="0.15740000000000001"/>
    <n v="4.6300000000000001E-2"/>
    <n v="5"/>
    <s v="Yes"/>
    <s v="Yes"/>
    <n v="0.9"/>
    <n v="828.12236712328775"/>
    <n v="20.299695890410959"/>
    <n v="807.82267123287681"/>
    <n v="55"/>
    <x v="313"/>
    <n v="314"/>
  </r>
  <r>
    <s v="SUP099"/>
    <x v="40"/>
    <s v="US"/>
    <x v="2"/>
    <s v="Medium"/>
    <n v="6280246"/>
    <s v="INV01275"/>
    <n v="56241"/>
    <d v="2026-02-19T00:00:00"/>
    <n v="60"/>
    <n v="2"/>
    <n v="0.1205"/>
    <n v="5.7299999999999997E-2"/>
    <n v="7"/>
    <s v="No"/>
    <s v="Yes"/>
    <n v="0.9"/>
    <n v="1114.0340547945204"/>
    <n v="61.803466027397256"/>
    <n v="1052.2305887671232"/>
    <n v="53"/>
    <x v="314"/>
    <n v="315"/>
  </r>
  <r>
    <s v="SUP129"/>
    <x v="57"/>
    <s v="APAC"/>
    <x v="4"/>
    <s v="Medium"/>
    <n v="6051605"/>
    <s v="INV01186"/>
    <n v="88563"/>
    <d v="2025-12-05T00:00:00"/>
    <n v="90"/>
    <n v="5"/>
    <n v="0.11310000000000001"/>
    <n v="5.7700000000000001E-2"/>
    <n v="5"/>
    <s v="No"/>
    <s v="Yes"/>
    <n v="0.65"/>
    <n v="2469.8158273972604"/>
    <n v="70.001165753424658"/>
    <n v="2399.8146616438357"/>
    <n v="85"/>
    <x v="315"/>
    <n v="316"/>
  </r>
  <r>
    <s v="SUP125"/>
    <x v="83"/>
    <s v="Europe"/>
    <x v="4"/>
    <s v="Large"/>
    <n v="21625874"/>
    <s v="INV01413"/>
    <n v="109330"/>
    <d v="2025-02-10T00:00:00"/>
    <n v="60"/>
    <n v="7"/>
    <n v="9.5399999999999999E-2"/>
    <n v="5.8999999999999997E-2"/>
    <n v="8"/>
    <s v="No"/>
    <s v="Yes"/>
    <n v="0.8"/>
    <n v="1714.5340273972602"/>
    <n v="141.38016438356163"/>
    <n v="1573.1538630136986"/>
    <n v="52"/>
    <x v="316"/>
    <n v="317"/>
  </r>
  <r>
    <s v="SUP059"/>
    <x v="84"/>
    <s v="Canada"/>
    <x v="0"/>
    <s v="Large"/>
    <n v="22445214"/>
    <s v="INV00196"/>
    <n v="105747"/>
    <d v="2025-12-21T00:00:00"/>
    <n v="60"/>
    <n v="5"/>
    <n v="8.4000000000000005E-2"/>
    <n v="4.65E-2"/>
    <n v="10"/>
    <s v="No"/>
    <s v="Yes"/>
    <n v="0.8"/>
    <n v="1460.1777534246578"/>
    <n v="134.71878082191779"/>
    <n v="1325.45897260274"/>
    <n v="50"/>
    <x v="317"/>
    <n v="318"/>
  </r>
  <r>
    <s v="SUP123"/>
    <x v="25"/>
    <s v="Mexico"/>
    <x v="3"/>
    <s v="Medium"/>
    <n v="1716971"/>
    <s v="INV00691"/>
    <n v="92939"/>
    <d v="2025-09-27T00:00:00"/>
    <n v="60"/>
    <n v="5"/>
    <n v="9.4600000000000004E-2"/>
    <n v="5.21E-2"/>
    <n v="7"/>
    <s v="Yes"/>
    <s v="Yes"/>
    <n v="0.8"/>
    <n v="1445.2651068493149"/>
    <n v="92.862611780821922"/>
    <n v="1352.402495068493"/>
    <n v="53"/>
    <x v="318"/>
    <n v="319"/>
  </r>
  <r>
    <s v="SUP145"/>
    <x v="32"/>
    <s v="US"/>
    <x v="2"/>
    <s v="Medium"/>
    <n v="3469396"/>
    <s v="INV00056"/>
    <n v="106861"/>
    <d v="2025-06-08T00:00:00"/>
    <n v="90"/>
    <n v="7"/>
    <n v="0.1216"/>
    <n v="6.25E-2"/>
    <n v="7"/>
    <s v="Yes"/>
    <s v="Yes"/>
    <n v="0.5"/>
    <n v="3204.0733808219175"/>
    <n v="128.08681506849317"/>
    <n v="3075.9865657534242"/>
    <n v="83"/>
    <x v="319"/>
    <n v="320"/>
  </r>
  <r>
    <s v="SUP064"/>
    <x v="28"/>
    <s v="Canada"/>
    <x v="4"/>
    <s v="Medium"/>
    <n v="1514188"/>
    <s v="INV00786"/>
    <n v="69203"/>
    <d v="2025-09-10T00:00:00"/>
    <n v="45"/>
    <n v="5"/>
    <n v="0.11600000000000001"/>
    <n v="4.58E-2"/>
    <n v="7"/>
    <s v="No"/>
    <s v="Yes"/>
    <n v="0.65"/>
    <n v="989.69769863013698"/>
    <n v="60.784881643835625"/>
    <n v="928.91281698630132"/>
    <n v="38"/>
    <x v="320"/>
    <n v="321"/>
  </r>
  <r>
    <s v="SUP021"/>
    <x v="85"/>
    <s v="Canada"/>
    <x v="4"/>
    <s v="Large"/>
    <n v="17014146"/>
    <s v="INV00428"/>
    <n v="81444"/>
    <d v="2025-10-22T00:00:00"/>
    <n v="60"/>
    <n v="5"/>
    <n v="0.1037"/>
    <n v="6.08E-2"/>
    <n v="8"/>
    <s v="No"/>
    <s v="Yes"/>
    <n v="0.9"/>
    <n v="1388.3412821917807"/>
    <n v="108.53249753424657"/>
    <n v="1279.808784657534"/>
    <n v="52"/>
    <x v="321"/>
    <n v="322"/>
  </r>
  <r>
    <s v="SUP112"/>
    <x v="25"/>
    <s v="Canada"/>
    <x v="1"/>
    <s v="Medium"/>
    <n v="2121447"/>
    <s v="INV01491"/>
    <n v="59850"/>
    <d v="2025-07-11T00:00:00"/>
    <n v="90"/>
    <n v="2"/>
    <n v="0.11890000000000001"/>
    <n v="6.0699999999999997E-2"/>
    <n v="5"/>
    <s v="No"/>
    <s v="Yes"/>
    <n v="0.9"/>
    <n v="1754.6708219178081"/>
    <n v="49.765684931506847"/>
    <n v="1704.9051369863012"/>
    <n v="85"/>
    <x v="322"/>
    <n v="323"/>
  </r>
  <r>
    <s v="SUP127"/>
    <x v="12"/>
    <s v="Europe"/>
    <x v="0"/>
    <s v="Small"/>
    <n v="1089809"/>
    <s v="INV01036"/>
    <n v="44651"/>
    <d v="2025-09-15T00:00:00"/>
    <n v="60"/>
    <n v="5"/>
    <n v="0.16689999999999999"/>
    <n v="5.91E-2"/>
    <n v="6"/>
    <s v="No"/>
    <s v="Yes"/>
    <n v="0.65"/>
    <n v="1225.027709589041"/>
    <n v="43.378752328767121"/>
    <n v="1181.6489572602738"/>
    <n v="54"/>
    <x v="323"/>
    <n v="324"/>
  </r>
  <r>
    <s v="SUP017"/>
    <x v="70"/>
    <s v="APAC"/>
    <x v="2"/>
    <s v="Medium"/>
    <n v="5041335"/>
    <s v="INV01226"/>
    <n v="78954"/>
    <d v="2025-03-11T00:00:00"/>
    <n v="60"/>
    <n v="2"/>
    <n v="0.1198"/>
    <n v="5.8999999999999997E-2"/>
    <n v="10"/>
    <s v="Yes"/>
    <s v="Yes"/>
    <n v="0.65"/>
    <n v="1554.8530191780821"/>
    <n v="127.62427397260274"/>
    <n v="1427.2287452054793"/>
    <n v="50"/>
    <x v="324"/>
    <n v="325"/>
  </r>
  <r>
    <s v="SUP053"/>
    <x v="86"/>
    <s v="Canada"/>
    <x v="2"/>
    <s v="Large"/>
    <n v="12001432"/>
    <s v="INV00099"/>
    <n v="89569"/>
    <d v="2025-01-22T00:00:00"/>
    <n v="90"/>
    <n v="3"/>
    <n v="9.1800000000000007E-2"/>
    <n v="4.8399999999999999E-2"/>
    <n v="10"/>
    <s v="No"/>
    <s v="Yes"/>
    <n v="0.8"/>
    <n v="2027.4495287671232"/>
    <n v="118.77094794520546"/>
    <n v="1908.6785808219176"/>
    <n v="80"/>
    <x v="325"/>
    <n v="326"/>
  </r>
  <r>
    <s v="SUP117"/>
    <x v="56"/>
    <s v="APAC"/>
    <x v="2"/>
    <s v="Small"/>
    <n v="407422"/>
    <s v="INV00597"/>
    <n v="61664"/>
    <d v="2026-01-22T00:00:00"/>
    <n v="60"/>
    <n v="10"/>
    <n v="0.121"/>
    <n v="5.8200000000000002E-2"/>
    <n v="5"/>
    <s v="Yes"/>
    <s v="Yes"/>
    <n v="0.8"/>
    <n v="1226.522301369863"/>
    <n v="49.162257534246578"/>
    <n v="1177.3600438356166"/>
    <n v="55"/>
    <x v="326"/>
    <n v="327"/>
  </r>
  <r>
    <s v="SUP017"/>
    <x v="70"/>
    <s v="APAC"/>
    <x v="2"/>
    <s v="Medium"/>
    <n v="5041335"/>
    <s v="INV00377"/>
    <n v="101573"/>
    <d v="2026-02-21T00:00:00"/>
    <n v="45"/>
    <n v="2"/>
    <n v="0.1198"/>
    <n v="5.8799999999999998E-2"/>
    <n v="7"/>
    <s v="Yes"/>
    <s v="Yes"/>
    <n v="0.5"/>
    <n v="1500.2192958904109"/>
    <n v="114.54095013698631"/>
    <n v="1385.6783457534245"/>
    <n v="38"/>
    <x v="327"/>
    <n v="328"/>
  </r>
  <r>
    <s v="SUP112"/>
    <x v="25"/>
    <s v="Canada"/>
    <x v="1"/>
    <s v="Medium"/>
    <n v="2121447"/>
    <s v="INV00451"/>
    <n v="100580"/>
    <d v="2025-11-14T00:00:00"/>
    <n v="90"/>
    <n v="5"/>
    <n v="0.11890000000000001"/>
    <n v="5.7299999999999997E-2"/>
    <n v="10"/>
    <s v="No"/>
    <s v="Yes"/>
    <n v="0.5"/>
    <n v="2948.7851506849315"/>
    <n v="157.89682191780818"/>
    <n v="2790.8883287671233"/>
    <n v="80"/>
    <x v="328"/>
    <n v="329"/>
  </r>
  <r>
    <s v="SUP147"/>
    <x v="51"/>
    <s v="Canada"/>
    <x v="1"/>
    <s v="Small"/>
    <n v="367690"/>
    <s v="INV00154"/>
    <n v="51552"/>
    <d v="2026-01-12T00:00:00"/>
    <n v="90"/>
    <n v="10"/>
    <n v="0.1305"/>
    <n v="5.5399999999999998E-2"/>
    <n v="8"/>
    <s v="No"/>
    <s v="Yes"/>
    <n v="0.8"/>
    <n v="1658.8444931506849"/>
    <n v="62.596839452054788"/>
    <n v="1596.2476536986301"/>
    <n v="82"/>
    <x v="329"/>
    <n v="330"/>
  </r>
  <r>
    <s v="SUP018"/>
    <x v="14"/>
    <s v="APAC"/>
    <x v="4"/>
    <s v="Medium"/>
    <n v="6140796"/>
    <s v="INV00294"/>
    <n v="104340"/>
    <d v="2025-04-08T00:00:00"/>
    <n v="30"/>
    <n v="10"/>
    <n v="0.13300000000000001"/>
    <n v="4.8300000000000003E-2"/>
    <n v="8"/>
    <s v="Yes"/>
    <s v="Yes"/>
    <n v="0.35"/>
    <n v="1140.5934246575343"/>
    <n v="110.4574684931507"/>
    <n v="1030.1359561643837"/>
    <n v="22"/>
    <x v="330"/>
    <n v="331"/>
  </r>
  <r>
    <s v="SUP041"/>
    <x v="3"/>
    <s v="Europe"/>
    <x v="0"/>
    <s v="Small"/>
    <n v="639703"/>
    <s v="INV00396"/>
    <n v="106409"/>
    <d v="2026-02-07T00:00:00"/>
    <n v="60"/>
    <n v="10"/>
    <n v="0.1148"/>
    <n v="5.67E-2"/>
    <n v="5"/>
    <s v="No"/>
    <s v="Yes"/>
    <n v="0.5"/>
    <n v="2008.069019178082"/>
    <n v="82.649182191780824"/>
    <n v="1925.4198369863011"/>
    <n v="55"/>
    <x v="331"/>
    <n v="332"/>
  </r>
  <r>
    <s v="SUP095"/>
    <x v="56"/>
    <s v="US"/>
    <x v="2"/>
    <s v="Small"/>
    <n v="965613"/>
    <s v="INV00456"/>
    <n v="83901"/>
    <d v="2025-04-18T00:00:00"/>
    <n v="45"/>
    <n v="4"/>
    <n v="0.1109"/>
    <n v="5.4399999999999997E-2"/>
    <n v="10"/>
    <s v="No"/>
    <s v="Yes"/>
    <n v="0.65"/>
    <n v="1147.1450424657532"/>
    <n v="125.04696986301369"/>
    <n v="1022.0980726027395"/>
    <n v="35"/>
    <x v="332"/>
    <n v="333"/>
  </r>
  <r>
    <s v="SUP017"/>
    <x v="70"/>
    <s v="APAC"/>
    <x v="2"/>
    <s v="Medium"/>
    <n v="5041335"/>
    <s v="INV00896"/>
    <n v="97420"/>
    <d v="2025-11-05T00:00:00"/>
    <n v="60"/>
    <n v="4"/>
    <n v="0.1198"/>
    <n v="5.67E-2"/>
    <n v="10"/>
    <s v="No"/>
    <s v="Yes"/>
    <n v="0.5"/>
    <n v="1918.5067397260275"/>
    <n v="151.33463013698628"/>
    <n v="1767.1721095890412"/>
    <n v="50"/>
    <x v="333"/>
    <n v="334"/>
  </r>
  <r>
    <s v="SUP110"/>
    <x v="82"/>
    <s v="Europe"/>
    <x v="2"/>
    <s v="Medium"/>
    <n v="5617789"/>
    <s v="INV00472"/>
    <n v="82855"/>
    <d v="2026-01-19T00:00:00"/>
    <n v="90"/>
    <n v="7"/>
    <n v="9.5100000000000004E-2"/>
    <n v="5.3900000000000003E-2"/>
    <n v="10"/>
    <s v="Yes"/>
    <s v="Yes"/>
    <n v="0.9"/>
    <n v="1942.893"/>
    <n v="122.35299999999999"/>
    <n v="1820.54"/>
    <n v="80"/>
    <x v="334"/>
    <n v="335"/>
  </r>
  <r>
    <s v="SUP146"/>
    <x v="46"/>
    <s v="US"/>
    <x v="0"/>
    <s v="Large"/>
    <n v="10372464"/>
    <s v="INV01220"/>
    <n v="83543"/>
    <d v="2025-12-31T00:00:00"/>
    <n v="45"/>
    <n v="5"/>
    <n v="8.77E-2"/>
    <n v="4.6899999999999997E-2"/>
    <n v="10"/>
    <s v="No"/>
    <s v="Yes"/>
    <n v="0.9"/>
    <n v="903.29438219178076"/>
    <n v="107.34703287671232"/>
    <n v="795.94734931506844"/>
    <n v="35"/>
    <x v="335"/>
    <n v="336"/>
  </r>
  <r>
    <s v="SUP064"/>
    <x v="28"/>
    <s v="Canada"/>
    <x v="4"/>
    <s v="Medium"/>
    <n v="1514188"/>
    <s v="INV01395"/>
    <n v="53815"/>
    <d v="2025-07-25T00:00:00"/>
    <n v="45"/>
    <n v="7"/>
    <n v="0.11600000000000001"/>
    <n v="5.2699999999999997E-2"/>
    <n v="8"/>
    <s v="Yes"/>
    <s v="Yes"/>
    <n v="0.9"/>
    <n v="769.62821917808219"/>
    <n v="62.16001095890411"/>
    <n v="707.46820821917811"/>
    <n v="37"/>
    <x v="336"/>
    <n v="337"/>
  </r>
  <r>
    <s v="SUP128"/>
    <x v="26"/>
    <s v="APAC"/>
    <x v="0"/>
    <s v="Small"/>
    <n v="927954"/>
    <s v="INV01393"/>
    <n v="52775"/>
    <d v="2025-02-24T00:00:00"/>
    <n v="60"/>
    <n v="5"/>
    <n v="0.1181"/>
    <n v="4.5699999999999998E-2"/>
    <n v="8"/>
    <s v="Yes"/>
    <s v="Yes"/>
    <n v="0.8"/>
    <n v="1024.5579452054794"/>
    <n v="52.861753424657529"/>
    <n v="971.69619178082189"/>
    <n v="52"/>
    <x v="337"/>
    <n v="338"/>
  </r>
  <r>
    <s v="SUP137"/>
    <x v="2"/>
    <s v="Canada"/>
    <x v="2"/>
    <s v="Small"/>
    <n v="876116"/>
    <s v="INV01069"/>
    <n v="45099"/>
    <d v="2025-02-04T00:00:00"/>
    <n v="90"/>
    <n v="7"/>
    <n v="0.1686"/>
    <n v="6.4500000000000002E-2"/>
    <n v="7"/>
    <s v="No"/>
    <s v="Yes"/>
    <n v="0.65"/>
    <n v="1874.882810958904"/>
    <n v="55.786845205479452"/>
    <n v="1819.0959657534245"/>
    <n v="83"/>
    <x v="338"/>
    <n v="339"/>
  </r>
  <r>
    <s v="SUP006"/>
    <x v="4"/>
    <s v="Europe"/>
    <x v="3"/>
    <s v="Small"/>
    <n v="971327"/>
    <s v="INV00243"/>
    <n v="82471"/>
    <d v="2025-10-02T00:00:00"/>
    <n v="60"/>
    <n v="4"/>
    <n v="0.15229999999999999"/>
    <n v="4.6699999999999998E-2"/>
    <n v="5"/>
    <s v="No"/>
    <s v="Yes"/>
    <n v="0.35"/>
    <n v="2064.7123232876706"/>
    <n v="52.758845205479453"/>
    <n v="2011.9534780821912"/>
    <n v="55"/>
    <x v="339"/>
    <n v="340"/>
  </r>
  <r>
    <s v="SUP016"/>
    <x v="87"/>
    <s v="US"/>
    <x v="1"/>
    <s v="Large"/>
    <n v="11641644"/>
    <s v="INV00116"/>
    <n v="94478"/>
    <d v="2025-09-03T00:00:00"/>
    <n v="30"/>
    <n v="5"/>
    <n v="9.0399999999999994E-2"/>
    <n v="5.0299999999999997E-2"/>
    <n v="10"/>
    <s v="No"/>
    <s v="Yes"/>
    <n v="0.8"/>
    <n v="701.98448219178078"/>
    <n v="130.19844931506847"/>
    <n v="571.78603287671228"/>
    <n v="20"/>
    <x v="340"/>
    <n v="341"/>
  </r>
  <r>
    <s v="SUP013"/>
    <x v="7"/>
    <s v="Europe"/>
    <x v="2"/>
    <s v="Small"/>
    <n v="1439462"/>
    <s v="INV01357"/>
    <n v="76237"/>
    <d v="2025-01-13T00:00:00"/>
    <n v="60"/>
    <n v="4"/>
    <n v="0.17130000000000001"/>
    <n v="5.8700000000000002E-2"/>
    <n v="10"/>
    <s v="No"/>
    <s v="Yes"/>
    <n v="0.35"/>
    <n v="2146.7503726027398"/>
    <n v="122.60580547945204"/>
    <n v="2024.1445671232877"/>
    <n v="50"/>
    <x v="341"/>
    <n v="342"/>
  </r>
  <r>
    <s v="SUP011"/>
    <x v="39"/>
    <s v="APAC"/>
    <x v="1"/>
    <s v="Medium"/>
    <n v="3553623"/>
    <s v="INV00851"/>
    <n v="75068"/>
    <d v="2025-11-07T00:00:00"/>
    <n v="60"/>
    <n v="7"/>
    <n v="9.8199999999999996E-2"/>
    <n v="5.3999999999999999E-2"/>
    <n v="7"/>
    <s v="No"/>
    <s v="Yes"/>
    <n v="0.9"/>
    <n v="1211.7826191780821"/>
    <n v="77.741654794520556"/>
    <n v="1134.0409643835615"/>
    <n v="53"/>
    <x v="342"/>
    <n v="343"/>
  </r>
  <r>
    <s v="SUP059"/>
    <x v="84"/>
    <s v="Canada"/>
    <x v="0"/>
    <s v="Large"/>
    <n v="22445214"/>
    <s v="INV00420"/>
    <n v="96837"/>
    <d v="2025-09-20T00:00:00"/>
    <n v="60"/>
    <n v="2"/>
    <n v="8.4000000000000005E-2"/>
    <n v="4.99E-2"/>
    <n v="6"/>
    <s v="No"/>
    <s v="Yes"/>
    <n v="0.9"/>
    <n v="1337.1465205479453"/>
    <n v="79.432870684931501"/>
    <n v="1257.7136498630139"/>
    <n v="54"/>
    <x v="343"/>
    <n v="344"/>
  </r>
  <r>
    <s v="SUP061"/>
    <x v="14"/>
    <s v="Mexico"/>
    <x v="1"/>
    <s v="Small"/>
    <n v="1374525"/>
    <s v="INV01315"/>
    <n v="106802"/>
    <d v="2025-01-20T00:00:00"/>
    <n v="60"/>
    <n v="2"/>
    <n v="0.13320000000000001"/>
    <n v="5.3699999999999998E-2"/>
    <n v="8"/>
    <s v="No"/>
    <s v="Yes"/>
    <n v="0.35"/>
    <n v="2338.524887671233"/>
    <n v="125.7044909589041"/>
    <n v="2212.8203967123291"/>
    <n v="52"/>
    <x v="344"/>
    <n v="345"/>
  </r>
  <r>
    <s v="SUP138"/>
    <x v="59"/>
    <s v="Europe"/>
    <x v="2"/>
    <s v="Medium"/>
    <n v="4395110"/>
    <s v="INV01350"/>
    <n v="64857"/>
    <d v="2025-04-21T00:00:00"/>
    <n v="90"/>
    <n v="7"/>
    <n v="0.1066"/>
    <n v="5.5800000000000002E-2"/>
    <n v="6"/>
    <s v="Yes"/>
    <s v="Yes"/>
    <n v="0.9"/>
    <n v="1704.7618027397259"/>
    <n v="59.490749589041094"/>
    <n v="1645.2710531506848"/>
    <n v="84"/>
    <x v="345"/>
    <n v="346"/>
  </r>
  <r>
    <s v="SUP033"/>
    <x v="50"/>
    <s v="Europe"/>
    <x v="1"/>
    <s v="Medium"/>
    <n v="2416616"/>
    <s v="INV01355"/>
    <n v="85419"/>
    <d v="2025-02-10T00:00:00"/>
    <n v="60"/>
    <n v="5"/>
    <n v="0.1024"/>
    <n v="5.91E-2"/>
    <n v="7"/>
    <s v="No"/>
    <s v="Yes"/>
    <n v="0.8"/>
    <n v="1437.847495890411"/>
    <n v="96.816000821917811"/>
    <n v="1341.0314950684931"/>
    <n v="53"/>
    <x v="346"/>
    <n v="347"/>
  </r>
  <r>
    <s v="SUP150"/>
    <x v="25"/>
    <s v="Europe"/>
    <x v="4"/>
    <s v="Small"/>
    <n v="782629"/>
    <s v="INV00619"/>
    <n v="87727"/>
    <d v="2025-08-26T00:00:00"/>
    <n v="60"/>
    <n v="4"/>
    <n v="0.14219999999999999"/>
    <n v="4.6100000000000002E-2"/>
    <n v="7"/>
    <s v="No"/>
    <s v="Yes"/>
    <n v="0.35"/>
    <n v="2050.6486684931506"/>
    <n v="77.560281917808226"/>
    <n v="1973.0883865753424"/>
    <n v="53"/>
    <x v="347"/>
    <n v="348"/>
  </r>
  <r>
    <s v="SUP117"/>
    <x v="56"/>
    <s v="APAC"/>
    <x v="2"/>
    <s v="Small"/>
    <n v="407422"/>
    <s v="INV01484"/>
    <n v="79698"/>
    <d v="2025-08-01T00:00:00"/>
    <n v="45"/>
    <n v="3"/>
    <n v="0.121"/>
    <n v="4.7399999999999998E-2"/>
    <n v="8"/>
    <s v="No"/>
    <s v="Yes"/>
    <n v="0.5"/>
    <n v="1188.9194794520547"/>
    <n v="82.798579726027398"/>
    <n v="1106.1208997260273"/>
    <n v="37"/>
    <x v="348"/>
    <n v="349"/>
  </r>
  <r>
    <s v="SUP135"/>
    <x v="50"/>
    <s v="Canada"/>
    <x v="0"/>
    <s v="Small"/>
    <n v="1406086"/>
    <s v="INV00680"/>
    <n v="50426"/>
    <d v="2025-11-27T00:00:00"/>
    <n v="60"/>
    <n v="10"/>
    <n v="0.1201"/>
    <n v="5.5800000000000002E-2"/>
    <n v="6"/>
    <s v="No"/>
    <s v="Yes"/>
    <n v="0.9"/>
    <n v="995.53357808219164"/>
    <n v="46.253766575342468"/>
    <n v="949.27981150684923"/>
    <n v="54"/>
    <x v="349"/>
    <n v="350"/>
  </r>
  <r>
    <s v="SUP080"/>
    <x v="67"/>
    <s v="US"/>
    <x v="1"/>
    <s v="Small"/>
    <n v="1104797"/>
    <s v="INV01421"/>
    <n v="49802"/>
    <d v="2025-12-01T00:00:00"/>
    <n v="30"/>
    <n v="4"/>
    <n v="0.13320000000000001"/>
    <n v="6.0299999999999999E-2"/>
    <n v="6"/>
    <s v="No"/>
    <s v="Yes"/>
    <n v="0.8"/>
    <n v="545.22956712328778"/>
    <n v="49.365379726027392"/>
    <n v="495.86418739726037"/>
    <n v="24"/>
    <x v="350"/>
    <n v="351"/>
  </r>
  <r>
    <s v="SUP083"/>
    <x v="45"/>
    <s v="Europe"/>
    <x v="0"/>
    <s v="Medium"/>
    <n v="3350013"/>
    <s v="INV00542"/>
    <n v="74469"/>
    <d v="2025-03-12T00:00:00"/>
    <n v="45"/>
    <n v="7"/>
    <n v="0.1144"/>
    <n v="5.4399999999999997E-2"/>
    <n v="7"/>
    <s v="Yes"/>
    <s v="Yes"/>
    <n v="0.65"/>
    <n v="1050.3189369863014"/>
    <n v="77.692589589041091"/>
    <n v="972.62634739726036"/>
    <n v="38"/>
    <x v="351"/>
    <n v="352"/>
  </r>
  <r>
    <s v="SUP103"/>
    <x v="79"/>
    <s v="Mexico"/>
    <x v="3"/>
    <s v="Medium"/>
    <n v="2280589"/>
    <s v="INV00033"/>
    <n v="98223"/>
    <d v="2025-06-29T00:00:00"/>
    <n v="60"/>
    <n v="4"/>
    <n v="0.1047"/>
    <n v="4.5600000000000002E-2"/>
    <n v="7"/>
    <s v="No"/>
    <s v="Yes"/>
    <n v="0.5"/>
    <n v="1690.5120164383561"/>
    <n v="85.898031780821938"/>
    <n v="1604.6139846575343"/>
    <n v="53"/>
    <x v="352"/>
    <n v="353"/>
  </r>
  <r>
    <s v="SUP095"/>
    <x v="56"/>
    <s v="US"/>
    <x v="2"/>
    <s v="Small"/>
    <n v="965613"/>
    <s v="INV00831"/>
    <n v="56342"/>
    <d v="2025-03-19T00:00:00"/>
    <n v="60"/>
    <n v="3"/>
    <n v="0.1109"/>
    <n v="5.3699999999999998E-2"/>
    <n v="8"/>
    <s v="No"/>
    <s v="Yes"/>
    <n v="0.9"/>
    <n v="1027.1223780821917"/>
    <n v="66.313762191780825"/>
    <n v="960.80861589041092"/>
    <n v="52"/>
    <x v="353"/>
    <n v="354"/>
  </r>
  <r>
    <s v="SUP131"/>
    <x v="68"/>
    <s v="US"/>
    <x v="0"/>
    <s v="Medium"/>
    <n v="3916164"/>
    <s v="INV00406"/>
    <n v="55458"/>
    <d v="2025-11-07T00:00:00"/>
    <n v="90"/>
    <n v="5"/>
    <n v="0.1119"/>
    <n v="5.3900000000000003E-2"/>
    <n v="7"/>
    <s v="No"/>
    <s v="Yes"/>
    <n v="0.9"/>
    <n v="1530.1849808219179"/>
    <n v="57.326858630136989"/>
    <n v="1472.8581221917809"/>
    <n v="83"/>
    <x v="354"/>
    <n v="355"/>
  </r>
  <r>
    <s v="SUP123"/>
    <x v="25"/>
    <s v="Mexico"/>
    <x v="3"/>
    <s v="Medium"/>
    <n v="1716971"/>
    <s v="INV00112"/>
    <n v="90966"/>
    <d v="2025-09-23T00:00:00"/>
    <n v="60"/>
    <n v="7"/>
    <n v="9.4600000000000004E-2"/>
    <n v="4.58E-2"/>
    <n v="5"/>
    <s v="Yes"/>
    <s v="Yes"/>
    <n v="0.65"/>
    <n v="1414.5836054794522"/>
    <n v="57.071819178082187"/>
    <n v="1357.51178630137"/>
    <n v="55"/>
    <x v="355"/>
    <n v="356"/>
  </r>
  <r>
    <s v="SUP057"/>
    <x v="8"/>
    <s v="Mexico"/>
    <x v="1"/>
    <s v="Small"/>
    <n v="946643"/>
    <s v="INV01042"/>
    <n v="44011"/>
    <d v="2025-03-28T00:00:00"/>
    <n v="90"/>
    <n v="10"/>
    <n v="0.1648"/>
    <n v="6.4000000000000001E-2"/>
    <n v="10"/>
    <s v="No"/>
    <s v="Yes"/>
    <n v="0.65"/>
    <n v="1788.4141150684932"/>
    <n v="77.169972602739733"/>
    <n v="1711.2441424657534"/>
    <n v="80"/>
    <x v="356"/>
    <n v="357"/>
  </r>
  <r>
    <s v="SUP097"/>
    <x v="67"/>
    <s v="APAC"/>
    <x v="4"/>
    <s v="Medium"/>
    <n v="6014522"/>
    <s v="INV00620"/>
    <n v="64264"/>
    <d v="2025-08-31T00:00:00"/>
    <n v="60"/>
    <n v="5"/>
    <n v="0.12870000000000001"/>
    <n v="5.9900000000000002E-2"/>
    <n v="10"/>
    <s v="Yes"/>
    <s v="Yes"/>
    <n v="0.65"/>
    <n v="1359.5797479452056"/>
    <n v="105.46338630136987"/>
    <n v="1254.1163616438357"/>
    <n v="50"/>
    <x v="357"/>
    <n v="358"/>
  </r>
  <r>
    <s v="SUP056"/>
    <x v="58"/>
    <s v="Europe"/>
    <x v="0"/>
    <s v="Large"/>
    <n v="14943587"/>
    <s v="INV01276"/>
    <n v="91691"/>
    <d v="2025-08-25T00:00:00"/>
    <n v="30"/>
    <n v="4"/>
    <n v="0.1046"/>
    <n v="5.6399999999999999E-2"/>
    <n v="7"/>
    <s v="No"/>
    <s v="Yes"/>
    <n v="0.65"/>
    <n v="788.29139178082187"/>
    <n v="99.177004931506858"/>
    <n v="689.114386849315"/>
    <n v="23"/>
    <x v="358"/>
    <n v="359"/>
  </r>
  <r>
    <s v="SUP036"/>
    <x v="21"/>
    <s v="Europe"/>
    <x v="0"/>
    <s v="Medium"/>
    <n v="3293043"/>
    <s v="INV00505"/>
    <n v="58918"/>
    <d v="2025-09-16T00:00:00"/>
    <n v="60"/>
    <n v="10"/>
    <n v="0.13320000000000001"/>
    <n v="5.8299999999999998E-2"/>
    <n v="5"/>
    <s v="Yes"/>
    <s v="Yes"/>
    <n v="0.65"/>
    <n v="1290.0620712328769"/>
    <n v="47.0536904109589"/>
    <n v="1243.0083808219179"/>
    <n v="55"/>
    <x v="359"/>
    <n v="360"/>
  </r>
  <r>
    <s v="SUP117"/>
    <x v="56"/>
    <s v="APAC"/>
    <x v="2"/>
    <s v="Small"/>
    <n v="407422"/>
    <s v="INV00643"/>
    <n v="108398"/>
    <d v="2025-01-08T00:00:00"/>
    <n v="45"/>
    <n v="10"/>
    <n v="0.121"/>
    <n v="4.5400000000000003E-2"/>
    <n v="10"/>
    <s v="Yes"/>
    <s v="Yes"/>
    <n v="0.35"/>
    <n v="1617.0605753424657"/>
    <n v="134.82929315068495"/>
    <n v="1482.2312821917808"/>
    <n v="35"/>
    <x v="360"/>
    <n v="361"/>
  </r>
  <r>
    <s v="SUP098"/>
    <x v="1"/>
    <s v="Europe"/>
    <x v="1"/>
    <s v="Small"/>
    <n v="764840"/>
    <s v="INV00844"/>
    <n v="40152"/>
    <d v="2025-05-16T00:00:00"/>
    <n v="60"/>
    <n v="4"/>
    <n v="0.16819999999999999"/>
    <n v="5.8500000000000003E-2"/>
    <n v="8"/>
    <s v="No"/>
    <s v="Yes"/>
    <n v="0.65"/>
    <n v="1110.1752986301369"/>
    <n v="51.482564383561652"/>
    <n v="1058.6927342465754"/>
    <n v="52"/>
    <x v="361"/>
    <n v="362"/>
  </r>
  <r>
    <s v="SUP045"/>
    <x v="41"/>
    <s v="Canada"/>
    <x v="3"/>
    <s v="Medium"/>
    <n v="6222733"/>
    <s v="INV01417"/>
    <n v="61601"/>
    <d v="2025-04-02T00:00:00"/>
    <n v="60"/>
    <n v="2"/>
    <n v="0.13980000000000001"/>
    <n v="4.6899999999999997E-2"/>
    <n v="6"/>
    <s v="Yes"/>
    <s v="Yes"/>
    <n v="0.5"/>
    <n v="1415.6416109589043"/>
    <n v="47.491839452054784"/>
    <n v="1368.1497715068494"/>
    <n v="54"/>
    <x v="362"/>
    <n v="363"/>
  </r>
  <r>
    <s v="SUP037"/>
    <x v="65"/>
    <s v="Mexico"/>
    <x v="2"/>
    <s v="Large"/>
    <n v="15898738"/>
    <s v="INV00752"/>
    <n v="96793"/>
    <d v="2025-12-04T00:00:00"/>
    <n v="90"/>
    <n v="3"/>
    <n v="0.1071"/>
    <n v="4.82E-2"/>
    <n v="6"/>
    <s v="Yes"/>
    <s v="Yes"/>
    <n v="0.5"/>
    <n v="2556.1307589041094"/>
    <n v="76.691878356164381"/>
    <n v="2479.4388805479448"/>
    <n v="84"/>
    <x v="363"/>
    <n v="364"/>
  </r>
  <r>
    <s v="SUP100"/>
    <x v="80"/>
    <s v="Mexico"/>
    <x v="4"/>
    <s v="Large"/>
    <n v="13101534"/>
    <s v="INV00581"/>
    <n v="89894"/>
    <d v="2025-06-09T00:00:00"/>
    <n v="90"/>
    <n v="4"/>
    <n v="8.9499999999999996E-2"/>
    <n v="5.4300000000000001E-2"/>
    <n v="5"/>
    <s v="Yes"/>
    <s v="Yes"/>
    <n v="0.9"/>
    <n v="1983.8251232876712"/>
    <n v="66.866358904109589"/>
    <n v="1916.9587643835616"/>
    <n v="85"/>
    <x v="364"/>
    <n v="365"/>
  </r>
  <r>
    <s v="SUP135"/>
    <x v="50"/>
    <s v="Canada"/>
    <x v="0"/>
    <s v="Small"/>
    <n v="1406086"/>
    <s v="INV01225"/>
    <n v="55710"/>
    <d v="2025-12-12T00:00:00"/>
    <n v="60"/>
    <n v="4"/>
    <n v="0.1201"/>
    <n v="5.6300000000000003E-2"/>
    <n v="7"/>
    <s v="No"/>
    <s v="Yes"/>
    <n v="0.8"/>
    <n v="1099.8527671232875"/>
    <n v="60.151536986301373"/>
    <n v="1039.7012301369862"/>
    <n v="53"/>
    <x v="365"/>
    <n v="366"/>
  </r>
  <r>
    <s v="SUP017"/>
    <x v="70"/>
    <s v="APAC"/>
    <x v="2"/>
    <s v="Medium"/>
    <n v="5041335"/>
    <s v="INV01361"/>
    <n v="48038"/>
    <d v="2026-02-26T00:00:00"/>
    <n v="60"/>
    <n v="5"/>
    <n v="0.1198"/>
    <n v="4.5900000000000003E-2"/>
    <n v="7"/>
    <s v="No"/>
    <s v="Yes"/>
    <n v="0.8"/>
    <n v="946.01957260273969"/>
    <n v="42.286601095890418"/>
    <n v="903.73297150684925"/>
    <n v="53"/>
    <x v="366"/>
    <n v="367"/>
  </r>
  <r>
    <s v="SUP137"/>
    <x v="2"/>
    <s v="Canada"/>
    <x v="2"/>
    <s v="Small"/>
    <n v="876116"/>
    <s v="INV00132"/>
    <n v="71552"/>
    <d v="2026-02-19T00:00:00"/>
    <n v="90"/>
    <n v="7"/>
    <n v="0.1686"/>
    <n v="5.5500000000000001E-2"/>
    <n v="6"/>
    <s v="No"/>
    <s v="Yes"/>
    <n v="0.35"/>
    <n v="2974.6028712328766"/>
    <n v="65.278947945205474"/>
    <n v="2909.3239232876713"/>
    <n v="84"/>
    <x v="367"/>
    <n v="368"/>
  </r>
  <r>
    <s v="SUP131"/>
    <x v="68"/>
    <s v="US"/>
    <x v="0"/>
    <s v="Medium"/>
    <n v="3916164"/>
    <s v="INV00209"/>
    <n v="57603"/>
    <d v="2025-03-10T00:00:00"/>
    <n v="60"/>
    <n v="5"/>
    <n v="0.1119"/>
    <n v="5.7299999999999997E-2"/>
    <n v="7"/>
    <s v="No"/>
    <s v="Yes"/>
    <n v="0.9"/>
    <n v="1059.5795671232877"/>
    <n v="63.300173424657537"/>
    <n v="996.2793936986302"/>
    <n v="53"/>
    <x v="368"/>
    <n v="369"/>
  </r>
  <r>
    <s v="SUP046"/>
    <x v="47"/>
    <s v="Mexico"/>
    <x v="1"/>
    <s v="Small"/>
    <n v="981924"/>
    <s v="INV00181"/>
    <n v="63996"/>
    <d v="2025-07-02T00:00:00"/>
    <n v="90"/>
    <n v="4"/>
    <n v="0.17169999999999999"/>
    <n v="4.5600000000000002E-2"/>
    <n v="7"/>
    <s v="No"/>
    <s v="Yes"/>
    <n v="0.35"/>
    <n v="2709.3977753424656"/>
    <n v="55.96581698630137"/>
    <n v="2653.4319583561642"/>
    <n v="83"/>
    <x v="369"/>
    <n v="370"/>
  </r>
  <r>
    <s v="SUP006"/>
    <x v="4"/>
    <s v="Europe"/>
    <x v="3"/>
    <s v="Small"/>
    <n v="971327"/>
    <s v="INV00405"/>
    <n v="34103"/>
    <d v="2026-01-11T00:00:00"/>
    <n v="30"/>
    <n v="3"/>
    <n v="0.15229999999999999"/>
    <n v="6.0699999999999997E-2"/>
    <n v="8"/>
    <s v="No"/>
    <s v="Yes"/>
    <n v="0.9"/>
    <n v="426.89481369863006"/>
    <n v="45.371004931506846"/>
    <n v="381.52380876712323"/>
    <n v="22"/>
    <x v="370"/>
    <n v="371"/>
  </r>
  <r>
    <s v="SUP056"/>
    <x v="58"/>
    <s v="Europe"/>
    <x v="0"/>
    <s v="Large"/>
    <n v="14943587"/>
    <s v="INV00266"/>
    <n v="79300"/>
    <d v="2025-10-12T00:00:00"/>
    <n v="30"/>
    <n v="4"/>
    <n v="0.1046"/>
    <n v="5.0200000000000002E-2"/>
    <n v="6"/>
    <s v="Yes"/>
    <s v="Yes"/>
    <n v="0.65"/>
    <n v="681.76273972602746"/>
    <n v="65.438794520547944"/>
    <n v="616.3239452054795"/>
    <n v="24"/>
    <x v="371"/>
    <n v="372"/>
  </r>
  <r>
    <s v="SUP058"/>
    <x v="63"/>
    <s v="Canada"/>
    <x v="1"/>
    <s v="Medium"/>
    <n v="2406772"/>
    <s v="INV00517"/>
    <n v="86044"/>
    <d v="2025-08-17T00:00:00"/>
    <n v="45"/>
    <n v="7"/>
    <n v="0.1091"/>
    <n v="5.8999999999999997E-2"/>
    <n v="6"/>
    <s v="Yes"/>
    <s v="Yes"/>
    <n v="0.65"/>
    <n v="1157.3507342465753"/>
    <n v="83.450893150684919"/>
    <n v="1073.8998410958902"/>
    <n v="39"/>
    <x v="372"/>
    <n v="373"/>
  </r>
  <r>
    <s v="SUP072"/>
    <x v="44"/>
    <s v="Europe"/>
    <x v="2"/>
    <s v="Medium"/>
    <n v="6782855"/>
    <s v="INV01488"/>
    <n v="48007"/>
    <d v="2025-03-21T00:00:00"/>
    <n v="60"/>
    <n v="4"/>
    <n v="0.1188"/>
    <n v="4.5900000000000003E-2"/>
    <n v="6"/>
    <s v="Yes"/>
    <s v="Yes"/>
    <n v="0.8"/>
    <n v="937.51752328767122"/>
    <n v="36.222267945205481"/>
    <n v="901.29525534246579"/>
    <n v="54"/>
    <x v="373"/>
    <n v="374"/>
  </r>
  <r>
    <s v="SUP080"/>
    <x v="67"/>
    <s v="US"/>
    <x v="1"/>
    <s v="Small"/>
    <n v="1104797"/>
    <s v="INV01498"/>
    <n v="64931"/>
    <d v="2025-06-18T00:00:00"/>
    <n v="45"/>
    <n v="7"/>
    <n v="0.13320000000000001"/>
    <n v="4.7100000000000003E-2"/>
    <n v="6"/>
    <s v="No"/>
    <s v="Yes"/>
    <n v="0.5"/>
    <n v="1066.2915452054797"/>
    <n v="50.272604383561642"/>
    <n v="1016.018940821918"/>
    <n v="39"/>
    <x v="374"/>
    <n v="375"/>
  </r>
  <r>
    <s v="SUP008"/>
    <x v="48"/>
    <s v="US"/>
    <x v="1"/>
    <s v="Medium"/>
    <n v="1884403"/>
    <s v="INV01015"/>
    <n v="62082"/>
    <d v="2025-11-25T00:00:00"/>
    <n v="45"/>
    <n v="10"/>
    <n v="0.1231"/>
    <n v="5.3900000000000003E-2"/>
    <n v="5"/>
    <s v="Yes"/>
    <s v="Yes"/>
    <n v="0.65"/>
    <n v="942.20065479452057"/>
    <n v="45.838627397260275"/>
    <n v="896.36202739726025"/>
    <n v="40"/>
    <x v="375"/>
    <n v="376"/>
  </r>
  <r>
    <s v="SUP063"/>
    <x v="88"/>
    <s v="Mexico"/>
    <x v="0"/>
    <s v="Medium"/>
    <n v="5790128"/>
    <s v="INV00662"/>
    <n v="66817"/>
    <d v="2025-11-10T00:00:00"/>
    <n v="45"/>
    <n v="4"/>
    <n v="9.5799999999999996E-2"/>
    <n v="4.9399999999999999E-2"/>
    <n v="7"/>
    <s v="No"/>
    <s v="Yes"/>
    <n v="0.9"/>
    <n v="789.17284109589036"/>
    <n v="63.302242739726026"/>
    <n v="725.87059835616435"/>
    <n v="38"/>
    <x v="376"/>
    <n v="377"/>
  </r>
  <r>
    <s v="SUP106"/>
    <x v="5"/>
    <s v="Canada"/>
    <x v="1"/>
    <s v="Small"/>
    <n v="1373788"/>
    <s v="INV01386"/>
    <n v="42957"/>
    <d v="2025-01-03T00:00:00"/>
    <n v="90"/>
    <n v="5"/>
    <n v="0.17660000000000001"/>
    <n v="4.6800000000000001E-2"/>
    <n v="6"/>
    <s v="Yes"/>
    <s v="Yes"/>
    <n v="0.5"/>
    <n v="1870.5713917808218"/>
    <n v="33.04746739726027"/>
    <n v="1837.5239243835615"/>
    <n v="84"/>
    <x v="377"/>
    <n v="378"/>
  </r>
  <r>
    <s v="SUP040"/>
    <x v="38"/>
    <s v="US"/>
    <x v="3"/>
    <s v="Small"/>
    <n v="1249897"/>
    <s v="INV00114"/>
    <n v="51221"/>
    <d v="2026-02-22T00:00:00"/>
    <n v="60"/>
    <n v="7"/>
    <n v="0.1452"/>
    <n v="6.1600000000000002E-2"/>
    <n v="10"/>
    <s v="No"/>
    <s v="Yes"/>
    <n v="0.65"/>
    <n v="1222.5680876712329"/>
    <n v="86.44420821917808"/>
    <n v="1136.1238794520548"/>
    <n v="50"/>
    <x v="378"/>
    <n v="379"/>
  </r>
  <r>
    <s v="SUP015"/>
    <x v="61"/>
    <s v="Mexico"/>
    <x v="1"/>
    <s v="Small"/>
    <n v="1475965"/>
    <s v="INV00679"/>
    <n v="33596"/>
    <d v="2025-01-12T00:00:00"/>
    <n v="45"/>
    <n v="10"/>
    <n v="0.14000000000000001"/>
    <n v="4.8000000000000001E-2"/>
    <n v="6"/>
    <s v="No"/>
    <s v="Yes"/>
    <n v="0.9"/>
    <n v="579.87616438356167"/>
    <n v="26.508624657534241"/>
    <n v="553.36753972602742"/>
    <n v="39"/>
    <x v="379"/>
    <n v="380"/>
  </r>
  <r>
    <s v="SUP032"/>
    <x v="36"/>
    <s v="US"/>
    <x v="2"/>
    <s v="Medium"/>
    <n v="1954421"/>
    <s v="INV00924"/>
    <n v="39470"/>
    <d v="2025-01-05T00:00:00"/>
    <n v="60"/>
    <n v="7"/>
    <n v="0.1237"/>
    <n v="4.5600000000000002E-2"/>
    <n v="6"/>
    <s v="No"/>
    <s v="Yes"/>
    <n v="0.9"/>
    <n v="802.59271232876711"/>
    <n v="29.586279452054793"/>
    <n v="773.00643287671232"/>
    <n v="54"/>
    <x v="380"/>
    <n v="381"/>
  </r>
  <r>
    <s v="SUP074"/>
    <x v="16"/>
    <s v="US"/>
    <x v="2"/>
    <s v="Small"/>
    <n v="1336236"/>
    <s v="INV00381"/>
    <n v="41563"/>
    <d v="2025-04-11T00:00:00"/>
    <n v="90"/>
    <n v="10"/>
    <n v="0.14249999999999999"/>
    <n v="5.9200000000000003E-2"/>
    <n v="7"/>
    <s v="No"/>
    <s v="Yes"/>
    <n v="0.8"/>
    <n v="1460.3985616438354"/>
    <n v="47.188238904109596"/>
    <n v="1413.2103227397258"/>
    <n v="83"/>
    <x v="381"/>
    <n v="382"/>
  </r>
  <r>
    <s v="SUP094"/>
    <x v="86"/>
    <s v="Europe"/>
    <x v="4"/>
    <s v="Medium"/>
    <n v="6247387"/>
    <s v="INV00685"/>
    <n v="82165"/>
    <d v="2025-10-22T00:00:00"/>
    <n v="45"/>
    <n v="3"/>
    <n v="0.12909999999999999"/>
    <n v="6.1800000000000001E-2"/>
    <n v="6"/>
    <s v="Yes"/>
    <s v="Yes"/>
    <n v="0.5"/>
    <n v="1307.7741575342463"/>
    <n v="83.470635616438358"/>
    <n v="1224.303521917808"/>
    <n v="39"/>
    <x v="382"/>
    <n v="383"/>
  </r>
  <r>
    <s v="SUP072"/>
    <x v="44"/>
    <s v="Europe"/>
    <x v="2"/>
    <s v="Medium"/>
    <n v="6782855"/>
    <s v="INV01164"/>
    <n v="56932"/>
    <d v="2025-05-11T00:00:00"/>
    <n v="90"/>
    <n v="5"/>
    <n v="0.1188"/>
    <n v="6.4899999999999999E-2"/>
    <n v="10"/>
    <s v="No"/>
    <s v="Yes"/>
    <n v="0.9"/>
    <n v="1667.7176547945205"/>
    <n v="101.22977534246574"/>
    <n v="1566.4878794520548"/>
    <n v="80"/>
    <x v="383"/>
    <n v="384"/>
  </r>
  <r>
    <s v="SUP134"/>
    <x v="45"/>
    <s v="Europe"/>
    <x v="2"/>
    <s v="Medium"/>
    <n v="3948313"/>
    <s v="INV00024"/>
    <n v="105375"/>
    <d v="2025-11-16T00:00:00"/>
    <n v="90"/>
    <n v="2"/>
    <n v="0.1154"/>
    <n v="6.3E-2"/>
    <n v="7"/>
    <s v="No"/>
    <s v="Yes"/>
    <n v="0.5"/>
    <n v="2998.4239726027395"/>
    <n v="127.31609589041096"/>
    <n v="2871.1078767123286"/>
    <n v="83"/>
    <x v="384"/>
    <n v="385"/>
  </r>
  <r>
    <s v="SUP136"/>
    <x v="28"/>
    <s v="Mexico"/>
    <x v="0"/>
    <s v="Small"/>
    <n v="1120197"/>
    <s v="INV00072"/>
    <n v="43252"/>
    <d v="2025-01-09T00:00:00"/>
    <n v="60"/>
    <n v="7"/>
    <n v="0.1338"/>
    <n v="5.4100000000000002E-2"/>
    <n v="5"/>
    <s v="No"/>
    <s v="Yes"/>
    <n v="0.8"/>
    <n v="951.30700273972604"/>
    <n v="32.053879452054794"/>
    <n v="919.2531232876712"/>
    <n v="55"/>
    <x v="385"/>
    <n v="386"/>
  </r>
  <r>
    <s v="SUP006"/>
    <x v="4"/>
    <s v="Europe"/>
    <x v="3"/>
    <s v="Small"/>
    <n v="971327"/>
    <s v="INV00721"/>
    <n v="59349"/>
    <d v="2025-08-22T00:00:00"/>
    <n v="60"/>
    <n v="7"/>
    <n v="0.15229999999999999"/>
    <n v="5.9400000000000001E-2"/>
    <n v="5"/>
    <s v="No"/>
    <s v="Yes"/>
    <n v="0.5"/>
    <n v="1485.8387999999998"/>
    <n v="48.292200000000001"/>
    <n v="1437.5465999999997"/>
    <n v="55"/>
    <x v="386"/>
    <n v="387"/>
  </r>
  <r>
    <s v="SUP044"/>
    <x v="9"/>
    <s v="US"/>
    <x v="2"/>
    <s v="Small"/>
    <n v="879139"/>
    <s v="INV00670"/>
    <n v="36241"/>
    <d v="2025-06-20T00:00:00"/>
    <n v="60"/>
    <n v="4"/>
    <n v="0.14199999999999999"/>
    <n v="5.7500000000000002E-2"/>
    <n v="5"/>
    <s v="No"/>
    <s v="Yes"/>
    <n v="0.9"/>
    <n v="845.95430136986295"/>
    <n v="28.545993150684932"/>
    <n v="817.40830821917802"/>
    <n v="55"/>
    <x v="387"/>
    <n v="388"/>
  </r>
  <r>
    <s v="SUP074"/>
    <x v="16"/>
    <s v="US"/>
    <x v="2"/>
    <s v="Small"/>
    <n v="1336236"/>
    <s v="INV00424"/>
    <n v="46671"/>
    <d v="2025-07-17T00:00:00"/>
    <n v="45"/>
    <n v="10"/>
    <n v="0.14249999999999999"/>
    <n v="5.1900000000000002E-2"/>
    <n v="8"/>
    <s v="No"/>
    <s v="Yes"/>
    <n v="0.65"/>
    <n v="819.93914383561628"/>
    <n v="53.08986082191781"/>
    <n v="766.84928301369848"/>
    <n v="37"/>
    <x v="388"/>
    <n v="389"/>
  </r>
  <r>
    <s v="SUP062"/>
    <x v="89"/>
    <s v="Mexico"/>
    <x v="4"/>
    <s v="Medium"/>
    <n v="3726894"/>
    <s v="INV00120"/>
    <n v="80875"/>
    <d v="2025-12-15T00:00:00"/>
    <n v="60"/>
    <n v="3"/>
    <n v="9.1899999999999996E-2"/>
    <n v="5.4199999999999998E-2"/>
    <n v="10"/>
    <s v="No"/>
    <s v="Yes"/>
    <n v="0.9"/>
    <n v="1221.7664383561641"/>
    <n v="120.09383561643835"/>
    <n v="1101.6726027397258"/>
    <n v="50"/>
    <x v="389"/>
    <n v="390"/>
  </r>
  <r>
    <s v="SUP015"/>
    <x v="61"/>
    <s v="Mexico"/>
    <x v="1"/>
    <s v="Small"/>
    <n v="1475965"/>
    <s v="INV01373"/>
    <n v="38112"/>
    <d v="2025-07-06T00:00:00"/>
    <n v="45"/>
    <n v="4"/>
    <n v="0.14000000000000001"/>
    <n v="5.0200000000000002E-2"/>
    <n v="8"/>
    <s v="No"/>
    <s v="Yes"/>
    <n v="0.8"/>
    <n v="657.82356164383566"/>
    <n v="41.933641643835621"/>
    <n v="615.88992000000007"/>
    <n v="37"/>
    <x v="390"/>
    <n v="391"/>
  </r>
  <r>
    <s v="SUP002"/>
    <x v="90"/>
    <s v="US"/>
    <x v="0"/>
    <s v="Medium"/>
    <n v="6074867"/>
    <s v="INV00640"/>
    <n v="106337"/>
    <d v="2025-10-01T00:00:00"/>
    <n v="90"/>
    <n v="3"/>
    <n v="9.4299999999999995E-2"/>
    <n v="5.4800000000000001E-2"/>
    <n v="5"/>
    <s v="No"/>
    <s v="Yes"/>
    <n v="0.65"/>
    <n v="2472.5537506849309"/>
    <n v="79.825583561643839"/>
    <n v="2392.7281671232872"/>
    <n v="85"/>
    <x v="391"/>
    <n v="392"/>
  </r>
  <r>
    <s v="SUP061"/>
    <x v="14"/>
    <s v="Mexico"/>
    <x v="1"/>
    <s v="Small"/>
    <n v="1374525"/>
    <s v="INV00804"/>
    <n v="66558"/>
    <d v="2025-06-24T00:00:00"/>
    <n v="90"/>
    <n v="4"/>
    <n v="0.13320000000000001"/>
    <n v="5.1299999999999998E-2"/>
    <n v="8"/>
    <s v="No"/>
    <s v="Yes"/>
    <n v="0.5"/>
    <n v="2186.0200109589041"/>
    <n v="74.836721095890411"/>
    <n v="2111.1832898630137"/>
    <n v="82"/>
    <x v="392"/>
    <n v="393"/>
  </r>
  <r>
    <s v="SUP053"/>
    <x v="86"/>
    <s v="Canada"/>
    <x v="2"/>
    <s v="Large"/>
    <n v="12001432"/>
    <s v="INV00677"/>
    <n v="105038"/>
    <d v="2026-02-19T00:00:00"/>
    <n v="60"/>
    <n v="7"/>
    <n v="9.1800000000000007E-2"/>
    <n v="6.3E-2"/>
    <n v="8"/>
    <s v="No"/>
    <s v="Yes"/>
    <n v="0.9"/>
    <n v="1585.0665863013699"/>
    <n v="145.03877260273973"/>
    <n v="1440.0278136986301"/>
    <n v="52"/>
    <x v="393"/>
    <n v="394"/>
  </r>
  <r>
    <s v="SUP065"/>
    <x v="10"/>
    <s v="Mexico"/>
    <x v="3"/>
    <s v="Medium"/>
    <n v="4269919"/>
    <s v="INV01442"/>
    <n v="58727"/>
    <d v="2025-04-27T00:00:00"/>
    <n v="60"/>
    <n v="7"/>
    <n v="0.1212"/>
    <n v="6.3299999999999995E-2"/>
    <n v="5"/>
    <s v="No"/>
    <s v="Yes"/>
    <n v="0.8"/>
    <n v="1170.0349150684931"/>
    <n v="50.923549315068485"/>
    <n v="1119.1113657534247"/>
    <n v="55"/>
    <x v="394"/>
    <n v="395"/>
  </r>
  <r>
    <s v="SUP023"/>
    <x v="19"/>
    <s v="Canada"/>
    <x v="0"/>
    <s v="Medium"/>
    <n v="2438415"/>
    <s v="INV00629"/>
    <n v="71433"/>
    <d v="2026-02-02T00:00:00"/>
    <n v="90"/>
    <n v="4"/>
    <n v="0.13650000000000001"/>
    <n v="6.0400000000000002E-2"/>
    <n v="7"/>
    <s v="No"/>
    <s v="Yes"/>
    <n v="0.5"/>
    <n v="2404.2586438356166"/>
    <n v="82.744855890410975"/>
    <n v="2321.5137879452054"/>
    <n v="83"/>
    <x v="395"/>
    <n v="396"/>
  </r>
  <r>
    <s v="SUP005"/>
    <x v="13"/>
    <s v="US"/>
    <x v="2"/>
    <s v="Small"/>
    <n v="701545"/>
    <s v="INV00271"/>
    <n v="62165"/>
    <d v="2025-01-18T00:00:00"/>
    <n v="60"/>
    <n v="3"/>
    <n v="0.17699999999999999"/>
    <n v="5.21E-2"/>
    <n v="6"/>
    <s v="No"/>
    <s v="Yes"/>
    <n v="0.35"/>
    <n v="1808.7460273972601"/>
    <n v="53.240490410958898"/>
    <n v="1755.5055369863012"/>
    <n v="54"/>
    <x v="396"/>
    <n v="397"/>
  </r>
  <r>
    <s v="SUP134"/>
    <x v="45"/>
    <s v="Europe"/>
    <x v="2"/>
    <s v="Medium"/>
    <n v="3948313"/>
    <s v="INV01396"/>
    <n v="67372"/>
    <d v="2025-09-15T00:00:00"/>
    <n v="60"/>
    <n v="4"/>
    <n v="0.1154"/>
    <n v="5.3499999999999999E-2"/>
    <n v="5"/>
    <s v="No"/>
    <s v="Yes"/>
    <n v="0.65"/>
    <n v="1278.037610958904"/>
    <n v="49.375369863013695"/>
    <n v="1228.6622410958903"/>
    <n v="55"/>
    <x v="397"/>
    <n v="398"/>
  </r>
  <r>
    <s v="SUP032"/>
    <x v="36"/>
    <s v="US"/>
    <x v="2"/>
    <s v="Medium"/>
    <n v="1954421"/>
    <s v="INV00504"/>
    <n v="44605"/>
    <d v="2025-10-23T00:00:00"/>
    <n v="60"/>
    <n v="3"/>
    <n v="0.1237"/>
    <n v="5.62E-2"/>
    <n v="10"/>
    <s v="No"/>
    <s v="Yes"/>
    <n v="0.9"/>
    <n v="907.00906849315061"/>
    <n v="68.679479452054792"/>
    <n v="838.3295890410958"/>
    <n v="50"/>
    <x v="398"/>
    <n v="399"/>
  </r>
  <r>
    <s v="SUP127"/>
    <x v="12"/>
    <s v="Europe"/>
    <x v="0"/>
    <s v="Small"/>
    <n v="1089809"/>
    <s v="INV01152"/>
    <n v="32103"/>
    <d v="2025-08-09T00:00:00"/>
    <n v="60"/>
    <n v="7"/>
    <n v="0.16689999999999999"/>
    <n v="6.1400000000000003E-2"/>
    <n v="10"/>
    <s v="No"/>
    <s v="Yes"/>
    <n v="0.8"/>
    <n v="880.76559452054778"/>
    <n v="54.003402739726027"/>
    <n v="826.76219178082169"/>
    <n v="50"/>
    <x v="399"/>
    <n v="400"/>
  </r>
  <r>
    <s v="SUP017"/>
    <x v="70"/>
    <s v="APAC"/>
    <x v="2"/>
    <s v="Medium"/>
    <n v="5041335"/>
    <s v="INV00838"/>
    <n v="89660"/>
    <d v="2025-05-13T00:00:00"/>
    <n v="45"/>
    <n v="4"/>
    <n v="0.1198"/>
    <n v="5.9499999999999997E-2"/>
    <n v="10"/>
    <s v="Yes"/>
    <s v="Yes"/>
    <n v="0.5"/>
    <n v="1324.265917808219"/>
    <n v="146.15808219178081"/>
    <n v="1178.1078356164383"/>
    <n v="35"/>
    <x v="400"/>
    <n v="401"/>
  </r>
  <r>
    <s v="SUP024"/>
    <x v="15"/>
    <s v="US"/>
    <x v="3"/>
    <s v="Small"/>
    <n v="1439833"/>
    <s v="INV00802"/>
    <n v="26107"/>
    <d v="2025-02-11T00:00:00"/>
    <n v="60"/>
    <n v="5"/>
    <n v="0.17630000000000001"/>
    <n v="4.6899999999999997E-2"/>
    <n v="10"/>
    <s v="No"/>
    <s v="Yes"/>
    <n v="0.8"/>
    <n v="756.60231780821914"/>
    <n v="33.54570684931506"/>
    <n v="723.05661095890412"/>
    <n v="50"/>
    <x v="401"/>
    <n v="402"/>
  </r>
  <r>
    <s v="SUP024"/>
    <x v="15"/>
    <s v="US"/>
    <x v="3"/>
    <s v="Small"/>
    <n v="1439833"/>
    <s v="INV00334"/>
    <n v="34099"/>
    <d v="2025-07-26T00:00:00"/>
    <n v="60"/>
    <n v="3"/>
    <n v="0.17630000000000001"/>
    <n v="5.4800000000000001E-2"/>
    <n v="5"/>
    <s v="Yes"/>
    <s v="Yes"/>
    <n v="0.65"/>
    <n v="988.21704657534258"/>
    <n v="25.597605479452053"/>
    <n v="962.61944109589058"/>
    <n v="55"/>
    <x v="402"/>
    <n v="403"/>
  </r>
  <r>
    <s v="SUP086"/>
    <x v="45"/>
    <s v="Mexico"/>
    <x v="1"/>
    <s v="Small"/>
    <n v="1218251"/>
    <s v="INV00719"/>
    <n v="60033"/>
    <d v="2025-08-06T00:00:00"/>
    <n v="60"/>
    <n v="3"/>
    <n v="0.1227"/>
    <n v="5.3800000000000001E-2"/>
    <n v="5"/>
    <s v="Yes"/>
    <s v="Yes"/>
    <n v="0.65"/>
    <n v="1210.8573863013698"/>
    <n v="44.243498630136983"/>
    <n v="1166.6138876712328"/>
    <n v="55"/>
    <x v="403"/>
    <n v="404"/>
  </r>
  <r>
    <s v="SUP135"/>
    <x v="50"/>
    <s v="Canada"/>
    <x v="0"/>
    <s v="Small"/>
    <n v="1406086"/>
    <s v="INV00960"/>
    <n v="108059"/>
    <d v="2026-02-15T00:00:00"/>
    <n v="60"/>
    <n v="3"/>
    <n v="0.1201"/>
    <n v="4.9099999999999998E-2"/>
    <n v="5"/>
    <s v="No"/>
    <s v="Yes"/>
    <n v="0.35"/>
    <n v="2133.3511068493149"/>
    <n v="72.680779452054793"/>
    <n v="2060.6703273972603"/>
    <n v="55"/>
    <x v="404"/>
    <n v="405"/>
  </r>
  <r>
    <s v="SUP023"/>
    <x v="19"/>
    <s v="Canada"/>
    <x v="0"/>
    <s v="Medium"/>
    <n v="2438415"/>
    <s v="INV01456"/>
    <n v="51329"/>
    <d v="2026-02-07T00:00:00"/>
    <n v="90"/>
    <n v="3"/>
    <n v="0.13650000000000001"/>
    <n v="5.6399999999999999E-2"/>
    <n v="6"/>
    <s v="No"/>
    <s v="Yes"/>
    <n v="0.65"/>
    <n v="1727.6075753424657"/>
    <n v="47.588311232876706"/>
    <n v="1680.0192641095889"/>
    <n v="84"/>
    <x v="405"/>
    <n v="406"/>
  </r>
  <r>
    <s v="SUP081"/>
    <x v="54"/>
    <s v="APAC"/>
    <x v="2"/>
    <s v="Large"/>
    <n v="20068674"/>
    <s v="INV00284"/>
    <n v="69261"/>
    <d v="2026-02-07T00:00:00"/>
    <n v="60"/>
    <n v="5"/>
    <n v="0.1062"/>
    <n v="5.8000000000000003E-2"/>
    <n v="6"/>
    <s v="No"/>
    <s v="Yes"/>
    <n v="0.8"/>
    <n v="1209.1262794520549"/>
    <n v="66.035145205479452"/>
    <n v="1143.0911342465754"/>
    <n v="54"/>
    <x v="406"/>
    <n v="407"/>
  </r>
  <r>
    <s v="SUP061"/>
    <x v="14"/>
    <s v="Mexico"/>
    <x v="1"/>
    <s v="Small"/>
    <n v="1374525"/>
    <s v="INV00601"/>
    <n v="60394"/>
    <d v="2025-01-16T00:00:00"/>
    <n v="90"/>
    <n v="2"/>
    <n v="0.13320000000000001"/>
    <n v="4.4999999999999998E-2"/>
    <n v="10"/>
    <s v="No"/>
    <s v="Yes"/>
    <n v="0.5"/>
    <n v="1983.5706082191782"/>
    <n v="74.458356164383559"/>
    <n v="1909.1122520547947"/>
    <n v="80"/>
    <x v="407"/>
    <n v="408"/>
  </r>
  <r>
    <s v="SUP013"/>
    <x v="7"/>
    <s v="Europe"/>
    <x v="2"/>
    <s v="Small"/>
    <n v="1439462"/>
    <s v="INV01183"/>
    <n v="106929"/>
    <d v="2025-12-19T00:00:00"/>
    <n v="60"/>
    <n v="3"/>
    <n v="0.17130000000000001"/>
    <n v="4.6800000000000001E-2"/>
    <n v="7"/>
    <s v="No"/>
    <s v="Yes"/>
    <n v="0.2"/>
    <n v="3011.003457534247"/>
    <n v="95.972439452054815"/>
    <n v="2915.0310180821921"/>
    <n v="53"/>
    <x v="408"/>
    <n v="409"/>
  </r>
  <r>
    <s v="SUP013"/>
    <x v="7"/>
    <s v="Europe"/>
    <x v="2"/>
    <s v="Small"/>
    <n v="1439462"/>
    <s v="INV00943"/>
    <n v="69373"/>
    <d v="2025-05-31T00:00:00"/>
    <n v="45"/>
    <n v="4"/>
    <n v="0.17130000000000001"/>
    <n v="6.1800000000000001E-2"/>
    <n v="6"/>
    <s v="No"/>
    <s v="Yes"/>
    <n v="0.35"/>
    <n v="1465.1007410958903"/>
    <n v="70.475365479452051"/>
    <n v="1394.6253756164383"/>
    <n v="39"/>
    <x v="409"/>
    <n v="410"/>
  </r>
  <r>
    <s v="SUP080"/>
    <x v="67"/>
    <s v="US"/>
    <x v="1"/>
    <s v="Small"/>
    <n v="1104797"/>
    <s v="INV00215"/>
    <n v="48025"/>
    <d v="2025-10-09T00:00:00"/>
    <n v="45"/>
    <n v="4"/>
    <n v="0.13320000000000001"/>
    <n v="4.8399999999999999E-2"/>
    <n v="8"/>
    <s v="No"/>
    <s v="Yes"/>
    <n v="0.65"/>
    <n v="788.66260273972603"/>
    <n v="50.945972602739722"/>
    <n v="737.71663013698628"/>
    <n v="37"/>
    <x v="410"/>
    <n v="411"/>
  </r>
  <r>
    <s v="SUP085"/>
    <x v="25"/>
    <s v="US"/>
    <x v="2"/>
    <s v="Small"/>
    <n v="1076320"/>
    <s v="INV00374"/>
    <n v="35306"/>
    <d v="2025-10-20T00:00:00"/>
    <n v="60"/>
    <n v="10"/>
    <n v="0.15140000000000001"/>
    <n v="5.7700000000000001E-2"/>
    <n v="5"/>
    <s v="No"/>
    <s v="Yes"/>
    <n v="0.8"/>
    <n v="878.68412054794521"/>
    <n v="27.906249315068493"/>
    <n v="850.77787123287669"/>
    <n v="55"/>
    <x v="411"/>
    <n v="412"/>
  </r>
  <r>
    <s v="SUP047"/>
    <x v="35"/>
    <s v="US"/>
    <x v="3"/>
    <s v="Medium"/>
    <n v="6056843"/>
    <s v="INV00339"/>
    <n v="36697"/>
    <d v="2025-01-12T00:00:00"/>
    <n v="45"/>
    <n v="5"/>
    <n v="0.12520000000000001"/>
    <n v="4.5400000000000003E-2"/>
    <n v="6"/>
    <s v="No"/>
    <s v="Yes"/>
    <n v="0.9"/>
    <n v="566.44081643835614"/>
    <n v="27.387021369863014"/>
    <n v="539.05379506849317"/>
    <n v="39"/>
    <x v="412"/>
    <n v="413"/>
  </r>
  <r>
    <s v="SUP073"/>
    <x v="9"/>
    <s v="Europe"/>
    <x v="1"/>
    <s v="Small"/>
    <n v="261628"/>
    <s v="INV00985"/>
    <n v="46843"/>
    <d v="2025-06-11T00:00:00"/>
    <n v="90"/>
    <n v="5"/>
    <n v="0.17249999999999999"/>
    <n v="6.0100000000000001E-2"/>
    <n v="10"/>
    <s v="No"/>
    <s v="Yes"/>
    <n v="0.5"/>
    <n v="1992.4317123287669"/>
    <n v="77.13052876712328"/>
    <n v="1915.3011835616437"/>
    <n v="80"/>
    <x v="413"/>
    <n v="414"/>
  </r>
  <r>
    <s v="SUP150"/>
    <x v="25"/>
    <s v="Europe"/>
    <x v="4"/>
    <s v="Small"/>
    <n v="782629"/>
    <s v="INV00575"/>
    <n v="61183"/>
    <d v="2025-12-28T00:00:00"/>
    <n v="60"/>
    <n v="3"/>
    <n v="0.14219999999999999"/>
    <n v="5.6399999999999999E-2"/>
    <n v="8"/>
    <s v="Yes"/>
    <s v="Yes"/>
    <n v="0.5"/>
    <n v="1430.1735780821916"/>
    <n v="75.632245479452052"/>
    <n v="1354.5413326027397"/>
    <n v="52"/>
    <x v="414"/>
    <n v="415"/>
  </r>
  <r>
    <s v="SUP036"/>
    <x v="21"/>
    <s v="Europe"/>
    <x v="0"/>
    <s v="Medium"/>
    <n v="3293043"/>
    <s v="INV01095"/>
    <n v="105232"/>
    <d v="2025-07-19T00:00:00"/>
    <n v="60"/>
    <n v="2"/>
    <n v="0.13320000000000001"/>
    <n v="6.2199999999999998E-2"/>
    <n v="6"/>
    <s v="No"/>
    <s v="Yes"/>
    <n v="0.35"/>
    <n v="2304.1483397260272"/>
    <n v="107.59611616438356"/>
    <n v="2196.5522235616436"/>
    <n v="54"/>
    <x v="415"/>
    <n v="416"/>
  </r>
  <r>
    <s v="SUP064"/>
    <x v="28"/>
    <s v="Canada"/>
    <x v="4"/>
    <s v="Medium"/>
    <n v="1514188"/>
    <s v="INV00646"/>
    <n v="108721"/>
    <d v="2026-01-27T00:00:00"/>
    <n v="60"/>
    <n v="4"/>
    <n v="0.11600000000000001"/>
    <n v="4.7399999999999998E-2"/>
    <n v="10"/>
    <s v="No"/>
    <s v="Yes"/>
    <n v="0.35"/>
    <n v="2073.1456438356163"/>
    <n v="141.18836712328766"/>
    <n v="1931.9572767123286"/>
    <n v="50"/>
    <x v="416"/>
    <n v="417"/>
  </r>
  <r>
    <s v="SUP110"/>
    <x v="82"/>
    <s v="Europe"/>
    <x v="2"/>
    <s v="Medium"/>
    <n v="5617789"/>
    <s v="INV00203"/>
    <n v="106633"/>
    <d v="2025-11-28T00:00:00"/>
    <n v="60"/>
    <n v="4"/>
    <n v="9.5100000000000004E-2"/>
    <n v="4.6300000000000001E-2"/>
    <n v="5"/>
    <s v="No"/>
    <s v="Yes"/>
    <n v="0.5"/>
    <n v="1666.9805424657534"/>
    <n v="67.631615068493147"/>
    <n v="1599.3489273972602"/>
    <n v="55"/>
    <x v="417"/>
    <n v="418"/>
  </r>
  <r>
    <s v="SUP032"/>
    <x v="36"/>
    <s v="US"/>
    <x v="2"/>
    <s v="Medium"/>
    <n v="1954421"/>
    <s v="INV00322"/>
    <n v="88609"/>
    <d v="2025-06-02T00:00:00"/>
    <n v="45"/>
    <n v="7"/>
    <n v="0.1237"/>
    <n v="6.5000000000000002E-2"/>
    <n v="7"/>
    <s v="No"/>
    <s v="Yes"/>
    <n v="0.5"/>
    <n v="1351.3479410958905"/>
    <n v="110.45779452054795"/>
    <n v="1240.8901465753427"/>
    <n v="38"/>
    <x v="418"/>
    <n v="419"/>
  </r>
  <r>
    <s v="SUP036"/>
    <x v="21"/>
    <s v="Europe"/>
    <x v="0"/>
    <s v="Medium"/>
    <n v="3293043"/>
    <s v="INV01028"/>
    <n v="96616"/>
    <d v="2025-06-11T00:00:00"/>
    <n v="45"/>
    <n v="4"/>
    <n v="0.13320000000000001"/>
    <n v="5.6300000000000003E-2"/>
    <n v="10"/>
    <s v="No"/>
    <s v="Yes"/>
    <n v="0.35"/>
    <n v="1586.620010958904"/>
    <n v="149.02687123287672"/>
    <n v="1437.5931397260274"/>
    <n v="35"/>
    <x v="419"/>
    <n v="420"/>
  </r>
  <r>
    <s v="SUP143"/>
    <x v="44"/>
    <s v="US"/>
    <x v="4"/>
    <s v="Medium"/>
    <n v="3723173"/>
    <s v="INV00527"/>
    <n v="103587"/>
    <d v="2025-04-13T00:00:00"/>
    <n v="60"/>
    <n v="5"/>
    <n v="0.1069"/>
    <n v="5.67E-2"/>
    <n v="10"/>
    <s v="Yes"/>
    <s v="Yes"/>
    <n v="0.5"/>
    <n v="1820.2931999999996"/>
    <n v="160.91459999999998"/>
    <n v="1659.3785999999996"/>
    <n v="50"/>
    <x v="420"/>
    <n v="421"/>
  </r>
  <r>
    <s v="SUP127"/>
    <x v="12"/>
    <s v="Europe"/>
    <x v="0"/>
    <s v="Small"/>
    <n v="1089809"/>
    <s v="INV01326"/>
    <n v="63842"/>
    <d v="2025-10-11T00:00:00"/>
    <n v="90"/>
    <n v="3"/>
    <n v="0.16689999999999999"/>
    <n v="5.0799999999999998E-2"/>
    <n v="6"/>
    <s v="No"/>
    <s v="Yes"/>
    <n v="0.35"/>
    <n v="2627.3169369863012"/>
    <n v="53.312442739726023"/>
    <n v="2574.0044942465752"/>
    <n v="84"/>
    <x v="421"/>
    <n v="422"/>
  </r>
  <r>
    <s v="SUP037"/>
    <x v="65"/>
    <s v="Mexico"/>
    <x v="2"/>
    <s v="Large"/>
    <n v="15898738"/>
    <s v="INV01366"/>
    <n v="60005"/>
    <d v="2025-03-17T00:00:00"/>
    <n v="60"/>
    <n v="10"/>
    <n v="0.1071"/>
    <n v="5.3100000000000001E-2"/>
    <n v="5"/>
    <s v="Yes"/>
    <s v="Yes"/>
    <n v="0.8"/>
    <n v="1056.4167945205479"/>
    <n v="43.647472602739725"/>
    <n v="1012.7693219178082"/>
    <n v="55"/>
    <x v="422"/>
    <n v="423"/>
  </r>
  <r>
    <s v="SUP086"/>
    <x v="45"/>
    <s v="Mexico"/>
    <x v="1"/>
    <s v="Small"/>
    <n v="1218251"/>
    <s v="INV01230"/>
    <n v="65026"/>
    <d v="2025-12-03T00:00:00"/>
    <n v="60"/>
    <n v="3"/>
    <n v="0.1227"/>
    <n v="6.1400000000000003E-2"/>
    <n v="10"/>
    <s v="No"/>
    <s v="Yes"/>
    <n v="0.65"/>
    <n v="1311.565512328767"/>
    <n v="109.38620273972603"/>
    <n v="1202.1793095890409"/>
    <n v="50"/>
    <x v="423"/>
    <n v="424"/>
  </r>
  <r>
    <s v="SUP040"/>
    <x v="38"/>
    <s v="US"/>
    <x v="3"/>
    <s v="Small"/>
    <n v="1249897"/>
    <s v="INV00526"/>
    <n v="82517"/>
    <d v="2025-12-22T00:00:00"/>
    <n v="45"/>
    <n v="7"/>
    <n v="0.1452"/>
    <n v="5.5500000000000001E-2"/>
    <n v="7"/>
    <s v="No"/>
    <s v="Yes"/>
    <n v="0.35"/>
    <n v="1477.1673369863013"/>
    <n v="87.829738356164398"/>
    <n v="1389.3375986301369"/>
    <n v="38"/>
    <x v="424"/>
    <n v="425"/>
  </r>
  <r>
    <s v="SUP142"/>
    <x v="91"/>
    <s v="Canada"/>
    <x v="0"/>
    <s v="Small"/>
    <n v="1208247"/>
    <s v="INV00414"/>
    <n v="59349"/>
    <d v="2025-09-24T00:00:00"/>
    <n v="60"/>
    <n v="5"/>
    <n v="0.1111"/>
    <n v="6.2600000000000003E-2"/>
    <n v="5"/>
    <s v="No"/>
    <s v="Yes"/>
    <n v="0.9"/>
    <n v="1083.8916000000002"/>
    <n v="50.893799999999999"/>
    <n v="1032.9978000000001"/>
    <n v="55"/>
    <x v="425"/>
    <n v="426"/>
  </r>
  <r>
    <s v="SUP064"/>
    <x v="28"/>
    <s v="Canada"/>
    <x v="4"/>
    <s v="Medium"/>
    <n v="1514188"/>
    <s v="INV01073"/>
    <n v="47585"/>
    <d v="2025-08-22T00:00:00"/>
    <n v="45"/>
    <n v="2"/>
    <n v="0.11600000000000001"/>
    <n v="4.82E-2"/>
    <n v="6"/>
    <s v="No"/>
    <s v="Yes"/>
    <n v="0.8"/>
    <n v="680.53068493150693"/>
    <n v="37.702964383561643"/>
    <n v="642.82772054794532"/>
    <n v="39"/>
    <x v="426"/>
    <n v="427"/>
  </r>
  <r>
    <s v="SUP126"/>
    <x v="53"/>
    <s v="Europe"/>
    <x v="2"/>
    <s v="Medium"/>
    <n v="4193232"/>
    <s v="INV00050"/>
    <n v="60331"/>
    <d v="2025-10-25T00:00:00"/>
    <n v="60"/>
    <n v="2"/>
    <n v="0.1235"/>
    <n v="5.79E-2"/>
    <n v="5"/>
    <s v="No"/>
    <s v="Yes"/>
    <n v="0.65"/>
    <n v="1224.8019452054793"/>
    <n v="47.851573972602743"/>
    <n v="1176.9503712328767"/>
    <n v="55"/>
    <x v="427"/>
    <n v="428"/>
  </r>
  <r>
    <s v="SUP145"/>
    <x v="32"/>
    <s v="US"/>
    <x v="2"/>
    <s v="Medium"/>
    <n v="3469396"/>
    <s v="INV00206"/>
    <n v="108650"/>
    <d v="2025-05-23T00:00:00"/>
    <n v="60"/>
    <n v="3"/>
    <n v="0.1216"/>
    <n v="5.3999999999999999E-2"/>
    <n v="8"/>
    <s v="No"/>
    <s v="Yes"/>
    <n v="0.35"/>
    <n v="2171.8093150684931"/>
    <n v="128.59397260273974"/>
    <n v="2043.2153424657533"/>
    <n v="52"/>
    <x v="428"/>
    <n v="429"/>
  </r>
  <r>
    <s v="SUP117"/>
    <x v="56"/>
    <s v="APAC"/>
    <x v="2"/>
    <s v="Small"/>
    <n v="407422"/>
    <s v="INV01001"/>
    <n v="98998"/>
    <d v="2026-02-22T00:00:00"/>
    <n v="60"/>
    <n v="3"/>
    <n v="0.121"/>
    <n v="4.7100000000000003E-2"/>
    <n v="5"/>
    <s v="No"/>
    <s v="Yes"/>
    <n v="0.35"/>
    <n v="1969.110904109589"/>
    <n v="63.874052054794518"/>
    <n v="1905.2368520547946"/>
    <n v="55"/>
    <x v="429"/>
    <n v="430"/>
  </r>
  <r>
    <s v="SUP141"/>
    <x v="92"/>
    <s v="US"/>
    <x v="2"/>
    <s v="Medium"/>
    <n v="1810544"/>
    <s v="INV01029"/>
    <n v="68836"/>
    <d v="2025-07-28T00:00:00"/>
    <n v="60"/>
    <n v="7"/>
    <n v="9.6299999999999997E-2"/>
    <n v="4.99E-2"/>
    <n v="7"/>
    <s v="Yes"/>
    <s v="Yes"/>
    <n v="0.8"/>
    <n v="1089.6833095890411"/>
    <n v="65.875109041095897"/>
    <n v="1023.8082005479451"/>
    <n v="53"/>
    <x v="430"/>
    <n v="431"/>
  </r>
  <r>
    <s v="SUP035"/>
    <x v="3"/>
    <s v="Canada"/>
    <x v="2"/>
    <s v="Small"/>
    <n v="1383695"/>
    <s v="INV01058"/>
    <n v="25508"/>
    <d v="2025-03-18T00:00:00"/>
    <n v="60"/>
    <n v="7"/>
    <n v="0.16850000000000001"/>
    <n v="5.7200000000000001E-2"/>
    <n v="6"/>
    <s v="No"/>
    <s v="Yes"/>
    <n v="0.9"/>
    <n v="706.5366575342465"/>
    <n v="23.984508493150685"/>
    <n v="682.55214904109584"/>
    <n v="54"/>
    <x v="431"/>
    <n v="432"/>
  </r>
  <r>
    <s v="SUP020"/>
    <x v="75"/>
    <s v="APAC"/>
    <x v="0"/>
    <s v="Large"/>
    <n v="15837870"/>
    <s v="INV01024"/>
    <n v="82544"/>
    <d v="2025-04-21T00:00:00"/>
    <n v="60"/>
    <n v="10"/>
    <n v="0.1089"/>
    <n v="4.7E-2"/>
    <n v="5"/>
    <s v="Yes"/>
    <s v="Yes"/>
    <n v="0.5"/>
    <n v="1477.6506739726028"/>
    <n v="53.144767123287671"/>
    <n v="1424.5059068493151"/>
    <n v="55"/>
    <x v="432"/>
    <n v="433"/>
  </r>
  <r>
    <s v="SUP070"/>
    <x v="3"/>
    <s v="Mexico"/>
    <x v="1"/>
    <s v="Medium"/>
    <n v="6809493"/>
    <s v="INV01492"/>
    <n v="46757"/>
    <d v="2025-03-15T00:00:00"/>
    <n v="60"/>
    <n v="2"/>
    <n v="0.121"/>
    <n v="6.0699999999999997E-2"/>
    <n v="7"/>
    <s v="Yes"/>
    <s v="Yes"/>
    <n v="0.9"/>
    <n v="930.0159452054794"/>
    <n v="54.430272054794521"/>
    <n v="875.5856731506849"/>
    <n v="53"/>
    <x v="433"/>
    <n v="434"/>
  </r>
  <r>
    <s v="SUP012"/>
    <x v="34"/>
    <s v="Europe"/>
    <x v="4"/>
    <s v="Medium"/>
    <n v="1969242"/>
    <s v="INV00444"/>
    <n v="77951"/>
    <d v="2025-05-09T00:00:00"/>
    <n v="45"/>
    <n v="2"/>
    <n v="0.10150000000000001"/>
    <n v="6.1100000000000002E-2"/>
    <n v="7"/>
    <s v="No"/>
    <s v="Yes"/>
    <n v="0.8"/>
    <n v="975.45532191780831"/>
    <n v="91.341486849315075"/>
    <n v="884.11383506849324"/>
    <n v="38"/>
    <x v="434"/>
    <n v="435"/>
  </r>
  <r>
    <s v="SUP016"/>
    <x v="87"/>
    <s v="US"/>
    <x v="1"/>
    <s v="Large"/>
    <n v="11641644"/>
    <s v="INV00841"/>
    <n v="81899"/>
    <d v="2025-12-11T00:00:00"/>
    <n v="60"/>
    <n v="3"/>
    <n v="9.0399999999999994E-2"/>
    <n v="5.1999999999999998E-2"/>
    <n v="7"/>
    <s v="No"/>
    <s v="Yes"/>
    <n v="0.8"/>
    <n v="1217.0415780821916"/>
    <n v="81.674619178082182"/>
    <n v="1135.3669589041094"/>
    <n v="53"/>
    <x v="435"/>
    <n v="436"/>
  </r>
  <r>
    <s v="SUP065"/>
    <x v="10"/>
    <s v="Mexico"/>
    <x v="3"/>
    <s v="Medium"/>
    <n v="4269919"/>
    <s v="INV00348"/>
    <n v="46619"/>
    <d v="2025-06-10T00:00:00"/>
    <n v="60"/>
    <n v="2"/>
    <n v="0.1212"/>
    <n v="6.13E-2"/>
    <n v="5"/>
    <s v="No"/>
    <s v="Yes"/>
    <n v="0.9"/>
    <n v="928.80374794520549"/>
    <n v="39.147187671232878"/>
    <n v="889.65656027397256"/>
    <n v="55"/>
    <x v="436"/>
    <n v="437"/>
  </r>
  <r>
    <s v="SUP128"/>
    <x v="26"/>
    <s v="APAC"/>
    <x v="0"/>
    <s v="Small"/>
    <n v="927954"/>
    <s v="INV00868"/>
    <n v="47822"/>
    <d v="2025-05-25T00:00:00"/>
    <n v="60"/>
    <n v="10"/>
    <n v="0.1181"/>
    <n v="5.2600000000000001E-2"/>
    <n v="7"/>
    <s v="No"/>
    <s v="Yes"/>
    <n v="0.8"/>
    <n v="928.40189589041086"/>
    <n v="48.241261369863011"/>
    <n v="880.16063452054789"/>
    <n v="53"/>
    <x v="437"/>
    <n v="438"/>
  </r>
  <r>
    <s v="SUP037"/>
    <x v="65"/>
    <s v="Mexico"/>
    <x v="2"/>
    <s v="Large"/>
    <n v="15898738"/>
    <s v="INV00709"/>
    <n v="85224"/>
    <d v="2025-08-24T00:00:00"/>
    <n v="60"/>
    <n v="7"/>
    <n v="0.1071"/>
    <n v="6.1899999999999997E-2"/>
    <n v="10"/>
    <s v="No"/>
    <s v="Yes"/>
    <n v="0.65"/>
    <n v="1500.4093808219179"/>
    <n v="144.53056438356163"/>
    <n v="1355.8788164383564"/>
    <n v="50"/>
    <x v="438"/>
    <n v="439"/>
  </r>
  <r>
    <s v="SUP030"/>
    <x v="78"/>
    <s v="Canada"/>
    <x v="2"/>
    <s v="Small"/>
    <n v="1267987"/>
    <s v="INV01482"/>
    <n v="61166"/>
    <d v="2025-04-12T00:00:00"/>
    <n v="30"/>
    <n v="10"/>
    <n v="0.125"/>
    <n v="6.2100000000000002E-2"/>
    <n v="6"/>
    <s v="No"/>
    <s v="Yes"/>
    <n v="0.65"/>
    <n v="628.41780821917803"/>
    <n v="62.439593424657531"/>
    <n v="565.97821479452045"/>
    <n v="24"/>
    <x v="439"/>
    <n v="440"/>
  </r>
  <r>
    <s v="SUP017"/>
    <x v="70"/>
    <s v="APAC"/>
    <x v="2"/>
    <s v="Medium"/>
    <n v="5041335"/>
    <s v="INV00210"/>
    <n v="53049"/>
    <d v="2025-11-02T00:00:00"/>
    <n v="45"/>
    <n v="4"/>
    <n v="0.1198"/>
    <n v="4.7300000000000002E-2"/>
    <n v="7"/>
    <s v="No"/>
    <s v="Yes"/>
    <n v="0.65"/>
    <n v="783.52646301369862"/>
    <n v="48.121983287671242"/>
    <n v="735.40447972602738"/>
    <n v="38"/>
    <x v="440"/>
    <n v="441"/>
  </r>
  <r>
    <s v="SUP008"/>
    <x v="48"/>
    <s v="US"/>
    <x v="1"/>
    <s v="Medium"/>
    <n v="1884403"/>
    <s v="INV00413"/>
    <n v="40681"/>
    <d v="2026-02-10T00:00:00"/>
    <n v="60"/>
    <n v="3"/>
    <n v="0.1231"/>
    <n v="4.6300000000000001E-2"/>
    <n v="7"/>
    <s v="Yes"/>
    <s v="Yes"/>
    <n v="0.8"/>
    <n v="823.20511232876709"/>
    <n v="36.122498904109591"/>
    <n v="787.08261342465744"/>
    <n v="53"/>
    <x v="441"/>
    <n v="442"/>
  </r>
  <r>
    <s v="SUP128"/>
    <x v="26"/>
    <s v="APAC"/>
    <x v="0"/>
    <s v="Small"/>
    <n v="927954"/>
    <s v="INV00161"/>
    <n v="55642"/>
    <d v="2025-05-05T00:00:00"/>
    <n v="60"/>
    <n v="2"/>
    <n v="0.1181"/>
    <n v="4.9200000000000001E-2"/>
    <n v="6"/>
    <s v="No"/>
    <s v="Yes"/>
    <n v="0.65"/>
    <n v="1080.2170191780822"/>
    <n v="45.001420273972599"/>
    <n v="1035.2155989041096"/>
    <n v="54"/>
    <x v="442"/>
    <n v="443"/>
  </r>
  <r>
    <s v="SUP099"/>
    <x v="40"/>
    <s v="US"/>
    <x v="2"/>
    <s v="Medium"/>
    <n v="6280246"/>
    <s v="INV01155"/>
    <n v="42273"/>
    <d v="2025-05-14T00:00:00"/>
    <n v="30"/>
    <n v="3"/>
    <n v="0.1205"/>
    <n v="5.5100000000000003E-2"/>
    <n v="10"/>
    <s v="No"/>
    <s v="Yes"/>
    <n v="0.9"/>
    <n v="418.6764246575342"/>
    <n v="63.814857534246585"/>
    <n v="354.86156712328761"/>
    <n v="20"/>
    <x v="443"/>
    <n v="444"/>
  </r>
  <r>
    <s v="SUP030"/>
    <x v="78"/>
    <s v="Canada"/>
    <x v="2"/>
    <s v="Small"/>
    <n v="1267987"/>
    <s v="INV00717"/>
    <n v="78179"/>
    <d v="2025-03-29T00:00:00"/>
    <n v="60"/>
    <n v="2"/>
    <n v="0.125"/>
    <n v="6.1400000000000003E-2"/>
    <n v="5"/>
    <s v="No"/>
    <s v="Yes"/>
    <n v="0.5"/>
    <n v="1606.4178082191779"/>
    <n v="65.756035616438353"/>
    <n v="1540.6617726027396"/>
    <n v="55"/>
    <x v="444"/>
    <n v="445"/>
  </r>
  <r>
    <s v="SUP138"/>
    <x v="59"/>
    <s v="Europe"/>
    <x v="2"/>
    <s v="Medium"/>
    <n v="4395110"/>
    <s v="INV00557"/>
    <n v="77358"/>
    <d v="2025-08-21T00:00:00"/>
    <n v="60"/>
    <n v="2"/>
    <n v="0.1066"/>
    <n v="5.7200000000000001E-2"/>
    <n v="8"/>
    <s v="Yes"/>
    <s v="Yes"/>
    <n v="0.65"/>
    <n v="1355.5664876712328"/>
    <n v="96.983618630136988"/>
    <n v="1258.5828690410958"/>
    <n v="52"/>
    <x v="445"/>
    <n v="446"/>
  </r>
  <r>
    <s v="SUP041"/>
    <x v="3"/>
    <s v="Europe"/>
    <x v="0"/>
    <s v="Small"/>
    <n v="639703"/>
    <s v="INV00568"/>
    <n v="93980"/>
    <d v="2025-06-29T00:00:00"/>
    <n v="60"/>
    <n v="10"/>
    <n v="0.1148"/>
    <n v="6.2E-2"/>
    <n v="10"/>
    <s v="No"/>
    <s v="Yes"/>
    <n v="0.5"/>
    <n v="1773.5184657534246"/>
    <n v="159.6372602739726"/>
    <n v="1613.8812054794521"/>
    <n v="50"/>
    <x v="446"/>
    <n v="447"/>
  </r>
  <r>
    <s v="SUP065"/>
    <x v="10"/>
    <s v="Mexico"/>
    <x v="3"/>
    <s v="Medium"/>
    <n v="4269919"/>
    <s v="INV01434"/>
    <n v="46078"/>
    <d v="2025-01-19T00:00:00"/>
    <n v="60"/>
    <n v="10"/>
    <n v="0.1212"/>
    <n v="5.3900000000000003E-2"/>
    <n v="8"/>
    <s v="No"/>
    <s v="Yes"/>
    <n v="0.8"/>
    <n v="918.02524931506855"/>
    <n v="54.435160547945209"/>
    <n v="863.59008876712335"/>
    <n v="52"/>
    <x v="447"/>
    <n v="448"/>
  </r>
  <r>
    <s v="SUP132"/>
    <x v="62"/>
    <s v="US"/>
    <x v="3"/>
    <s v="Large"/>
    <n v="15029491"/>
    <s v="INV01098"/>
    <n v="66256"/>
    <d v="2025-10-01T00:00:00"/>
    <n v="60"/>
    <n v="10"/>
    <n v="9.8400000000000001E-2"/>
    <n v="5.1700000000000003E-2"/>
    <n v="6"/>
    <s v="No"/>
    <s v="Yes"/>
    <n v="0.8"/>
    <n v="1071.7134904109589"/>
    <n v="56.308523835616441"/>
    <n v="1015.4049665753424"/>
    <n v="54"/>
    <x v="448"/>
    <n v="449"/>
  </r>
  <r>
    <s v="SUP128"/>
    <x v="26"/>
    <s v="APAC"/>
    <x v="0"/>
    <s v="Small"/>
    <n v="927954"/>
    <s v="INV01133"/>
    <n v="68375"/>
    <d v="2025-05-10T00:00:00"/>
    <n v="90"/>
    <n v="3"/>
    <n v="0.1181"/>
    <n v="4.6100000000000002E-2"/>
    <n v="5"/>
    <s v="No"/>
    <s v="Yes"/>
    <n v="0.5"/>
    <n v="1991.1174657534245"/>
    <n v="43.179280821917807"/>
    <n v="1947.9381849315068"/>
    <n v="85"/>
    <x v="449"/>
    <n v="450"/>
  </r>
  <r>
    <s v="SUP134"/>
    <x v="45"/>
    <s v="Europe"/>
    <x v="2"/>
    <s v="Medium"/>
    <n v="3948313"/>
    <s v="INV00692"/>
    <n v="41116"/>
    <d v="2025-02-14T00:00:00"/>
    <n v="60"/>
    <n v="4"/>
    <n v="0.1154"/>
    <n v="4.8899999999999999E-2"/>
    <n v="5"/>
    <s v="No"/>
    <s v="Yes"/>
    <n v="0.9"/>
    <n v="779.96488767123287"/>
    <n v="27.542087671232874"/>
    <n v="752.42280000000005"/>
    <n v="55"/>
    <x v="450"/>
    <n v="451"/>
  </r>
  <r>
    <s v="SUP114"/>
    <x v="77"/>
    <s v="Europe"/>
    <x v="2"/>
    <s v="Medium"/>
    <n v="6687670"/>
    <s v="INV01474"/>
    <n v="87225"/>
    <d v="2026-02-23T00:00:00"/>
    <n v="90"/>
    <n v="7"/>
    <n v="0.1013"/>
    <n v="5.8000000000000003E-2"/>
    <n v="6"/>
    <s v="No"/>
    <s v="Yes"/>
    <n v="0.65"/>
    <n v="2178.713219178082"/>
    <n v="83.162465753424655"/>
    <n v="2095.5507534246572"/>
    <n v="84"/>
    <x v="451"/>
    <n v="452"/>
  </r>
  <r>
    <s v="SUP064"/>
    <x v="28"/>
    <s v="Canada"/>
    <x v="4"/>
    <s v="Medium"/>
    <n v="1514188"/>
    <s v="INV01197"/>
    <n v="44629"/>
    <d v="2025-02-21T00:00:00"/>
    <n v="90"/>
    <n v="3"/>
    <n v="0.11600000000000001"/>
    <n v="4.7300000000000002E-2"/>
    <n v="5"/>
    <s v="No"/>
    <s v="Yes"/>
    <n v="0.8"/>
    <n v="1276.5116712328766"/>
    <n v="28.917146575342464"/>
    <n v="1247.5945246575341"/>
    <n v="85"/>
    <x v="452"/>
    <n v="453"/>
  </r>
  <r>
    <s v="SUP118"/>
    <x v="31"/>
    <s v="US"/>
    <x v="1"/>
    <s v="Small"/>
    <n v="735440"/>
    <s v="INV01241"/>
    <n v="54422"/>
    <d v="2026-01-22T00:00:00"/>
    <n v="60"/>
    <n v="10"/>
    <n v="0.13020000000000001"/>
    <n v="6.0900000000000003E-2"/>
    <n v="5"/>
    <s v="No"/>
    <s v="Yes"/>
    <n v="0.65"/>
    <n v="1164.779901369863"/>
    <n v="45.40136712328767"/>
    <n v="1119.3785342465753"/>
    <n v="55"/>
    <x v="453"/>
    <n v="454"/>
  </r>
  <r>
    <s v="SUP139"/>
    <x v="55"/>
    <s v="Canada"/>
    <x v="2"/>
    <s v="Large"/>
    <n v="13330124"/>
    <s v="INV00897"/>
    <n v="56944"/>
    <d v="2025-01-28T00:00:00"/>
    <n v="45"/>
    <n v="2"/>
    <n v="0.10920000000000001"/>
    <n v="5.5399999999999998E-2"/>
    <n v="6"/>
    <s v="Yes"/>
    <s v="Yes"/>
    <n v="0.8"/>
    <n v="766.63785205479451"/>
    <n v="51.858042739726024"/>
    <n v="714.77980931506852"/>
    <n v="39"/>
    <x v="454"/>
    <n v="455"/>
  </r>
  <r>
    <s v="SUP028"/>
    <x v="16"/>
    <s v="APAC"/>
    <x v="1"/>
    <s v="Small"/>
    <n v="959016"/>
    <s v="INV00610"/>
    <n v="48624"/>
    <d v="2025-12-06T00:00:00"/>
    <n v="60"/>
    <n v="2"/>
    <n v="0.1115"/>
    <n v="5.5500000000000001E-2"/>
    <n v="10"/>
    <s v="Yes"/>
    <s v="Yes"/>
    <n v="0.9"/>
    <n v="891.21797260273968"/>
    <n v="73.935123287671232"/>
    <n v="817.28284931506846"/>
    <n v="50"/>
    <x v="455"/>
    <n v="456"/>
  </r>
  <r>
    <s v="SUP042"/>
    <x v="93"/>
    <s v="Europe"/>
    <x v="3"/>
    <s v="Large"/>
    <n v="15261617"/>
    <s v="INV00344"/>
    <n v="106210"/>
    <d v="2025-09-25T00:00:00"/>
    <n v="60"/>
    <n v="4"/>
    <n v="9.3200000000000005E-2"/>
    <n v="4.7300000000000002E-2"/>
    <n v="5"/>
    <s v="No"/>
    <s v="Yes"/>
    <n v="0.5"/>
    <n v="1627.1953972602739"/>
    <n v="68.818260273972598"/>
    <n v="1558.3771369863014"/>
    <n v="55"/>
    <x v="456"/>
    <n v="457"/>
  </r>
  <r>
    <s v="SUP043"/>
    <x v="17"/>
    <s v="Canada"/>
    <x v="4"/>
    <s v="Medium"/>
    <n v="4153903"/>
    <s v="INV00652"/>
    <n v="92222"/>
    <d v="2025-04-09T00:00:00"/>
    <n v="90"/>
    <n v="10"/>
    <n v="0.13669999999999999"/>
    <n v="6.1499999999999999E-2"/>
    <n v="7"/>
    <s v="No"/>
    <s v="Yes"/>
    <n v="0.35"/>
    <n v="3108.5130575342459"/>
    <n v="108.77142739726028"/>
    <n v="2999.7416301369858"/>
    <n v="83"/>
    <x v="457"/>
    <n v="458"/>
  </r>
  <r>
    <s v="SUP074"/>
    <x v="16"/>
    <s v="US"/>
    <x v="2"/>
    <s v="Small"/>
    <n v="1336236"/>
    <s v="INV00534"/>
    <n v="31884"/>
    <d v="2025-11-10T00:00:00"/>
    <n v="60"/>
    <n v="5"/>
    <n v="0.14249999999999999"/>
    <n v="5.8099999999999999E-2"/>
    <n v="5"/>
    <s v="No"/>
    <s v="Yes"/>
    <n v="0.9"/>
    <n v="746.8717808219177"/>
    <n v="25.376169863013697"/>
    <n v="721.49561095890397"/>
    <n v="55"/>
    <x v="458"/>
    <n v="459"/>
  </r>
  <r>
    <s v="SUP041"/>
    <x v="3"/>
    <s v="Europe"/>
    <x v="0"/>
    <s v="Small"/>
    <n v="639703"/>
    <s v="INV00707"/>
    <n v="101842"/>
    <d v="2025-09-23T00:00:00"/>
    <n v="60"/>
    <n v="4"/>
    <n v="0.1148"/>
    <n v="4.6899999999999997E-2"/>
    <n v="10"/>
    <s v="No"/>
    <s v="Yes"/>
    <n v="0.35"/>
    <n v="1921.884098630137"/>
    <n v="130.85999452054793"/>
    <n v="1791.0241041095892"/>
    <n v="50"/>
    <x v="459"/>
    <n v="460"/>
  </r>
  <r>
    <s v="SUP141"/>
    <x v="92"/>
    <s v="US"/>
    <x v="2"/>
    <s v="Medium"/>
    <n v="1810544"/>
    <s v="INV00455"/>
    <n v="102336"/>
    <d v="2025-04-06T00:00:00"/>
    <n v="30"/>
    <n v="10"/>
    <n v="9.6299999999999997E-2"/>
    <n v="4.9200000000000001E-2"/>
    <n v="10"/>
    <s v="Yes"/>
    <s v="Yes"/>
    <n v="0.5"/>
    <n v="809.99644931506839"/>
    <n v="137.94332054794521"/>
    <n v="672.05312876712321"/>
    <n v="20"/>
    <x v="460"/>
    <n v="461"/>
  </r>
  <r>
    <s v="SUP005"/>
    <x v="13"/>
    <s v="US"/>
    <x v="2"/>
    <s v="Small"/>
    <n v="701545"/>
    <s v="INV01418"/>
    <n v="32855"/>
    <d v="2025-11-03T00:00:00"/>
    <n v="60"/>
    <n v="10"/>
    <n v="0.17699999999999999"/>
    <n v="6.4600000000000005E-2"/>
    <n v="10"/>
    <s v="No"/>
    <s v="Yes"/>
    <n v="0.65"/>
    <n v="955.94547945205477"/>
    <n v="58.148849315068489"/>
    <n v="897.79663013698632"/>
    <n v="50"/>
    <x v="461"/>
    <n v="462"/>
  </r>
  <r>
    <s v="SUP052"/>
    <x v="12"/>
    <s v="US"/>
    <x v="0"/>
    <s v="Medium"/>
    <n v="6127831"/>
    <s v="INV01365"/>
    <n v="37451"/>
    <d v="2026-01-05T00:00:00"/>
    <n v="60"/>
    <n v="10"/>
    <n v="0.12529999999999999"/>
    <n v="4.53E-2"/>
    <n v="7"/>
    <s v="No"/>
    <s v="Yes"/>
    <n v="0.8"/>
    <n v="771.38799452054775"/>
    <n v="32.536197534246575"/>
    <n v="738.85179698630122"/>
    <n v="53"/>
    <x v="462"/>
    <n v="463"/>
  </r>
  <r>
    <s v="SUP094"/>
    <x v="86"/>
    <s v="Europe"/>
    <x v="4"/>
    <s v="Medium"/>
    <n v="6247387"/>
    <s v="INV00231"/>
    <n v="42689"/>
    <d v="2025-04-26T00:00:00"/>
    <n v="60"/>
    <n v="2"/>
    <n v="0.12909999999999999"/>
    <n v="5.91E-2"/>
    <n v="5"/>
    <s v="Yes"/>
    <s v="Yes"/>
    <n v="0.8"/>
    <n v="905.9424493150683"/>
    <n v="34.560546575342464"/>
    <n v="871.38190273972589"/>
    <n v="55"/>
    <x v="463"/>
    <n v="464"/>
  </r>
  <r>
    <s v="SUP070"/>
    <x v="3"/>
    <s v="Mexico"/>
    <x v="1"/>
    <s v="Medium"/>
    <n v="6809493"/>
    <s v="INV00522"/>
    <n v="66209"/>
    <d v="2025-03-28T00:00:00"/>
    <n v="60"/>
    <n v="4"/>
    <n v="0.121"/>
    <n v="4.8800000000000003E-2"/>
    <n v="7"/>
    <s v="No"/>
    <s v="Yes"/>
    <n v="0.5"/>
    <n v="1316.924219178082"/>
    <n v="61.964368219178091"/>
    <n v="1254.9598509589039"/>
    <n v="53"/>
    <x v="464"/>
    <n v="465"/>
  </r>
  <r>
    <s v="SUP103"/>
    <x v="79"/>
    <s v="Mexico"/>
    <x v="3"/>
    <s v="Medium"/>
    <n v="2280589"/>
    <s v="INV00366"/>
    <n v="65636"/>
    <d v="2026-02-27T00:00:00"/>
    <n v="45"/>
    <n v="7"/>
    <n v="0.1047"/>
    <n v="4.8899999999999999E-2"/>
    <n v="5"/>
    <s v="No"/>
    <s v="Yes"/>
    <n v="0.65"/>
    <n v="847.24387397260273"/>
    <n v="43.967128767123285"/>
    <n v="803.27674520547941"/>
    <n v="40"/>
    <x v="465"/>
    <n v="466"/>
  </r>
  <r>
    <s v="SUP048"/>
    <x v="6"/>
    <s v="US"/>
    <x v="0"/>
    <s v="Small"/>
    <n v="467236"/>
    <s v="INV00658"/>
    <n v="54688"/>
    <d v="2025-07-12T00:00:00"/>
    <n v="45"/>
    <n v="2"/>
    <n v="0.1757"/>
    <n v="5.1499999999999997E-2"/>
    <n v="5"/>
    <s v="Yes"/>
    <s v="Yes"/>
    <n v="0.35"/>
    <n v="1184.6319780821916"/>
    <n v="38.581260273972596"/>
    <n v="1146.0507178082189"/>
    <n v="40"/>
    <x v="466"/>
    <n v="467"/>
  </r>
  <r>
    <s v="SUP040"/>
    <x v="38"/>
    <s v="US"/>
    <x v="3"/>
    <s v="Small"/>
    <n v="1249897"/>
    <s v="INV01245"/>
    <n v="68893"/>
    <d v="2025-01-18T00:00:00"/>
    <n v="60"/>
    <n v="3"/>
    <n v="0.1452"/>
    <n v="4.6699999999999998E-2"/>
    <n v="5"/>
    <s v="No"/>
    <s v="Yes"/>
    <n v="0.35"/>
    <n v="1644.3720986301369"/>
    <n v="44.072645205479454"/>
    <n v="1600.2994534246575"/>
    <n v="55"/>
    <x v="467"/>
    <n v="468"/>
  </r>
  <r>
    <s v="SUP116"/>
    <x v="74"/>
    <s v="Canada"/>
    <x v="1"/>
    <s v="Large"/>
    <n v="13972206"/>
    <s v="INV00833"/>
    <n v="84562"/>
    <d v="2025-11-09T00:00:00"/>
    <n v="90"/>
    <n v="10"/>
    <n v="9.5000000000000001E-2"/>
    <n v="5.9900000000000002E-2"/>
    <n v="7"/>
    <s v="Yes"/>
    <s v="Yes"/>
    <n v="0.8"/>
    <n v="1980.8358904109589"/>
    <n v="97.142045479452051"/>
    <n v="1883.6938449315069"/>
    <n v="83"/>
    <x v="468"/>
    <n v="469"/>
  </r>
  <r>
    <s v="SUP128"/>
    <x v="26"/>
    <s v="APAC"/>
    <x v="0"/>
    <s v="Small"/>
    <n v="927954"/>
    <s v="INV00141"/>
    <n v="85946"/>
    <d v="2025-09-24T00:00:00"/>
    <n v="45"/>
    <n v="7"/>
    <n v="0.1181"/>
    <n v="6.3100000000000003E-2"/>
    <n v="6"/>
    <s v="No"/>
    <s v="Yes"/>
    <n v="0.5"/>
    <n v="1251.3973068493149"/>
    <n v="89.148371506849315"/>
    <n v="1162.2489353424655"/>
    <n v="39"/>
    <x v="469"/>
    <n v="470"/>
  </r>
  <r>
    <s v="SUP037"/>
    <x v="65"/>
    <s v="Mexico"/>
    <x v="2"/>
    <s v="Large"/>
    <n v="15898738"/>
    <s v="INV00454"/>
    <n v="77860"/>
    <d v="2025-06-11T00:00:00"/>
    <n v="60"/>
    <n v="10"/>
    <n v="0.1071"/>
    <n v="6.0499999999999998E-2"/>
    <n v="8"/>
    <s v="No"/>
    <s v="Yes"/>
    <n v="0.65"/>
    <n v="1370.7626301369862"/>
    <n v="103.24449315068493"/>
    <n v="1267.5181369863012"/>
    <n v="52"/>
    <x v="470"/>
    <n v="471"/>
  </r>
  <r>
    <s v="SUP070"/>
    <x v="3"/>
    <s v="Mexico"/>
    <x v="1"/>
    <s v="Medium"/>
    <n v="6809493"/>
    <s v="INV01469"/>
    <n v="59347"/>
    <d v="2025-07-05T00:00:00"/>
    <n v="90"/>
    <n v="5"/>
    <n v="0.121"/>
    <n v="5.9900000000000002E-2"/>
    <n v="6"/>
    <s v="Yes"/>
    <s v="Yes"/>
    <n v="0.65"/>
    <n v="1770.6543287671232"/>
    <n v="58.4364706849315"/>
    <n v="1712.2178580821917"/>
    <n v="84"/>
    <x v="471"/>
    <n v="472"/>
  </r>
  <r>
    <s v="SUP067"/>
    <x v="22"/>
    <s v="Europe"/>
    <x v="3"/>
    <s v="Small"/>
    <n v="1045125"/>
    <s v="INV01048"/>
    <n v="64699"/>
    <d v="2025-07-30T00:00:00"/>
    <n v="60"/>
    <n v="2"/>
    <n v="0.15740000000000001"/>
    <n v="5.3600000000000002E-2"/>
    <n v="6"/>
    <s v="Yes"/>
    <s v="Yes"/>
    <n v="0.35"/>
    <n v="1674.0201534246576"/>
    <n v="57.006023013698631"/>
    <n v="1617.0141304109588"/>
    <n v="54"/>
    <x v="472"/>
    <n v="473"/>
  </r>
  <r>
    <s v="SUP062"/>
    <x v="89"/>
    <s v="Mexico"/>
    <x v="4"/>
    <s v="Medium"/>
    <n v="3726894"/>
    <s v="INV01039"/>
    <n v="87407"/>
    <d v="2025-12-13T00:00:00"/>
    <n v="30"/>
    <n v="10"/>
    <n v="9.1899999999999996E-2"/>
    <n v="5.0700000000000002E-2"/>
    <n v="8"/>
    <s v="No"/>
    <s v="Yes"/>
    <n v="0.65"/>
    <n v="660.22218904109582"/>
    <n v="97.129532054794538"/>
    <n v="563.09265698630134"/>
    <n v="22"/>
    <x v="473"/>
    <n v="474"/>
  </r>
  <r>
    <s v="SUP032"/>
    <x v="36"/>
    <s v="US"/>
    <x v="2"/>
    <s v="Medium"/>
    <n v="1954421"/>
    <s v="INV01305"/>
    <n v="47893"/>
    <d v="2026-01-21T00:00:00"/>
    <n v="60"/>
    <n v="3"/>
    <n v="0.1237"/>
    <n v="6.2700000000000006E-2"/>
    <n v="7"/>
    <s v="No"/>
    <s v="Yes"/>
    <n v="0.8"/>
    <n v="973.86807123287667"/>
    <n v="57.589692328767129"/>
    <n v="916.27837890410956"/>
    <n v="53"/>
    <x v="474"/>
    <n v="475"/>
  </r>
  <r>
    <s v="SUP073"/>
    <x v="9"/>
    <s v="Europe"/>
    <x v="1"/>
    <s v="Small"/>
    <n v="261628"/>
    <s v="INV00834"/>
    <n v="31249"/>
    <d v="2025-12-24T00:00:00"/>
    <n v="60"/>
    <n v="5"/>
    <n v="0.17249999999999999"/>
    <n v="5.79E-2"/>
    <n v="10"/>
    <s v="No"/>
    <s v="Yes"/>
    <n v="0.65"/>
    <n v="886.10178082191771"/>
    <n v="49.570331506849314"/>
    <n v="836.53144931506836"/>
    <n v="50"/>
    <x v="475"/>
    <n v="476"/>
  </r>
  <r>
    <s v="SUP056"/>
    <x v="58"/>
    <s v="Europe"/>
    <x v="0"/>
    <s v="Large"/>
    <n v="14943587"/>
    <s v="INV00765"/>
    <n v="67360"/>
    <d v="2026-01-09T00:00:00"/>
    <n v="90"/>
    <n v="2"/>
    <n v="0.1046"/>
    <n v="6.1499999999999999E-2"/>
    <n v="7"/>
    <s v="No"/>
    <s v="Yes"/>
    <n v="0.8"/>
    <n v="1737.3343561643835"/>
    <n v="79.447890410958919"/>
    <n v="1657.8864657534245"/>
    <n v="83"/>
    <x v="476"/>
    <n v="477"/>
  </r>
  <r>
    <s v="SUP024"/>
    <x v="15"/>
    <s v="US"/>
    <x v="3"/>
    <s v="Small"/>
    <n v="1439833"/>
    <s v="INV00375"/>
    <n v="99445"/>
    <d v="2025-09-25T00:00:00"/>
    <n v="60"/>
    <n v="10"/>
    <n v="0.17630000000000001"/>
    <n v="0.06"/>
    <n v="10"/>
    <s v="No"/>
    <s v="Yes"/>
    <n v="0.2"/>
    <n v="2881.9978356164384"/>
    <n v="163.47123287671232"/>
    <n v="2718.5266027397261"/>
    <n v="50"/>
    <x v="477"/>
    <n v="478"/>
  </r>
  <r>
    <s v="SUP087"/>
    <x v="39"/>
    <s v="Europe"/>
    <x v="4"/>
    <s v="Medium"/>
    <n v="4331160"/>
    <s v="INV00002"/>
    <n v="44780"/>
    <d v="2025-10-20T00:00:00"/>
    <n v="60"/>
    <n v="4"/>
    <n v="0.12809999999999999"/>
    <n v="4.9000000000000002E-2"/>
    <n v="8"/>
    <s v="No"/>
    <s v="Yes"/>
    <n v="0.65"/>
    <n v="942.95638356164363"/>
    <n v="48.092493150684938"/>
    <n v="894.86389041095867"/>
    <n v="52"/>
    <x v="478"/>
    <n v="479"/>
  </r>
  <r>
    <s v="SUP068"/>
    <x v="94"/>
    <s v="Europe"/>
    <x v="2"/>
    <s v="Large"/>
    <n v="17196352"/>
    <s v="INV00388"/>
    <n v="97105"/>
    <d v="2025-05-05T00:00:00"/>
    <n v="30"/>
    <n v="10"/>
    <n v="8.1500000000000003E-2"/>
    <n v="5.1900000000000002E-2"/>
    <n v="6"/>
    <s v="No"/>
    <s v="Yes"/>
    <n v="0.8"/>
    <n v="650.47047945205475"/>
    <n v="82.845197260273963"/>
    <n v="567.6252821917808"/>
    <n v="24"/>
    <x v="479"/>
    <n v="480"/>
  </r>
  <r>
    <s v="SUP020"/>
    <x v="75"/>
    <s v="APAC"/>
    <x v="0"/>
    <s v="Large"/>
    <n v="15837870"/>
    <s v="INV00524"/>
    <n v="60997"/>
    <d v="2025-03-17T00:00:00"/>
    <n v="45"/>
    <n v="10"/>
    <n v="0.1089"/>
    <n v="6.2100000000000002E-2"/>
    <n v="5"/>
    <s v="No"/>
    <s v="Yes"/>
    <n v="0.8"/>
    <n v="818.94739315068489"/>
    <n v="51.889228767123285"/>
    <n v="767.05816438356158"/>
    <n v="40"/>
    <x v="480"/>
    <n v="481"/>
  </r>
  <r>
    <s v="SUP059"/>
    <x v="84"/>
    <s v="Canada"/>
    <x v="0"/>
    <s v="Large"/>
    <n v="22445214"/>
    <s v="INV01424"/>
    <n v="73854"/>
    <d v="2025-09-19T00:00:00"/>
    <n v="60"/>
    <n v="4"/>
    <n v="8.4000000000000005E-2"/>
    <n v="4.5499999999999999E-2"/>
    <n v="10"/>
    <s v="No"/>
    <s v="Yes"/>
    <n v="0.8"/>
    <n v="1019.7922191780823"/>
    <n v="92.064575342465744"/>
    <n v="927.7276438356165"/>
    <n v="50"/>
    <x v="481"/>
    <n v="482"/>
  </r>
  <r>
    <s v="SUP145"/>
    <x v="32"/>
    <s v="US"/>
    <x v="2"/>
    <s v="Medium"/>
    <n v="3469396"/>
    <s v="INV00012"/>
    <n v="54992"/>
    <d v="2025-03-01T00:00:00"/>
    <n v="90"/>
    <n v="3"/>
    <n v="0.1216"/>
    <n v="5.8000000000000003E-2"/>
    <n v="8"/>
    <s v="No"/>
    <s v="Yes"/>
    <n v="0.65"/>
    <n v="1648.856021917808"/>
    <n v="69.907638356164384"/>
    <n v="1578.9483835616436"/>
    <n v="82"/>
    <x v="482"/>
    <n v="483"/>
  </r>
  <r>
    <s v="SUP016"/>
    <x v="87"/>
    <s v="US"/>
    <x v="1"/>
    <s v="Large"/>
    <n v="11641644"/>
    <s v="INV00286"/>
    <n v="107529"/>
    <d v="2025-01-17T00:00:00"/>
    <n v="30"/>
    <n v="10"/>
    <n v="9.0399999999999994E-2"/>
    <n v="6.4000000000000001E-2"/>
    <n v="8"/>
    <s v="No"/>
    <s v="Yes"/>
    <n v="0.8"/>
    <n v="798.95519999999988"/>
    <n v="150.83519999999999"/>
    <n v="648.11999999999989"/>
    <n v="22"/>
    <x v="483"/>
    <n v="484"/>
  </r>
  <r>
    <s v="SUP106"/>
    <x v="5"/>
    <s v="Canada"/>
    <x v="1"/>
    <s v="Small"/>
    <n v="1373788"/>
    <s v="INV01021"/>
    <n v="87377"/>
    <d v="2025-09-17T00:00:00"/>
    <n v="45"/>
    <n v="3"/>
    <n v="0.17660000000000001"/>
    <n v="4.6800000000000001E-2"/>
    <n v="7"/>
    <s v="No"/>
    <s v="Yes"/>
    <n v="0.2"/>
    <n v="1902.424709589041"/>
    <n v="78.423849863013714"/>
    <n v="1824.0008597260273"/>
    <n v="38"/>
    <x v="484"/>
    <n v="485"/>
  </r>
  <r>
    <s v="SUP023"/>
    <x v="19"/>
    <s v="Canada"/>
    <x v="0"/>
    <s v="Medium"/>
    <n v="2438415"/>
    <s v="INV00502"/>
    <n v="60374"/>
    <d v="2025-02-09T00:00:00"/>
    <n v="60"/>
    <n v="2"/>
    <n v="0.13650000000000001"/>
    <n v="6.1499999999999999E-2"/>
    <n v="7"/>
    <s v="No"/>
    <s v="Yes"/>
    <n v="0.5"/>
    <n v="1354.6933150684933"/>
    <n v="71.208238356164387"/>
    <n v="1283.4850767123289"/>
    <n v="53"/>
    <x v="485"/>
    <n v="486"/>
  </r>
  <r>
    <s v="SUP118"/>
    <x v="31"/>
    <s v="US"/>
    <x v="1"/>
    <s v="Small"/>
    <n v="735440"/>
    <s v="INV00046"/>
    <n v="31358"/>
    <d v="2025-02-08T00:00:00"/>
    <n v="45"/>
    <n v="3"/>
    <n v="0.13020000000000001"/>
    <n v="5.0099999999999999E-2"/>
    <n v="6"/>
    <s v="No"/>
    <s v="Yes"/>
    <n v="0.9"/>
    <n v="503.36033424657535"/>
    <n v="25.825246027397256"/>
    <n v="477.53508821917808"/>
    <n v="39"/>
    <x v="486"/>
    <n v="487"/>
  </r>
  <r>
    <s v="SUP075"/>
    <x v="11"/>
    <s v="Europe"/>
    <x v="3"/>
    <s v="Small"/>
    <n v="1224427"/>
    <s v="INV01092"/>
    <n v="58833"/>
    <d v="2025-08-08T00:00:00"/>
    <n v="30"/>
    <n v="4"/>
    <n v="0.15670000000000001"/>
    <n v="4.7399999999999998E-2"/>
    <n v="5"/>
    <s v="No"/>
    <s v="Yes"/>
    <n v="0.35"/>
    <n v="757.73680273972604"/>
    <n v="38.201153424657527"/>
    <n v="719.53564931506855"/>
    <n v="25"/>
    <x v="487"/>
    <n v="488"/>
  </r>
  <r>
    <s v="SUP069"/>
    <x v="58"/>
    <s v="US"/>
    <x v="4"/>
    <s v="Medium"/>
    <n v="3292658"/>
    <s v="INV00767"/>
    <n v="96030"/>
    <d v="2025-05-08T00:00:00"/>
    <n v="45"/>
    <n v="5"/>
    <n v="0.11559999999999999"/>
    <n v="4.9000000000000002E-2"/>
    <n v="7"/>
    <s v="No"/>
    <s v="Yes"/>
    <n v="0.35"/>
    <n v="1368.624821917808"/>
    <n v="90.241890410958916"/>
    <n v="1278.3829315068492"/>
    <n v="38"/>
    <x v="488"/>
    <n v="489"/>
  </r>
  <r>
    <s v="SUP050"/>
    <x v="52"/>
    <s v="US"/>
    <x v="2"/>
    <s v="Medium"/>
    <n v="3714458"/>
    <s v="INV00939"/>
    <n v="65907"/>
    <d v="2025-07-29T00:00:00"/>
    <n v="90"/>
    <n v="7"/>
    <n v="0.1153"/>
    <n v="4.7399999999999998E-2"/>
    <n v="7"/>
    <s v="Yes"/>
    <s v="Yes"/>
    <n v="0.5"/>
    <n v="1873.7450383561643"/>
    <n v="59.912171506849312"/>
    <n v="1813.832866849315"/>
    <n v="83"/>
    <x v="489"/>
    <n v="490"/>
  </r>
  <r>
    <s v="SUP066"/>
    <x v="46"/>
    <s v="APAC"/>
    <x v="1"/>
    <s v="Small"/>
    <n v="1106462"/>
    <s v="INV01212"/>
    <n v="57481"/>
    <d v="2025-11-16T00:00:00"/>
    <n v="45"/>
    <n v="2"/>
    <n v="0.1328"/>
    <n v="5.5E-2"/>
    <n v="6"/>
    <s v="No"/>
    <s v="Yes"/>
    <n v="0.5"/>
    <n v="941.11357808219179"/>
    <n v="51.969123287671223"/>
    <n v="889.14445479452058"/>
    <n v="39"/>
    <x v="490"/>
    <n v="491"/>
  </r>
  <r>
    <s v="SUP037"/>
    <x v="65"/>
    <s v="Mexico"/>
    <x v="2"/>
    <s v="Large"/>
    <n v="15898738"/>
    <s v="INV00668"/>
    <n v="58976"/>
    <d v="2025-08-24T00:00:00"/>
    <n v="45"/>
    <n v="10"/>
    <n v="0.1071"/>
    <n v="6.5000000000000002E-2"/>
    <n v="5"/>
    <s v="No"/>
    <s v="Yes"/>
    <n v="0.9"/>
    <n v="778.72556712328765"/>
    <n v="52.512876712328762"/>
    <n v="726.21269041095888"/>
    <n v="40"/>
    <x v="491"/>
    <n v="492"/>
  </r>
  <r>
    <s v="SUP058"/>
    <x v="63"/>
    <s v="Canada"/>
    <x v="1"/>
    <s v="Medium"/>
    <n v="2406772"/>
    <s v="INV00021"/>
    <n v="54437"/>
    <d v="2025-08-18T00:00:00"/>
    <n v="30"/>
    <n v="4"/>
    <n v="0.1091"/>
    <n v="4.5999999999999999E-2"/>
    <n v="8"/>
    <s v="No"/>
    <s v="Yes"/>
    <n v="0.65"/>
    <n v="488.14329041095891"/>
    <n v="54.884427397260268"/>
    <n v="433.25886301369866"/>
    <n v="22"/>
    <x v="492"/>
    <n v="493"/>
  </r>
  <r>
    <s v="SUP131"/>
    <x v="68"/>
    <s v="US"/>
    <x v="0"/>
    <s v="Medium"/>
    <n v="3916164"/>
    <s v="INV00364"/>
    <n v="71314"/>
    <d v="2025-10-08T00:00:00"/>
    <n v="45"/>
    <n v="10"/>
    <n v="0.1119"/>
    <n v="4.9399999999999999E-2"/>
    <n v="7"/>
    <s v="No"/>
    <s v="Yes"/>
    <n v="0.5"/>
    <n v="983.84012876712325"/>
    <n v="67.562688219178085"/>
    <n v="916.27744054794516"/>
    <n v="38"/>
    <x v="493"/>
    <n v="494"/>
  </r>
  <r>
    <s v="SUP030"/>
    <x v="78"/>
    <s v="Canada"/>
    <x v="2"/>
    <s v="Small"/>
    <n v="1267987"/>
    <s v="INV00733"/>
    <n v="33514"/>
    <d v="2025-09-09T00:00:00"/>
    <n v="60"/>
    <n v="3"/>
    <n v="0.125"/>
    <n v="5.1200000000000002E-2"/>
    <n v="8"/>
    <s v="No"/>
    <s v="Yes"/>
    <n v="0.9"/>
    <n v="688.64383561643831"/>
    <n v="37.609135342465756"/>
    <n v="651.03470027397259"/>
    <n v="52"/>
    <x v="494"/>
    <n v="495"/>
  </r>
  <r>
    <s v="SUP005"/>
    <x v="13"/>
    <s v="US"/>
    <x v="2"/>
    <s v="Small"/>
    <n v="701545"/>
    <s v="INV01019"/>
    <n v="20379"/>
    <d v="2025-03-02T00:00:00"/>
    <n v="60"/>
    <n v="7"/>
    <n v="0.17699999999999999"/>
    <n v="5.5800000000000002E-2"/>
    <n v="5"/>
    <s v="No"/>
    <s v="Yes"/>
    <n v="0.9"/>
    <n v="592.94515068493138"/>
    <n v="15.577372602739727"/>
    <n v="577.36777808219165"/>
    <n v="55"/>
    <x v="495"/>
    <n v="496"/>
  </r>
  <r>
    <s v="SUP132"/>
    <x v="62"/>
    <s v="US"/>
    <x v="3"/>
    <s v="Large"/>
    <n v="15029491"/>
    <s v="INV00349"/>
    <n v="67836"/>
    <d v="2025-03-29T00:00:00"/>
    <n v="60"/>
    <n v="2"/>
    <n v="9.8400000000000001E-2"/>
    <n v="6.2E-2"/>
    <n v="5"/>
    <s v="Yes"/>
    <s v="Yes"/>
    <n v="0.9"/>
    <n v="1097.2705315068492"/>
    <n v="57.614136986301368"/>
    <n v="1039.6563945205478"/>
    <n v="55"/>
    <x v="496"/>
    <n v="497"/>
  </r>
  <r>
    <s v="SUP003"/>
    <x v="16"/>
    <s v="APAC"/>
    <x v="2"/>
    <s v="Small"/>
    <n v="1309806"/>
    <s v="INV00990"/>
    <n v="108444"/>
    <d v="2025-06-28T00:00:00"/>
    <n v="60"/>
    <n v="5"/>
    <n v="0.15210000000000001"/>
    <n v="4.9700000000000001E-2"/>
    <n v="8"/>
    <s v="No"/>
    <s v="Yes"/>
    <n v="0.2"/>
    <n v="2711.3971068493156"/>
    <n v="118.12968328767123"/>
    <n v="2593.2674235616446"/>
    <n v="52"/>
    <x v="497"/>
    <n v="498"/>
  </r>
  <r>
    <s v="SUP023"/>
    <x v="19"/>
    <s v="Canada"/>
    <x v="0"/>
    <s v="Medium"/>
    <n v="2438415"/>
    <s v="INV00845"/>
    <n v="88585"/>
    <d v="2025-03-15T00:00:00"/>
    <n v="60"/>
    <n v="5"/>
    <n v="0.13650000000000001"/>
    <n v="6.4899999999999999E-2"/>
    <n v="8"/>
    <s v="No"/>
    <s v="Yes"/>
    <n v="0.35"/>
    <n v="1987.7017808219177"/>
    <n v="126.0091287671233"/>
    <n v="1861.6926520547945"/>
    <n v="52"/>
    <x v="498"/>
    <n v="499"/>
  </r>
  <r>
    <s v="SUP045"/>
    <x v="41"/>
    <s v="Canada"/>
    <x v="3"/>
    <s v="Medium"/>
    <n v="6222733"/>
    <s v="INV00595"/>
    <n v="34686"/>
    <d v="2025-08-26T00:00:00"/>
    <n v="60"/>
    <n v="2"/>
    <n v="0.13980000000000001"/>
    <n v="5.9799999999999999E-2"/>
    <n v="10"/>
    <s v="No"/>
    <s v="Yes"/>
    <n v="0.8"/>
    <n v="797.11278904109599"/>
    <n v="56.828021917808215"/>
    <n v="740.28476712328779"/>
    <n v="50"/>
    <x v="499"/>
    <n v="500"/>
  </r>
  <r>
    <s v="SUP134"/>
    <x v="45"/>
    <s v="Europe"/>
    <x v="2"/>
    <s v="Medium"/>
    <n v="3948313"/>
    <s v="INV00208"/>
    <n v="46387"/>
    <d v="2025-02-28T00:00:00"/>
    <n v="60"/>
    <n v="5"/>
    <n v="0.1154"/>
    <n v="5.5599999999999997E-2"/>
    <n v="7"/>
    <s v="No"/>
    <s v="Yes"/>
    <n v="0.8"/>
    <n v="879.95503561643829"/>
    <n v="49.462521643835615"/>
    <n v="830.49251397260264"/>
    <n v="53"/>
    <x v="500"/>
    <n v="501"/>
  </r>
  <r>
    <s v="SUP040"/>
    <x v="38"/>
    <s v="US"/>
    <x v="3"/>
    <s v="Small"/>
    <n v="1249897"/>
    <s v="INV00153"/>
    <n v="49914"/>
    <d v="2025-05-02T00:00:00"/>
    <n v="45"/>
    <n v="10"/>
    <n v="0.1452"/>
    <n v="5.6500000000000002E-2"/>
    <n v="10"/>
    <s v="No"/>
    <s v="Yes"/>
    <n v="0.5"/>
    <n v="893.52897534246563"/>
    <n v="77.264136986301367"/>
    <n v="816.26483835616432"/>
    <n v="35"/>
    <x v="501"/>
    <n v="502"/>
  </r>
  <r>
    <s v="SUP098"/>
    <x v="1"/>
    <s v="Europe"/>
    <x v="1"/>
    <s v="Small"/>
    <n v="764840"/>
    <s v="INV00479"/>
    <n v="36641"/>
    <d v="2025-12-25T00:00:00"/>
    <n v="90"/>
    <n v="3"/>
    <n v="0.16819999999999999"/>
    <n v="4.7699999999999999E-2"/>
    <n v="5"/>
    <s v="No"/>
    <s v="Yes"/>
    <n v="0.5"/>
    <n v="1519.6478301369862"/>
    <n v="23.942132876712325"/>
    <n v="1495.7056972602738"/>
    <n v="85"/>
    <x v="502"/>
    <n v="503"/>
  </r>
  <r>
    <s v="SUP139"/>
    <x v="55"/>
    <s v="Canada"/>
    <x v="2"/>
    <s v="Large"/>
    <n v="13330124"/>
    <s v="INV01468"/>
    <n v="50196"/>
    <d v="2025-06-10T00:00:00"/>
    <n v="60"/>
    <n v="3"/>
    <n v="0.10920000000000001"/>
    <n v="6.0400000000000002E-2"/>
    <n v="5"/>
    <s v="No"/>
    <s v="Yes"/>
    <n v="0.9"/>
    <n v="901.0525808219179"/>
    <n v="41.532032876712329"/>
    <n v="859.52054794520552"/>
    <n v="55"/>
    <x v="503"/>
    <n v="504"/>
  </r>
  <r>
    <s v="SUP140"/>
    <x v="30"/>
    <s v="Europe"/>
    <x v="1"/>
    <s v="Small"/>
    <n v="1241903"/>
    <s v="INV00441"/>
    <n v="99773"/>
    <d v="2025-10-09T00:00:00"/>
    <n v="60"/>
    <n v="7"/>
    <n v="0.15939999999999999"/>
    <n v="4.9000000000000002E-2"/>
    <n v="5"/>
    <s v="No"/>
    <s v="Yes"/>
    <n v="0.2"/>
    <n v="2614.3259506849313"/>
    <n v="66.970917808219184"/>
    <n v="2547.3550328767119"/>
    <n v="55"/>
    <x v="504"/>
    <n v="505"/>
  </r>
  <r>
    <s v="SUP145"/>
    <x v="32"/>
    <s v="US"/>
    <x v="2"/>
    <s v="Medium"/>
    <n v="3469396"/>
    <s v="INV00727"/>
    <n v="58674"/>
    <d v="2025-02-25T00:00:00"/>
    <n v="60"/>
    <n v="7"/>
    <n v="0.1216"/>
    <n v="6.4000000000000001E-2"/>
    <n v="8"/>
    <s v="No"/>
    <s v="Yes"/>
    <n v="0.65"/>
    <n v="1172.8369972602738"/>
    <n v="82.304350684931507"/>
    <n v="1090.5326465753424"/>
    <n v="52"/>
    <x v="505"/>
    <n v="506"/>
  </r>
  <r>
    <s v="SUP064"/>
    <x v="28"/>
    <s v="Canada"/>
    <x v="4"/>
    <s v="Medium"/>
    <n v="1514188"/>
    <s v="INV00826"/>
    <n v="108017"/>
    <d v="2025-08-13T00:00:00"/>
    <n v="90"/>
    <n v="3"/>
    <n v="0.11600000000000001"/>
    <n v="5.79E-2"/>
    <n v="7"/>
    <s v="No"/>
    <s v="Yes"/>
    <n v="0.35"/>
    <n v="3089.5821369863011"/>
    <n v="119.94326054794521"/>
    <n v="2969.638876438356"/>
    <n v="83"/>
    <x v="506"/>
    <n v="507"/>
  </r>
  <r>
    <s v="SUP076"/>
    <x v="95"/>
    <s v="Canada"/>
    <x v="2"/>
    <s v="Large"/>
    <n v="23937545"/>
    <s v="INV00125"/>
    <n v="74793"/>
    <d v="2026-01-15T00:00:00"/>
    <n v="45"/>
    <n v="7"/>
    <n v="8.7099999999999997E-2"/>
    <n v="5.04E-2"/>
    <n v="10"/>
    <s v="No"/>
    <s v="Yes"/>
    <n v="0.8"/>
    <n v="803.15387260273963"/>
    <n v="103.27581369863013"/>
    <n v="699.87805890410948"/>
    <n v="35"/>
    <x v="507"/>
    <n v="508"/>
  </r>
  <r>
    <s v="SUP103"/>
    <x v="79"/>
    <s v="Mexico"/>
    <x v="3"/>
    <s v="Medium"/>
    <n v="2280589"/>
    <s v="INV00634"/>
    <n v="63181"/>
    <d v="2025-09-02T00:00:00"/>
    <n v="45"/>
    <n v="10"/>
    <n v="0.1047"/>
    <n v="5.16E-2"/>
    <n v="8"/>
    <s v="No"/>
    <s v="Yes"/>
    <n v="0.65"/>
    <n v="815.55419589041094"/>
    <n v="71.455114520547951"/>
    <n v="744.09908136986303"/>
    <n v="37"/>
    <x v="508"/>
    <n v="509"/>
  </r>
  <r>
    <s v="SUP025"/>
    <x v="96"/>
    <s v="Mexico"/>
    <x v="3"/>
    <s v="Medium"/>
    <n v="2577026"/>
    <s v="INV00499"/>
    <n v="37115"/>
    <d v="2025-10-30T00:00:00"/>
    <n v="30"/>
    <n v="7"/>
    <n v="0.123"/>
    <n v="5.7799999999999997E-2"/>
    <n v="8"/>
    <s v="No"/>
    <s v="Yes"/>
    <n v="0.9"/>
    <n v="375.21739726027391"/>
    <n v="47.019112328767122"/>
    <n v="328.19828493150681"/>
    <n v="22"/>
    <x v="509"/>
    <n v="510"/>
  </r>
  <r>
    <s v="SUP066"/>
    <x v="46"/>
    <s v="APAC"/>
    <x v="1"/>
    <s v="Small"/>
    <n v="1106462"/>
    <s v="INV01061"/>
    <n v="56063"/>
    <d v="2025-06-29T00:00:00"/>
    <n v="60"/>
    <n v="2"/>
    <n v="0.1328"/>
    <n v="5.5199999999999999E-2"/>
    <n v="5"/>
    <s v="No"/>
    <s v="Yes"/>
    <n v="0.5"/>
    <n v="1223.8629698630136"/>
    <n v="42.392843835616439"/>
    <n v="1181.4701260273971"/>
    <n v="55"/>
    <x v="510"/>
    <n v="511"/>
  </r>
  <r>
    <s v="SUP112"/>
    <x v="25"/>
    <s v="Canada"/>
    <x v="1"/>
    <s v="Medium"/>
    <n v="2121447"/>
    <s v="INV00373"/>
    <n v="40487"/>
    <d v="2025-11-29T00:00:00"/>
    <n v="45"/>
    <n v="7"/>
    <n v="0.11890000000000001"/>
    <n v="5.9299999999999999E-2"/>
    <n v="7"/>
    <s v="No"/>
    <s v="Yes"/>
    <n v="0.9"/>
    <n v="593.49505068493147"/>
    <n v="46.044256712328774"/>
    <n v="547.4507939726027"/>
    <n v="38"/>
    <x v="511"/>
    <n v="512"/>
  </r>
  <r>
    <s v="SUP013"/>
    <x v="7"/>
    <s v="Europe"/>
    <x v="2"/>
    <s v="Small"/>
    <n v="1439462"/>
    <s v="INV00438"/>
    <n v="49548"/>
    <d v="2025-12-03T00:00:00"/>
    <n v="60"/>
    <n v="7"/>
    <n v="0.17130000000000001"/>
    <n v="4.6100000000000002E-2"/>
    <n v="6"/>
    <s v="No"/>
    <s v="Yes"/>
    <n v="0.35"/>
    <n v="1395.2173808219179"/>
    <n v="37.547881643835616"/>
    <n v="1357.6694991780823"/>
    <n v="54"/>
    <x v="512"/>
    <n v="513"/>
  </r>
  <r>
    <s v="SUP080"/>
    <x v="67"/>
    <s v="US"/>
    <x v="1"/>
    <s v="Small"/>
    <n v="1104797"/>
    <s v="INV01344"/>
    <n v="80482"/>
    <d v="2026-02-16T00:00:00"/>
    <n v="60"/>
    <n v="4"/>
    <n v="0.13320000000000001"/>
    <n v="5.6300000000000003E-2"/>
    <n v="6"/>
    <s v="Yes"/>
    <s v="Yes"/>
    <n v="0.35"/>
    <n v="1762.2250520547943"/>
    <n v="74.484437260273964"/>
    <n v="1687.7406147945203"/>
    <n v="54"/>
    <x v="513"/>
    <n v="514"/>
  </r>
  <r>
    <s v="SUP093"/>
    <x v="48"/>
    <s v="APAC"/>
    <x v="0"/>
    <s v="Small"/>
    <n v="759292"/>
    <s v="INV00308"/>
    <n v="49498"/>
    <d v="2025-08-31T00:00:00"/>
    <n v="90"/>
    <n v="4"/>
    <n v="0.1171"/>
    <n v="6.2600000000000003E-2"/>
    <n v="7"/>
    <s v="No"/>
    <s v="Yes"/>
    <n v="0.8"/>
    <n v="1429.2038958904109"/>
    <n v="59.42472219178083"/>
    <n v="1369.7791736986301"/>
    <n v="83"/>
    <x v="514"/>
    <n v="515"/>
  </r>
  <r>
    <s v="SUP087"/>
    <x v="39"/>
    <s v="Europe"/>
    <x v="4"/>
    <s v="Medium"/>
    <n v="4331160"/>
    <s v="INV00873"/>
    <n v="34745"/>
    <d v="2025-11-30T00:00:00"/>
    <n v="60"/>
    <n v="10"/>
    <n v="0.12809999999999999"/>
    <n v="5.91E-2"/>
    <n v="8"/>
    <s v="No"/>
    <s v="Yes"/>
    <n v="0.9"/>
    <n v="731.64402739726017"/>
    <n v="45.006673972602741"/>
    <n v="686.63735342465748"/>
    <n v="52"/>
    <x v="515"/>
    <n v="516"/>
  </r>
  <r>
    <s v="SUP145"/>
    <x v="32"/>
    <s v="US"/>
    <x v="2"/>
    <s v="Medium"/>
    <n v="3469396"/>
    <s v="INV00604"/>
    <n v="32220"/>
    <d v="2025-09-07T00:00:00"/>
    <n v="45"/>
    <n v="10"/>
    <n v="0.1216"/>
    <n v="4.7500000000000001E-2"/>
    <n v="5"/>
    <s v="Yes"/>
    <s v="Yes"/>
    <n v="0.9"/>
    <n v="483.03517808219175"/>
    <n v="20.965068493150685"/>
    <n v="462.07010958904107"/>
    <n v="40"/>
    <x v="516"/>
    <n v="517"/>
  </r>
  <r>
    <s v="SUP016"/>
    <x v="87"/>
    <s v="US"/>
    <x v="1"/>
    <s v="Large"/>
    <n v="11641644"/>
    <s v="INV00265"/>
    <n v="104367"/>
    <d v="2025-07-22T00:00:00"/>
    <n v="60"/>
    <n v="2"/>
    <n v="9.0399999999999994E-2"/>
    <n v="4.9299999999999997E-2"/>
    <n v="7"/>
    <s v="Yes"/>
    <s v="Yes"/>
    <n v="0.5"/>
    <n v="1550.92221369863"/>
    <n v="98.676853972602743"/>
    <n v="1452.2453597260273"/>
    <n v="53"/>
    <x v="517"/>
    <n v="518"/>
  </r>
  <r>
    <s v="SUP116"/>
    <x v="74"/>
    <s v="Canada"/>
    <x v="1"/>
    <s v="Large"/>
    <n v="13972206"/>
    <s v="INV00191"/>
    <n v="97332"/>
    <d v="2025-04-01T00:00:00"/>
    <n v="90"/>
    <n v="3"/>
    <n v="9.5000000000000001E-2"/>
    <n v="5.0999999999999997E-2"/>
    <n v="10"/>
    <s v="No"/>
    <s v="Yes"/>
    <n v="0.5"/>
    <n v="2279.9687671232878"/>
    <n v="135.99813698630135"/>
    <n v="2143.9706301369865"/>
    <n v="80"/>
    <x v="518"/>
    <n v="519"/>
  </r>
  <r>
    <s v="SUP026"/>
    <x v="16"/>
    <s v="Mexico"/>
    <x v="2"/>
    <s v="Large"/>
    <n v="21198154"/>
    <s v="INV00683"/>
    <n v="72031"/>
    <d v="2025-07-10T00:00:00"/>
    <n v="60"/>
    <n v="3"/>
    <n v="0.1086"/>
    <n v="6.3E-2"/>
    <n v="7"/>
    <s v="Yes"/>
    <s v="Yes"/>
    <n v="0.65"/>
    <n v="1285.9013589041094"/>
    <n v="87.02923561643837"/>
    <n v="1198.872123287671"/>
    <n v="53"/>
    <x v="519"/>
    <n v="520"/>
  </r>
  <r>
    <s v="SUP092"/>
    <x v="61"/>
    <s v="Europe"/>
    <x v="1"/>
    <s v="Small"/>
    <n v="303851"/>
    <s v="INV01047"/>
    <n v="19536"/>
    <d v="2025-04-06T00:00:00"/>
    <n v="60"/>
    <n v="7"/>
    <n v="0.17499999999999999"/>
    <n v="5.4199999999999998E-2"/>
    <n v="7"/>
    <s v="No"/>
    <s v="Yes"/>
    <n v="0.9"/>
    <n v="561.99452054794517"/>
    <n v="20.306735342465757"/>
    <n v="541.68778520547937"/>
    <n v="53"/>
    <x v="520"/>
    <n v="521"/>
  </r>
  <r>
    <s v="SUP011"/>
    <x v="39"/>
    <s v="APAC"/>
    <x v="1"/>
    <s v="Medium"/>
    <n v="3553623"/>
    <s v="INV00899"/>
    <n v="103066"/>
    <d v="2025-11-12T00:00:00"/>
    <n v="60"/>
    <n v="5"/>
    <n v="9.8199999999999996E-2"/>
    <n v="5.7000000000000002E-2"/>
    <n v="7"/>
    <s v="No"/>
    <s v="Yes"/>
    <n v="0.5"/>
    <n v="1663.7393753424653"/>
    <n v="112.66666849315071"/>
    <n v="1551.0727068493147"/>
    <n v="53"/>
    <x v="521"/>
    <n v="522"/>
  </r>
  <r>
    <s v="SUP039"/>
    <x v="12"/>
    <s v="Mexico"/>
    <x v="0"/>
    <s v="Small"/>
    <n v="372648"/>
    <s v="INV01446"/>
    <n v="46834"/>
    <d v="2025-02-01T00:00:00"/>
    <n v="60"/>
    <n v="2"/>
    <n v="0.15049999999999999"/>
    <n v="5.9900000000000002E-2"/>
    <n v="5"/>
    <s v="No"/>
    <s v="Yes"/>
    <n v="0.5"/>
    <n v="1158.6603287671232"/>
    <n v="38.429542465753421"/>
    <n v="1120.2307863013698"/>
    <n v="55"/>
    <x v="522"/>
    <n v="523"/>
  </r>
  <r>
    <s v="SUP012"/>
    <x v="34"/>
    <s v="Europe"/>
    <x v="4"/>
    <s v="Medium"/>
    <n v="1969242"/>
    <s v="INV01116"/>
    <n v="77564"/>
    <d v="2026-01-15T00:00:00"/>
    <n v="45"/>
    <n v="5"/>
    <n v="0.10150000000000001"/>
    <n v="5.9499999999999997E-2"/>
    <n v="6"/>
    <s v="No"/>
    <s v="Yes"/>
    <n v="0.65"/>
    <n v="970.61252054794511"/>
    <n v="75.863967123287665"/>
    <n v="894.74855342465742"/>
    <n v="39"/>
    <x v="523"/>
    <n v="524"/>
  </r>
  <r>
    <s v="SUP070"/>
    <x v="3"/>
    <s v="Mexico"/>
    <x v="1"/>
    <s v="Medium"/>
    <n v="6809493"/>
    <s v="INV00945"/>
    <n v="40399"/>
    <d v="2025-11-25T00:00:00"/>
    <n v="60"/>
    <n v="10"/>
    <n v="0.121"/>
    <n v="5.5599999999999997E-2"/>
    <n v="8"/>
    <s v="No"/>
    <s v="Yes"/>
    <n v="0.8"/>
    <n v="803.55271232876703"/>
    <n v="49.231438904109581"/>
    <n v="754.32127342465742"/>
    <n v="52"/>
    <x v="524"/>
    <n v="525"/>
  </r>
  <r>
    <s v="SUP034"/>
    <x v="15"/>
    <s v="APAC"/>
    <x v="0"/>
    <s v="Medium"/>
    <n v="3836607"/>
    <s v="INV01459"/>
    <n v="60600"/>
    <d v="2026-01-26T00:00:00"/>
    <n v="45"/>
    <n v="4"/>
    <n v="0.11310000000000001"/>
    <n v="5.9499999999999997E-2"/>
    <n v="7"/>
    <s v="No"/>
    <s v="Yes"/>
    <n v="0.65"/>
    <n v="844.99643835616439"/>
    <n v="69.150410958904104"/>
    <n v="775.84602739726029"/>
    <n v="38"/>
    <x v="525"/>
    <n v="526"/>
  </r>
  <r>
    <s v="SUP140"/>
    <x v="30"/>
    <s v="Europe"/>
    <x v="1"/>
    <s v="Small"/>
    <n v="1241903"/>
    <s v="INV00901"/>
    <n v="41232"/>
    <d v="2026-02-18T00:00:00"/>
    <n v="60"/>
    <n v="5"/>
    <n v="0.15939999999999999"/>
    <n v="5.7500000000000002E-2"/>
    <n v="6"/>
    <s v="No"/>
    <s v="Yes"/>
    <n v="0.5"/>
    <n v="1080.3913643835615"/>
    <n v="38.972712328767123"/>
    <n v="1041.4186520547944"/>
    <n v="54"/>
    <x v="526"/>
    <n v="527"/>
  </r>
  <r>
    <s v="SUP090"/>
    <x v="10"/>
    <s v="APAC"/>
    <x v="1"/>
    <s v="Medium"/>
    <n v="3501061"/>
    <s v="INV01150"/>
    <n v="96523"/>
    <d v="2025-12-04T00:00:00"/>
    <n v="60"/>
    <n v="10"/>
    <n v="9.6299999999999997E-2"/>
    <n v="5.2900000000000003E-2"/>
    <n v="7"/>
    <s v="No"/>
    <s v="Yes"/>
    <n v="0.5"/>
    <n v="1527.972312328767"/>
    <n v="97.924566849315084"/>
    <n v="1430.0477454794518"/>
    <n v="53"/>
    <x v="527"/>
    <n v="528"/>
  </r>
  <r>
    <s v="SUP008"/>
    <x v="48"/>
    <s v="US"/>
    <x v="1"/>
    <s v="Medium"/>
    <n v="1884403"/>
    <s v="INV01013"/>
    <n v="31473"/>
    <d v="2025-11-02T00:00:00"/>
    <n v="60"/>
    <n v="5"/>
    <n v="0.1231"/>
    <n v="4.99E-2"/>
    <n v="5"/>
    <s v="Yes"/>
    <s v="Yes"/>
    <n v="0.9"/>
    <n v="636.87555616438351"/>
    <n v="21.513735616438353"/>
    <n v="615.36182054794517"/>
    <n v="55"/>
    <x v="528"/>
    <n v="529"/>
  </r>
  <r>
    <s v="SUP043"/>
    <x v="17"/>
    <s v="Canada"/>
    <x v="4"/>
    <s v="Medium"/>
    <n v="4153903"/>
    <s v="INV00539"/>
    <n v="31073"/>
    <d v="2026-02-25T00:00:00"/>
    <n v="60"/>
    <n v="4"/>
    <n v="0.13669999999999999"/>
    <n v="6.2600000000000003E-2"/>
    <n v="8"/>
    <s v="No"/>
    <s v="Yes"/>
    <n v="0.9"/>
    <n v="698.24861917808209"/>
    <n v="42.633858630136992"/>
    <n v="655.61476054794514"/>
    <n v="52"/>
    <x v="529"/>
    <n v="530"/>
  </r>
  <r>
    <s v="SUP105"/>
    <x v="81"/>
    <s v="Canada"/>
    <x v="4"/>
    <s v="Medium"/>
    <n v="3772612"/>
    <s v="INV00478"/>
    <n v="93962"/>
    <d v="2025-07-31T00:00:00"/>
    <n v="45"/>
    <n v="7"/>
    <n v="0.1053"/>
    <n v="6.1199999999999997E-2"/>
    <n v="7"/>
    <s v="No"/>
    <s v="Yes"/>
    <n v="0.5"/>
    <n v="1219.832704109589"/>
    <n v="110.28307068493152"/>
    <n v="1109.5496334246575"/>
    <n v="38"/>
    <x v="530"/>
    <n v="531"/>
  </r>
  <r>
    <s v="SUP078"/>
    <x v="24"/>
    <s v="Mexico"/>
    <x v="4"/>
    <s v="Small"/>
    <n v="412494"/>
    <s v="INV01464"/>
    <n v="98431"/>
    <d v="2025-02-21T00:00:00"/>
    <n v="60"/>
    <n v="10"/>
    <n v="0.15989999999999999"/>
    <n v="5.4699999999999999E-2"/>
    <n v="7"/>
    <s v="No"/>
    <s v="Yes"/>
    <n v="0.2"/>
    <n v="2587.2520931506847"/>
    <n v="103.25816410958905"/>
    <n v="2483.9939290410957"/>
    <n v="53"/>
    <x v="531"/>
    <n v="532"/>
  </r>
  <r>
    <s v="SUP106"/>
    <x v="5"/>
    <s v="Canada"/>
    <x v="1"/>
    <s v="Small"/>
    <n v="1373788"/>
    <s v="INV01330"/>
    <n v="22030"/>
    <d v="2025-11-06T00:00:00"/>
    <n v="30"/>
    <n v="10"/>
    <n v="0.17660000000000001"/>
    <n v="5.91E-2"/>
    <n v="8"/>
    <s v="Yes"/>
    <s v="Yes"/>
    <n v="0.8"/>
    <n v="319.76695890410957"/>
    <n v="28.536394520547944"/>
    <n v="291.23056438356161"/>
    <n v="22"/>
    <x v="532"/>
    <n v="533"/>
  </r>
  <r>
    <s v="SUP026"/>
    <x v="16"/>
    <s v="Mexico"/>
    <x v="2"/>
    <s v="Large"/>
    <n v="21198154"/>
    <s v="INV00065"/>
    <n v="66874"/>
    <d v="2025-07-10T00:00:00"/>
    <n v="90"/>
    <n v="3"/>
    <n v="0.1086"/>
    <n v="6.0999999999999999E-2"/>
    <n v="6"/>
    <s v="No"/>
    <s v="Yes"/>
    <n v="0.65"/>
    <n v="1790.7574684931508"/>
    <n v="67.05721643835615"/>
    <n v="1723.7002520547946"/>
    <n v="84"/>
    <x v="533"/>
    <n v="534"/>
  </r>
  <r>
    <s v="SUP052"/>
    <x v="12"/>
    <s v="US"/>
    <x v="0"/>
    <s v="Medium"/>
    <n v="6127831"/>
    <s v="INV00443"/>
    <n v="37496"/>
    <d v="2025-02-07T00:00:00"/>
    <n v="60"/>
    <n v="5"/>
    <n v="0.12529999999999999"/>
    <n v="5.6500000000000002E-2"/>
    <n v="7"/>
    <s v="Yes"/>
    <s v="Yes"/>
    <n v="0.8"/>
    <n v="772.31487123287661"/>
    <n v="40.629227397260273"/>
    <n v="731.68564383561636"/>
    <n v="53"/>
    <x v="534"/>
    <n v="535"/>
  </r>
  <r>
    <s v="SUP095"/>
    <x v="56"/>
    <s v="US"/>
    <x v="2"/>
    <s v="Small"/>
    <n v="965613"/>
    <s v="INV00261"/>
    <n v="63688"/>
    <d v="2026-02-15T00:00:00"/>
    <n v="30"/>
    <n v="7"/>
    <n v="0.1109"/>
    <n v="4.6199999999999998E-2"/>
    <n v="6"/>
    <s v="Yes"/>
    <s v="Yes"/>
    <n v="0.5"/>
    <n v="580.52048219178084"/>
    <n v="48.367982465753421"/>
    <n v="532.15249972602737"/>
    <n v="24"/>
    <x v="535"/>
    <n v="536"/>
  </r>
  <r>
    <s v="SUP118"/>
    <x v="31"/>
    <s v="US"/>
    <x v="1"/>
    <s v="Small"/>
    <n v="735440"/>
    <s v="INV00219"/>
    <n v="43056"/>
    <d v="2025-03-26T00:00:00"/>
    <n v="45"/>
    <n v="10"/>
    <n v="0.13020000000000001"/>
    <n v="5.6800000000000003E-2"/>
    <n v="7"/>
    <s v="No"/>
    <s v="Yes"/>
    <n v="0.65"/>
    <n v="691.13727123287663"/>
    <n v="46.901549589041103"/>
    <n v="644.23572164383552"/>
    <n v="38"/>
    <x v="536"/>
    <n v="537"/>
  </r>
  <r>
    <s v="SUP020"/>
    <x v="75"/>
    <s v="APAC"/>
    <x v="0"/>
    <s v="Large"/>
    <n v="15837870"/>
    <s v="INV00907"/>
    <n v="93684"/>
    <d v="2025-04-09T00:00:00"/>
    <n v="90"/>
    <n v="10"/>
    <n v="0.1089"/>
    <n v="4.6300000000000001E-2"/>
    <n v="6"/>
    <s v="No"/>
    <s v="Yes"/>
    <n v="0.35"/>
    <n v="2515.6079013698627"/>
    <n v="71.302507397260271"/>
    <n v="2444.3053939726024"/>
    <n v="84"/>
    <x v="537"/>
    <n v="538"/>
  </r>
  <r>
    <s v="SUP046"/>
    <x v="47"/>
    <s v="Mexico"/>
    <x v="1"/>
    <s v="Small"/>
    <n v="981924"/>
    <s v="INV00360"/>
    <n v="87108"/>
    <d v="2025-02-22T00:00:00"/>
    <n v="60"/>
    <n v="5"/>
    <n v="0.17169999999999999"/>
    <n v="5.3900000000000003E-2"/>
    <n v="5"/>
    <s v="No"/>
    <s v="Yes"/>
    <n v="0.2"/>
    <n v="2458.5934684931503"/>
    <n v="64.316728767123294"/>
    <n v="2394.2767397260272"/>
    <n v="55"/>
    <x v="538"/>
    <n v="539"/>
  </r>
  <r>
    <s v="SUP017"/>
    <x v="70"/>
    <s v="APAC"/>
    <x v="2"/>
    <s v="Medium"/>
    <n v="5041335"/>
    <s v="INV01318"/>
    <n v="83226"/>
    <d v="2025-12-06T00:00:00"/>
    <n v="60"/>
    <n v="2"/>
    <n v="0.1198"/>
    <n v="4.9399999999999999E-2"/>
    <n v="7"/>
    <s v="No"/>
    <s v="Yes"/>
    <n v="0.35"/>
    <n v="1638.9821589041094"/>
    <n v="78.848084383561655"/>
    <n v="1560.1340745205478"/>
    <n v="53"/>
    <x v="539"/>
    <n v="540"/>
  </r>
  <r>
    <s v="SUP110"/>
    <x v="82"/>
    <s v="Europe"/>
    <x v="2"/>
    <s v="Medium"/>
    <n v="5617789"/>
    <s v="INV00431"/>
    <n v="97792"/>
    <d v="2025-05-14T00:00:00"/>
    <n v="45"/>
    <n v="4"/>
    <n v="9.5100000000000004E-2"/>
    <n v="5.3199999999999997E-2"/>
    <n v="5"/>
    <s v="Yes"/>
    <s v="Yes"/>
    <n v="0.5"/>
    <n v="1146.5777095890412"/>
    <n v="71.267594520547931"/>
    <n v="1075.3101150684934"/>
    <n v="40"/>
    <x v="540"/>
    <n v="541"/>
  </r>
  <r>
    <s v="SUP138"/>
    <x v="59"/>
    <s v="Europe"/>
    <x v="2"/>
    <s v="Medium"/>
    <n v="4395110"/>
    <s v="INV01059"/>
    <n v="42065"/>
    <d v="2025-04-13T00:00:00"/>
    <n v="45"/>
    <n v="5"/>
    <n v="0.1066"/>
    <n v="4.58E-2"/>
    <n v="6"/>
    <s v="No"/>
    <s v="Yes"/>
    <n v="0.8"/>
    <n v="552.83782191780813"/>
    <n v="31.669758904109585"/>
    <n v="521.16806301369854"/>
    <n v="39"/>
    <x v="541"/>
    <n v="542"/>
  </r>
  <r>
    <s v="SUP141"/>
    <x v="92"/>
    <s v="US"/>
    <x v="2"/>
    <s v="Medium"/>
    <n v="1810544"/>
    <s v="INV01223"/>
    <n v="93381"/>
    <d v="2025-12-10T00:00:00"/>
    <n v="60"/>
    <n v="7"/>
    <n v="9.6299999999999997E-2"/>
    <n v="6.2600000000000003E-2"/>
    <n v="5"/>
    <s v="No"/>
    <s v="Yes"/>
    <n v="0.65"/>
    <n v="1478.2340219178081"/>
    <n v="80.077405479452054"/>
    <n v="1398.1566164383562"/>
    <n v="55"/>
    <x v="542"/>
    <n v="543"/>
  </r>
  <r>
    <s v="SUP055"/>
    <x v="69"/>
    <s v="APAC"/>
    <x v="1"/>
    <s v="Medium"/>
    <n v="2362296"/>
    <s v="INV01143"/>
    <n v="59683"/>
    <d v="2025-07-31T00:00:00"/>
    <n v="30"/>
    <n v="4"/>
    <n v="0.1077"/>
    <n v="5.5E-2"/>
    <n v="5"/>
    <s v="No"/>
    <s v="Yes"/>
    <n v="0.65"/>
    <n v="528.31718630136993"/>
    <n v="44.966643835616438"/>
    <n v="483.35054246575351"/>
    <n v="25"/>
    <x v="543"/>
    <n v="544"/>
  </r>
  <r>
    <s v="SUP097"/>
    <x v="67"/>
    <s v="APAC"/>
    <x v="4"/>
    <s v="Medium"/>
    <n v="6014522"/>
    <s v="INV00846"/>
    <n v="78294"/>
    <d v="2025-08-22T00:00:00"/>
    <n v="45"/>
    <n v="10"/>
    <n v="0.12870000000000001"/>
    <n v="5.4199999999999998E-2"/>
    <n v="10"/>
    <s v="No"/>
    <s v="Yes"/>
    <n v="0.35"/>
    <n v="1242.3005506849315"/>
    <n v="116.26122739726026"/>
    <n v="1126.0393232876713"/>
    <n v="35"/>
    <x v="544"/>
    <n v="545"/>
  </r>
  <r>
    <s v="SUP086"/>
    <x v="45"/>
    <s v="Mexico"/>
    <x v="1"/>
    <s v="Small"/>
    <n v="1218251"/>
    <s v="INV01427"/>
    <n v="70150"/>
    <d v="2025-03-23T00:00:00"/>
    <n v="90"/>
    <n v="3"/>
    <n v="0.1227"/>
    <n v="6.4500000000000002E-2"/>
    <n v="10"/>
    <s v="No"/>
    <s v="Yes"/>
    <n v="0.5"/>
    <n v="2122.3738356164386"/>
    <n v="123.96369863013699"/>
    <n v="1998.4101369863015"/>
    <n v="80"/>
    <x v="545"/>
    <n v="546"/>
  </r>
  <r>
    <s v="SUP114"/>
    <x v="77"/>
    <s v="Europe"/>
    <x v="2"/>
    <s v="Medium"/>
    <n v="6687670"/>
    <s v="INV00915"/>
    <n v="70262"/>
    <d v="2025-08-28T00:00:00"/>
    <n v="60"/>
    <n v="3"/>
    <n v="0.1013"/>
    <n v="5.67E-2"/>
    <n v="8"/>
    <s v="No"/>
    <s v="Yes"/>
    <n v="0.65"/>
    <n v="1170.0066739726028"/>
    <n v="87.317378630136986"/>
    <n v="1082.6892953424658"/>
    <n v="52"/>
    <x v="546"/>
    <n v="547"/>
  </r>
  <r>
    <s v="SUP100"/>
    <x v="80"/>
    <s v="Mexico"/>
    <x v="4"/>
    <s v="Large"/>
    <n v="13101534"/>
    <s v="INV00173"/>
    <n v="64022"/>
    <d v="2026-02-28T00:00:00"/>
    <n v="30"/>
    <n v="5"/>
    <n v="8.9499999999999996E-2"/>
    <n v="5.4199999999999998E-2"/>
    <n v="6"/>
    <s v="No"/>
    <s v="Yes"/>
    <n v="0.9"/>
    <n v="470.95635616438352"/>
    <n v="57.040970958904104"/>
    <n v="413.91538520547942"/>
    <n v="24"/>
    <x v="547"/>
    <n v="548"/>
  </r>
  <r>
    <s v="SUP045"/>
    <x v="41"/>
    <s v="Canada"/>
    <x v="3"/>
    <s v="Medium"/>
    <n v="6222733"/>
    <s v="INV00653"/>
    <n v="27401"/>
    <d v="2025-12-04T00:00:00"/>
    <n v="90"/>
    <n v="2"/>
    <n v="0.13980000000000001"/>
    <n v="5.74E-2"/>
    <n v="10"/>
    <s v="No"/>
    <s v="Yes"/>
    <n v="0.9"/>
    <n v="944.54625205479454"/>
    <n v="43.090887671232871"/>
    <n v="901.45536438356169"/>
    <n v="80"/>
    <x v="548"/>
    <n v="549"/>
  </r>
  <r>
    <s v="SUP096"/>
    <x v="73"/>
    <s v="APAC"/>
    <x v="4"/>
    <s v="Large"/>
    <n v="22426293"/>
    <s v="INV01065"/>
    <n v="59367"/>
    <d v="2025-07-16T00:00:00"/>
    <n v="60"/>
    <n v="7"/>
    <n v="9.8299999999999998E-2"/>
    <n v="5.5599999999999997E-2"/>
    <n v="7"/>
    <s v="Yes"/>
    <s v="Yes"/>
    <n v="0.8"/>
    <n v="959.30566027397253"/>
    <n v="63.303113424657532"/>
    <n v="896.00254684931497"/>
    <n v="53"/>
    <x v="549"/>
    <n v="550"/>
  </r>
  <r>
    <s v="SUP099"/>
    <x v="40"/>
    <s v="US"/>
    <x v="2"/>
    <s v="Medium"/>
    <n v="6280246"/>
    <s v="INV00073"/>
    <n v="94831"/>
    <d v="2025-10-20T00:00:00"/>
    <n v="60"/>
    <n v="3"/>
    <n v="0.1205"/>
    <n v="5.9400000000000001E-2"/>
    <n v="7"/>
    <s v="No"/>
    <s v="Yes"/>
    <n v="0.35"/>
    <n v="1878.4332328767123"/>
    <n v="108.02939671232878"/>
    <n v="1770.4038361643834"/>
    <n v="53"/>
    <x v="550"/>
    <n v="551"/>
  </r>
  <r>
    <s v="SUP051"/>
    <x v="75"/>
    <s v="Mexico"/>
    <x v="1"/>
    <s v="Large"/>
    <n v="8479307"/>
    <s v="INV00180"/>
    <n v="109708"/>
    <d v="2025-11-01T00:00:00"/>
    <n v="90"/>
    <n v="2"/>
    <n v="7.0099999999999996E-2"/>
    <n v="4.7E-2"/>
    <n v="6"/>
    <s v="No"/>
    <s v="Yes"/>
    <n v="0.8"/>
    <n v="1896.2952657534245"/>
    <n v="84.760701369863"/>
    <n v="1811.5345643835615"/>
    <n v="84"/>
    <x v="551"/>
    <n v="552"/>
  </r>
  <r>
    <s v="SUP022"/>
    <x v="37"/>
    <s v="APAC"/>
    <x v="4"/>
    <s v="Medium"/>
    <n v="6024640"/>
    <s v="INV00350"/>
    <n v="55078"/>
    <d v="2025-04-04T00:00:00"/>
    <n v="60"/>
    <n v="5"/>
    <n v="0.13769999999999999"/>
    <n v="6.4100000000000004E-2"/>
    <n v="7"/>
    <s v="No"/>
    <s v="Yes"/>
    <n v="0.5"/>
    <n v="1246.7244821917807"/>
    <n v="67.708215342465763"/>
    <n v="1179.0162668493149"/>
    <n v="53"/>
    <x v="552"/>
    <n v="553"/>
  </r>
  <r>
    <s v="SUP037"/>
    <x v="65"/>
    <s v="Mexico"/>
    <x v="2"/>
    <s v="Large"/>
    <n v="15898738"/>
    <s v="INV01012"/>
    <n v="58607"/>
    <d v="2025-08-11T00:00:00"/>
    <n v="90"/>
    <n v="3"/>
    <n v="0.1071"/>
    <n v="6.3899999999999998E-2"/>
    <n v="5"/>
    <s v="No"/>
    <s v="Yes"/>
    <n v="0.8"/>
    <n v="1547.706501369863"/>
    <n v="51.301195890410952"/>
    <n v="1496.405305479452"/>
    <n v="85"/>
    <x v="553"/>
    <n v="554"/>
  </r>
  <r>
    <s v="SUP078"/>
    <x v="24"/>
    <s v="Mexico"/>
    <x v="4"/>
    <s v="Small"/>
    <n v="412494"/>
    <s v="INV01191"/>
    <n v="29047"/>
    <d v="2025-04-07T00:00:00"/>
    <n v="45"/>
    <n v="4"/>
    <n v="0.15989999999999999"/>
    <n v="5.2699999999999997E-2"/>
    <n v="8"/>
    <s v="No"/>
    <s v="Yes"/>
    <n v="0.65"/>
    <n v="572.62380410958895"/>
    <n v="33.551274520547942"/>
    <n v="539.07252958904098"/>
    <n v="37"/>
    <x v="554"/>
    <n v="555"/>
  </r>
  <r>
    <s v="SUP017"/>
    <x v="70"/>
    <s v="APAC"/>
    <x v="2"/>
    <s v="Medium"/>
    <n v="5041335"/>
    <s v="INV01145"/>
    <n v="35186"/>
    <d v="2025-08-12T00:00:00"/>
    <n v="60"/>
    <n v="3"/>
    <n v="0.1198"/>
    <n v="5.5899999999999998E-2"/>
    <n v="8"/>
    <s v="No"/>
    <s v="Yes"/>
    <n v="0.9"/>
    <n v="692.92319999999995"/>
    <n v="43.110079999999996"/>
    <n v="649.81311999999991"/>
    <n v="52"/>
    <x v="555"/>
    <n v="556"/>
  </r>
  <r>
    <s v="SUP091"/>
    <x v="64"/>
    <s v="Canada"/>
    <x v="4"/>
    <s v="Medium"/>
    <n v="3649528"/>
    <s v="INV01433"/>
    <n v="75254"/>
    <d v="2026-01-23T00:00:00"/>
    <n v="45"/>
    <n v="2"/>
    <n v="0.1283"/>
    <n v="5.16E-2"/>
    <n v="5"/>
    <s v="No"/>
    <s v="Yes"/>
    <n v="0.35"/>
    <n v="1190.3533397260273"/>
    <n v="53.193238356164379"/>
    <n v="1137.160101369863"/>
    <n v="40"/>
    <x v="556"/>
    <n v="557"/>
  </r>
  <r>
    <s v="SUP091"/>
    <x v="64"/>
    <s v="Canada"/>
    <x v="4"/>
    <s v="Medium"/>
    <n v="3649528"/>
    <s v="INV00367"/>
    <n v="36979"/>
    <d v="2025-03-05T00:00:00"/>
    <n v="60"/>
    <n v="2"/>
    <n v="0.1283"/>
    <n v="6.0100000000000001E-2"/>
    <n v="5"/>
    <s v="No"/>
    <s v="Yes"/>
    <n v="0.8"/>
    <n v="779.9023068493151"/>
    <n v="30.444354794520546"/>
    <n v="749.45795205479453"/>
    <n v="55"/>
    <x v="557"/>
    <n v="558"/>
  </r>
  <r>
    <s v="SUP064"/>
    <x v="28"/>
    <s v="Canada"/>
    <x v="4"/>
    <s v="Medium"/>
    <n v="1514188"/>
    <s v="INV01171"/>
    <n v="33921"/>
    <d v="2025-09-29T00:00:00"/>
    <n v="90"/>
    <n v="7"/>
    <n v="0.11600000000000001"/>
    <n v="5.0099999999999999E-2"/>
    <n v="8"/>
    <s v="No"/>
    <s v="Yes"/>
    <n v="0.9"/>
    <n v="970.23353424657535"/>
    <n v="37.248046027397258"/>
    <n v="932.98548821917814"/>
    <n v="82"/>
    <x v="558"/>
    <n v="559"/>
  </r>
  <r>
    <s v="SUP138"/>
    <x v="59"/>
    <s v="Europe"/>
    <x v="2"/>
    <s v="Medium"/>
    <n v="4395110"/>
    <s v="INV00229"/>
    <n v="69840"/>
    <d v="2025-02-17T00:00:00"/>
    <n v="60"/>
    <n v="5"/>
    <n v="0.1066"/>
    <n v="4.9000000000000002E-2"/>
    <n v="6"/>
    <s v="No"/>
    <s v="Yes"/>
    <n v="0.5"/>
    <n v="1223.826410958904"/>
    <n v="56.254684931506851"/>
    <n v="1167.5717260273973"/>
    <n v="54"/>
    <x v="559"/>
    <n v="560"/>
  </r>
  <r>
    <s v="SUP127"/>
    <x v="12"/>
    <s v="Europe"/>
    <x v="0"/>
    <s v="Small"/>
    <n v="1089809"/>
    <s v="INV00958"/>
    <n v="38789"/>
    <d v="2025-03-10T00:00:00"/>
    <n v="60"/>
    <n v="3"/>
    <n v="0.16689999999999999"/>
    <n v="6.3500000000000001E-2"/>
    <n v="10"/>
    <s v="No"/>
    <s v="Yes"/>
    <n v="0.5"/>
    <n v="1064.2001260273971"/>
    <n v="67.482232876712331"/>
    <n v="996.71789315068474"/>
    <n v="50"/>
    <x v="560"/>
    <n v="561"/>
  </r>
  <r>
    <s v="SUP101"/>
    <x v="85"/>
    <s v="US"/>
    <x v="1"/>
    <s v="Large"/>
    <n v="16270036"/>
    <s v="INV00449"/>
    <n v="53139"/>
    <d v="2025-05-04T00:00:00"/>
    <n v="60"/>
    <n v="7"/>
    <n v="9.2200000000000004E-2"/>
    <n v="5.04E-2"/>
    <n v="6"/>
    <s v="No"/>
    <s v="Yes"/>
    <n v="0.9"/>
    <n v="805.38341917808225"/>
    <n v="44.025297534246576"/>
    <n v="761.35812164383572"/>
    <n v="54"/>
    <x v="561"/>
    <n v="562"/>
  </r>
  <r>
    <s v="SUP124"/>
    <x v="43"/>
    <s v="Mexico"/>
    <x v="1"/>
    <s v="Small"/>
    <n v="617401"/>
    <s v="INV01372"/>
    <n v="61716"/>
    <d v="2025-05-20T00:00:00"/>
    <n v="60"/>
    <n v="3"/>
    <n v="0.1429"/>
    <n v="5.0599999999999999E-2"/>
    <n v="10"/>
    <s v="No"/>
    <s v="Yes"/>
    <n v="0.35"/>
    <n v="1449.7342027397258"/>
    <n v="85.556975342465748"/>
    <n v="1364.1772273972601"/>
    <n v="50"/>
    <x v="562"/>
    <n v="563"/>
  </r>
  <r>
    <s v="SUP046"/>
    <x v="47"/>
    <s v="Mexico"/>
    <x v="1"/>
    <s v="Small"/>
    <n v="981924"/>
    <s v="INV01213"/>
    <n v="85156"/>
    <d v="2025-04-22T00:00:00"/>
    <n v="60"/>
    <n v="4"/>
    <n v="0.17169999999999999"/>
    <n v="5.4699999999999999E-2"/>
    <n v="5"/>
    <s v="No"/>
    <s v="Yes"/>
    <n v="0.2"/>
    <n v="2403.498936986301"/>
    <n v="63.808673972602733"/>
    <n v="2339.6902630136983"/>
    <n v="55"/>
    <x v="563"/>
    <n v="564"/>
  </r>
  <r>
    <s v="SUP144"/>
    <x v="97"/>
    <s v="APAC"/>
    <x v="0"/>
    <s v="Large"/>
    <n v="24905394"/>
    <s v="INV00408"/>
    <n v="107345"/>
    <d v="2025-04-19T00:00:00"/>
    <n v="30"/>
    <n v="2"/>
    <n v="8.5199999999999998E-2"/>
    <n v="6.2E-2"/>
    <n v="5"/>
    <s v="No"/>
    <s v="Yes"/>
    <n v="0.8"/>
    <n v="751.70909589041094"/>
    <n v="91.16972602739726"/>
    <n v="660.53936986301369"/>
    <n v="25"/>
    <x v="564"/>
    <n v="565"/>
  </r>
  <r>
    <s v="SUP040"/>
    <x v="38"/>
    <s v="US"/>
    <x v="3"/>
    <s v="Small"/>
    <n v="1249897"/>
    <s v="INV01397"/>
    <n v="60866"/>
    <d v="2025-08-06T00:00:00"/>
    <n v="60"/>
    <n v="10"/>
    <n v="0.1452"/>
    <n v="5.1700000000000003E-2"/>
    <n v="10"/>
    <s v="No"/>
    <s v="Yes"/>
    <n v="0.35"/>
    <n v="1452.7797041095887"/>
    <n v="86.212936986301372"/>
    <n v="1366.5667671232873"/>
    <n v="50"/>
    <x v="565"/>
    <n v="566"/>
  </r>
  <r>
    <s v="SUP067"/>
    <x v="22"/>
    <s v="Europe"/>
    <x v="3"/>
    <s v="Small"/>
    <n v="1045125"/>
    <s v="INV01087"/>
    <n v="25938"/>
    <d v="2025-08-16T00:00:00"/>
    <n v="60"/>
    <n v="4"/>
    <n v="0.15740000000000001"/>
    <n v="6.2100000000000002E-2"/>
    <n v="5"/>
    <s v="Yes"/>
    <s v="Yes"/>
    <n v="0.8"/>
    <n v="671.11910136986307"/>
    <n v="22.065065753424658"/>
    <n v="649.05403561643845"/>
    <n v="55"/>
    <x v="566"/>
    <n v="567"/>
  </r>
  <r>
    <s v="SUP023"/>
    <x v="19"/>
    <s v="Canada"/>
    <x v="0"/>
    <s v="Medium"/>
    <n v="2438415"/>
    <s v="INV00457"/>
    <n v="66931"/>
    <d v="2025-10-22T00:00:00"/>
    <n v="60"/>
    <n v="4"/>
    <n v="0.13650000000000001"/>
    <n v="5.2299999999999999E-2"/>
    <n v="8"/>
    <s v="No"/>
    <s v="Yes"/>
    <n v="0.35"/>
    <n v="1501.8216164383562"/>
    <n v="76.723096986301371"/>
    <n v="1425.0985194520547"/>
    <n v="52"/>
    <x v="567"/>
    <n v="568"/>
  </r>
  <r>
    <s v="SUP013"/>
    <x v="7"/>
    <s v="Europe"/>
    <x v="2"/>
    <s v="Small"/>
    <n v="1439462"/>
    <s v="INV01169"/>
    <n v="33712"/>
    <d v="2025-11-15T00:00:00"/>
    <n v="60"/>
    <n v="10"/>
    <n v="0.17130000000000001"/>
    <n v="5.4800000000000001E-2"/>
    <n v="8"/>
    <s v="No"/>
    <s v="Yes"/>
    <n v="0.5"/>
    <n v="949.29297534246575"/>
    <n v="40.491344657534249"/>
    <n v="908.80163068493152"/>
    <n v="52"/>
    <x v="568"/>
    <n v="569"/>
  </r>
  <r>
    <s v="SUP150"/>
    <x v="25"/>
    <s v="Europe"/>
    <x v="4"/>
    <s v="Small"/>
    <n v="782629"/>
    <s v="INV00466"/>
    <n v="33233"/>
    <d v="2025-05-19T00:00:00"/>
    <n v="60"/>
    <n v="4"/>
    <n v="0.14219999999999999"/>
    <n v="5.1299999999999998E-2"/>
    <n v="7"/>
    <s v="No"/>
    <s v="Yes"/>
    <n v="0.65"/>
    <n v="776.83275616438345"/>
    <n v="32.695809041095892"/>
    <n v="744.13694712328754"/>
    <n v="53"/>
    <x v="569"/>
    <n v="570"/>
  </r>
  <r>
    <s v="SUP039"/>
    <x v="12"/>
    <s v="Mexico"/>
    <x v="0"/>
    <s v="Small"/>
    <n v="372648"/>
    <s v="INV00830"/>
    <n v="101417"/>
    <d v="2025-02-13T00:00:00"/>
    <n v="60"/>
    <n v="2"/>
    <n v="0.15049999999999999"/>
    <n v="5.3900000000000003E-2"/>
    <n v="5"/>
    <s v="No"/>
    <s v="Yes"/>
    <n v="0.2"/>
    <n v="2509.0287945205478"/>
    <n v="74.881867123287662"/>
    <n v="2434.1469273972602"/>
    <n v="55"/>
    <x v="570"/>
    <n v="571"/>
  </r>
  <r>
    <s v="SUP134"/>
    <x v="45"/>
    <s v="Europe"/>
    <x v="2"/>
    <s v="Medium"/>
    <n v="3948313"/>
    <s v="INV01222"/>
    <n v="67170"/>
    <d v="2025-03-07T00:00:00"/>
    <n v="30"/>
    <n v="3"/>
    <n v="0.1154"/>
    <n v="5.7299999999999997E-2"/>
    <n v="7"/>
    <s v="No"/>
    <s v="Yes"/>
    <n v="0.5"/>
    <n v="637.10284931506851"/>
    <n v="73.813389041095888"/>
    <n v="563.28946027397262"/>
    <n v="23"/>
    <x v="571"/>
    <n v="572"/>
  </r>
  <r>
    <s v="SUP103"/>
    <x v="79"/>
    <s v="Mexico"/>
    <x v="3"/>
    <s v="Medium"/>
    <n v="2280589"/>
    <s v="INV01153"/>
    <n v="43697"/>
    <d v="2025-08-08T00:00:00"/>
    <n v="60"/>
    <n v="5"/>
    <n v="0.1047"/>
    <n v="4.8899999999999999E-2"/>
    <n v="8"/>
    <s v="No"/>
    <s v="Yes"/>
    <n v="0.8"/>
    <n v="752.06727123287669"/>
    <n v="46.833606575342465"/>
    <n v="705.23366465753418"/>
    <n v="52"/>
    <x v="572"/>
    <n v="573"/>
  </r>
  <r>
    <s v="SUP040"/>
    <x v="38"/>
    <s v="US"/>
    <x v="3"/>
    <s v="Small"/>
    <n v="1249897"/>
    <s v="INV01097"/>
    <n v="30961"/>
    <d v="2025-12-22T00:00:00"/>
    <n v="30"/>
    <n v="3"/>
    <n v="0.1452"/>
    <n v="4.8599999999999997E-2"/>
    <n v="8"/>
    <s v="No"/>
    <s v="Yes"/>
    <n v="0.65"/>
    <n v="369.49620821917802"/>
    <n v="32.979826849315067"/>
    <n v="336.51638136986293"/>
    <n v="22"/>
    <x v="573"/>
    <n v="574"/>
  </r>
  <r>
    <s v="SUP141"/>
    <x v="92"/>
    <s v="US"/>
    <x v="2"/>
    <s v="Medium"/>
    <n v="1810544"/>
    <s v="INV00245"/>
    <n v="44044"/>
    <d v="2025-12-03T00:00:00"/>
    <n v="30"/>
    <n v="5"/>
    <n v="9.6299999999999997E-2"/>
    <n v="4.7300000000000002E-2"/>
    <n v="10"/>
    <s v="No"/>
    <s v="Yes"/>
    <n v="0.9"/>
    <n v="348.61127671232879"/>
    <n v="57.076197260273965"/>
    <n v="291.53507945205484"/>
    <n v="20"/>
    <x v="574"/>
    <n v="575"/>
  </r>
  <r>
    <s v="SUP091"/>
    <x v="64"/>
    <s v="Canada"/>
    <x v="4"/>
    <s v="Medium"/>
    <n v="3649528"/>
    <s v="INV01475"/>
    <n v="48289"/>
    <d v="2025-08-21T00:00:00"/>
    <n v="60"/>
    <n v="10"/>
    <n v="0.1283"/>
    <n v="4.8000000000000001E-2"/>
    <n v="7"/>
    <s v="Yes"/>
    <s v="Yes"/>
    <n v="0.5"/>
    <n v="1018.4348547945204"/>
    <n v="44.452339726027397"/>
    <n v="973.98251506849306"/>
    <n v="53"/>
    <x v="575"/>
    <n v="576"/>
  </r>
  <r>
    <s v="SUP089"/>
    <x v="98"/>
    <s v="Canada"/>
    <x v="0"/>
    <s v="Medium"/>
    <n v="6967315"/>
    <s v="INV00263"/>
    <n v="88638"/>
    <d v="2026-01-30T00:00:00"/>
    <n v="45"/>
    <n v="2"/>
    <n v="9.1999999999999998E-2"/>
    <n v="4.8300000000000003E-2"/>
    <n v="8"/>
    <s v="No"/>
    <s v="Yes"/>
    <n v="0.5"/>
    <n v="1005.3734794520548"/>
    <n v="93.834858082191786"/>
    <n v="911.53862136986299"/>
    <n v="37"/>
    <x v="576"/>
    <n v="577"/>
  </r>
  <r>
    <s v="SUP091"/>
    <x v="64"/>
    <s v="Canada"/>
    <x v="4"/>
    <s v="Medium"/>
    <n v="3649528"/>
    <s v="INV00783"/>
    <n v="59263"/>
    <d v="2025-09-22T00:00:00"/>
    <n v="90"/>
    <n v="4"/>
    <n v="0.1283"/>
    <n v="6.3100000000000003E-2"/>
    <n v="7"/>
    <s v="No"/>
    <s v="Yes"/>
    <n v="0.5"/>
    <n v="1874.8215369863012"/>
    <n v="71.716348219178087"/>
    <n v="1803.1051887671231"/>
    <n v="83"/>
    <x v="577"/>
    <n v="578"/>
  </r>
  <r>
    <s v="SUP101"/>
    <x v="85"/>
    <s v="US"/>
    <x v="1"/>
    <s v="Large"/>
    <n v="16270036"/>
    <s v="INV00583"/>
    <n v="53831"/>
    <d v="2025-10-14T00:00:00"/>
    <n v="60"/>
    <n v="10"/>
    <n v="9.2200000000000004E-2"/>
    <n v="4.7399999999999998E-2"/>
    <n v="6"/>
    <s v="Yes"/>
    <s v="Yes"/>
    <n v="0.8"/>
    <n v="815.87148493150687"/>
    <n v="41.94393534246575"/>
    <n v="773.92754958904106"/>
    <n v="54"/>
    <x v="578"/>
    <n v="579"/>
  </r>
  <r>
    <s v="SUP136"/>
    <x v="28"/>
    <s v="Mexico"/>
    <x v="0"/>
    <s v="Small"/>
    <n v="1120197"/>
    <s v="INV00699"/>
    <n v="76302"/>
    <d v="2025-01-14T00:00:00"/>
    <n v="30"/>
    <n v="4"/>
    <n v="0.1338"/>
    <n v="6.1699999999999998E-2"/>
    <n v="7"/>
    <s v="No"/>
    <s v="Yes"/>
    <n v="0.35"/>
    <n v="839.11295342465746"/>
    <n v="90.287215890410948"/>
    <n v="748.82573753424651"/>
    <n v="23"/>
    <x v="579"/>
    <n v="580"/>
  </r>
  <r>
    <s v="SUP004"/>
    <x v="29"/>
    <s v="Europe"/>
    <x v="4"/>
    <s v="Small"/>
    <n v="1485779"/>
    <s v="INV01320"/>
    <n v="75404"/>
    <d v="2026-02-05T00:00:00"/>
    <n v="60"/>
    <n v="5"/>
    <n v="0.1295"/>
    <n v="5.7000000000000002E-2"/>
    <n v="6"/>
    <s v="Yes"/>
    <s v="Yes"/>
    <n v="0.35"/>
    <n v="1605.1755616438356"/>
    <n v="70.652515068493145"/>
    <n v="1534.5230465753425"/>
    <n v="54"/>
    <x v="580"/>
    <n v="581"/>
  </r>
  <r>
    <s v="SUP082"/>
    <x v="70"/>
    <s v="APAC"/>
    <x v="3"/>
    <s v="Medium"/>
    <n v="4450767"/>
    <s v="INV00094"/>
    <n v="52539"/>
    <d v="2025-02-07T00:00:00"/>
    <n v="60"/>
    <n v="10"/>
    <n v="0.10489999999999999"/>
    <n v="5.9400000000000001E-2"/>
    <n v="10"/>
    <s v="No"/>
    <s v="Yes"/>
    <n v="0.8"/>
    <n v="905.97387945205469"/>
    <n v="85.501824657534243"/>
    <n v="820.47205479452043"/>
    <n v="50"/>
    <x v="581"/>
    <n v="582"/>
  </r>
  <r>
    <s v="SUP015"/>
    <x v="61"/>
    <s v="Mexico"/>
    <x v="1"/>
    <s v="Small"/>
    <n v="1475965"/>
    <s v="INV00256"/>
    <n v="72807"/>
    <d v="2025-03-19T00:00:00"/>
    <n v="60"/>
    <n v="5"/>
    <n v="0.14000000000000001"/>
    <n v="6.5000000000000002E-2"/>
    <n v="6"/>
    <s v="No"/>
    <s v="Yes"/>
    <n v="0.35"/>
    <n v="1675.5583561643837"/>
    <n v="77.793780821917792"/>
    <n v="1597.7645753424658"/>
    <n v="54"/>
    <x v="582"/>
    <n v="583"/>
  </r>
  <r>
    <s v="SUP082"/>
    <x v="70"/>
    <s v="APAC"/>
    <x v="3"/>
    <s v="Medium"/>
    <n v="4450767"/>
    <s v="INV01313"/>
    <n v="95164"/>
    <d v="2025-05-16T00:00:00"/>
    <n v="60"/>
    <n v="3"/>
    <n v="0.10489999999999999"/>
    <n v="4.7699999999999999E-2"/>
    <n v="8"/>
    <s v="No"/>
    <s v="Yes"/>
    <n v="0.35"/>
    <n v="1640.9923726027394"/>
    <n v="99.492006575342458"/>
    <n v="1541.5003660273969"/>
    <n v="52"/>
    <x v="583"/>
    <n v="584"/>
  </r>
  <r>
    <s v="SUP025"/>
    <x v="96"/>
    <s v="Mexico"/>
    <x v="3"/>
    <s v="Medium"/>
    <n v="2577026"/>
    <s v="INV01352"/>
    <n v="89616"/>
    <d v="2025-04-21T00:00:00"/>
    <n v="60"/>
    <n v="10"/>
    <n v="0.123"/>
    <n v="6.2399999999999997E-2"/>
    <n v="8"/>
    <s v="Yes"/>
    <s v="Yes"/>
    <n v="0.35"/>
    <n v="1811.9618630136986"/>
    <n v="122.56522520547944"/>
    <n v="1689.3966378082191"/>
    <n v="52"/>
    <x v="584"/>
    <n v="585"/>
  </r>
  <r>
    <s v="SUP054"/>
    <x v="4"/>
    <s v="Mexico"/>
    <x v="1"/>
    <s v="Small"/>
    <n v="896464"/>
    <s v="INV01082"/>
    <n v="24280"/>
    <d v="2025-04-03T00:00:00"/>
    <n v="60"/>
    <n v="5"/>
    <n v="0.13550000000000001"/>
    <n v="4.87E-2"/>
    <n v="6"/>
    <s v="Yes"/>
    <s v="Yes"/>
    <n v="0.9"/>
    <n v="540.81205479452058"/>
    <n v="19.437304109589039"/>
    <n v="521.37475068493154"/>
    <n v="54"/>
    <x v="585"/>
    <n v="586"/>
  </r>
  <r>
    <s v="SUP003"/>
    <x v="16"/>
    <s v="APAC"/>
    <x v="2"/>
    <s v="Small"/>
    <n v="1309806"/>
    <s v="INV01243"/>
    <n v="61063"/>
    <d v="2025-11-23T00:00:00"/>
    <n v="60"/>
    <n v="2"/>
    <n v="0.15210000000000001"/>
    <n v="6.3500000000000001E-2"/>
    <n v="7"/>
    <s v="Yes"/>
    <s v="Yes"/>
    <n v="0.35"/>
    <n v="1526.742295890411"/>
    <n v="74.36302328767124"/>
    <n v="1452.3792726027398"/>
    <n v="53"/>
    <x v="586"/>
    <n v="587"/>
  </r>
  <r>
    <s v="SUP054"/>
    <x v="4"/>
    <s v="Mexico"/>
    <x v="1"/>
    <s v="Small"/>
    <n v="896464"/>
    <s v="INV00902"/>
    <n v="109003"/>
    <d v="2025-10-12T00:00:00"/>
    <n v="60"/>
    <n v="5"/>
    <n v="0.13550000000000001"/>
    <n v="4.87E-2"/>
    <n v="5"/>
    <s v="No"/>
    <s v="Yes"/>
    <n v="0.2"/>
    <n v="2427.9298356164386"/>
    <n v="72.718439726027398"/>
    <n v="2355.211395890411"/>
    <n v="55"/>
    <x v="587"/>
    <n v="588"/>
  </r>
  <r>
    <s v="SUP050"/>
    <x v="52"/>
    <s v="US"/>
    <x v="2"/>
    <s v="Medium"/>
    <n v="3714458"/>
    <s v="INV00419"/>
    <n v="42191"/>
    <d v="2025-03-24T00:00:00"/>
    <n v="60"/>
    <n v="4"/>
    <n v="0.1153"/>
    <n v="5.9400000000000001E-2"/>
    <n v="8"/>
    <s v="No"/>
    <s v="Yes"/>
    <n v="0.8"/>
    <n v="799.66393972602737"/>
    <n v="54.929214246575341"/>
    <n v="744.73472547945198"/>
    <n v="52"/>
    <x v="588"/>
    <n v="589"/>
  </r>
  <r>
    <s v="SUP035"/>
    <x v="3"/>
    <s v="Canada"/>
    <x v="2"/>
    <s v="Small"/>
    <n v="1383695"/>
    <s v="INV01419"/>
    <n v="48553"/>
    <d v="2025-07-26T00:00:00"/>
    <n v="60"/>
    <n v="4"/>
    <n v="0.16850000000000001"/>
    <n v="5.7599999999999998E-2"/>
    <n v="7"/>
    <s v="No"/>
    <s v="Yes"/>
    <n v="0.35"/>
    <n v="1344.8515890410958"/>
    <n v="53.63443726027397"/>
    <n v="1291.217151780822"/>
    <n v="53"/>
    <x v="589"/>
    <n v="590"/>
  </r>
  <r>
    <s v="SUP027"/>
    <x v="99"/>
    <s v="US"/>
    <x v="1"/>
    <s v="Large"/>
    <n v="19529913"/>
    <s v="INV00682"/>
    <n v="87851"/>
    <d v="2025-08-16T00:00:00"/>
    <n v="60"/>
    <n v="10"/>
    <n v="8.7499999999999994E-2"/>
    <n v="6.0699999999999997E-2"/>
    <n v="8"/>
    <s v="No"/>
    <s v="Yes"/>
    <n v="0.8"/>
    <n v="1263.6102739726025"/>
    <n v="116.87793315068492"/>
    <n v="1146.7323408219177"/>
    <n v="52"/>
    <x v="590"/>
    <n v="591"/>
  </r>
  <r>
    <s v="SUP146"/>
    <x v="46"/>
    <s v="US"/>
    <x v="0"/>
    <s v="Large"/>
    <n v="10372464"/>
    <s v="INV00035"/>
    <n v="109794"/>
    <d v="2026-02-02T00:00:00"/>
    <n v="60"/>
    <n v="5"/>
    <n v="8.77E-2"/>
    <n v="5.3400000000000003E-2"/>
    <n v="7"/>
    <s v="Yes"/>
    <s v="Yes"/>
    <n v="0.5"/>
    <n v="1582.8384328767124"/>
    <n v="112.44108821917808"/>
    <n v="1470.3973446575344"/>
    <n v="53"/>
    <x v="591"/>
    <n v="592"/>
  </r>
  <r>
    <s v="SUP146"/>
    <x v="46"/>
    <s v="US"/>
    <x v="0"/>
    <s v="Large"/>
    <n v="10372464"/>
    <s v="INV00561"/>
    <n v="100092"/>
    <d v="2026-01-19T00:00:00"/>
    <n v="45"/>
    <n v="10"/>
    <n v="8.77E-2"/>
    <n v="5.8799999999999998E-2"/>
    <n v="10"/>
    <s v="No"/>
    <s v="Yes"/>
    <n v="0.65"/>
    <n v="1082.2276109589041"/>
    <n v="161.24409863013699"/>
    <n v="920.98351232876712"/>
    <n v="35"/>
    <x v="592"/>
    <n v="593"/>
  </r>
  <r>
    <s v="SUP074"/>
    <x v="16"/>
    <s v="US"/>
    <x v="2"/>
    <s v="Small"/>
    <n v="1336236"/>
    <s v="INV00316"/>
    <n v="64028"/>
    <d v="2025-08-31T00:00:00"/>
    <n v="60"/>
    <n v="2"/>
    <n v="0.14249999999999999"/>
    <n v="5.8599999999999999E-2"/>
    <n v="6"/>
    <s v="No"/>
    <s v="Yes"/>
    <n v="0.35"/>
    <n v="1499.8339726027395"/>
    <n v="61.677383013698623"/>
    <n v="1438.156589589041"/>
    <n v="54"/>
    <x v="593"/>
    <n v="594"/>
  </r>
  <r>
    <s v="SUP020"/>
    <x v="75"/>
    <s v="APAC"/>
    <x v="0"/>
    <s v="Large"/>
    <n v="15837870"/>
    <s v="INV00371"/>
    <n v="91822"/>
    <d v="2025-03-12T00:00:00"/>
    <n v="90"/>
    <n v="3"/>
    <n v="0.1089"/>
    <n v="5.0500000000000003E-2"/>
    <n v="7"/>
    <s v="No"/>
    <s v="Yes"/>
    <n v="0.35"/>
    <n v="2465.6093753424652"/>
    <n v="88.92897808219179"/>
    <n v="2376.6803972602734"/>
    <n v="83"/>
    <x v="594"/>
    <n v="595"/>
  </r>
  <r>
    <s v="SUP095"/>
    <x v="56"/>
    <s v="US"/>
    <x v="2"/>
    <s v="Small"/>
    <n v="965613"/>
    <s v="INV00600"/>
    <n v="57123"/>
    <d v="2025-02-01T00:00:00"/>
    <n v="90"/>
    <n v="7"/>
    <n v="0.1109"/>
    <n v="4.5199999999999997E-2"/>
    <n v="10"/>
    <s v="No"/>
    <s v="Yes"/>
    <n v="0.5"/>
    <n v="1562.0401726027396"/>
    <n v="70.738619178082175"/>
    <n v="1491.3015534246574"/>
    <n v="80"/>
    <x v="595"/>
    <n v="596"/>
  </r>
  <r>
    <s v="SUP065"/>
    <x v="10"/>
    <s v="Mexico"/>
    <x v="3"/>
    <s v="Medium"/>
    <n v="4269919"/>
    <s v="INV00490"/>
    <n v="32669"/>
    <d v="2025-10-02T00:00:00"/>
    <n v="60"/>
    <n v="10"/>
    <n v="0.1212"/>
    <n v="5.74E-2"/>
    <n v="5"/>
    <s v="Yes"/>
    <s v="Yes"/>
    <n v="0.9"/>
    <n v="650.87388493150684"/>
    <n v="25.687679452054791"/>
    <n v="625.18620547945204"/>
    <n v="55"/>
    <x v="596"/>
    <n v="597"/>
  </r>
  <r>
    <s v="SUP087"/>
    <x v="39"/>
    <s v="Europe"/>
    <x v="4"/>
    <s v="Medium"/>
    <n v="4331160"/>
    <s v="INV00013"/>
    <n v="30320"/>
    <d v="2025-03-11T00:00:00"/>
    <n v="30"/>
    <n v="2"/>
    <n v="0.12809999999999999"/>
    <n v="5.11E-2"/>
    <n v="8"/>
    <s v="Yes"/>
    <s v="Yes"/>
    <n v="0.8"/>
    <n v="319.23221917808218"/>
    <n v="33.958400000000005"/>
    <n v="285.27381917808219"/>
    <n v="22"/>
    <x v="597"/>
    <n v="598"/>
  </r>
  <r>
    <s v="SUP087"/>
    <x v="39"/>
    <s v="Europe"/>
    <x v="4"/>
    <s v="Medium"/>
    <n v="4331160"/>
    <s v="INV00852"/>
    <n v="29407"/>
    <d v="2025-06-16T00:00:00"/>
    <n v="60"/>
    <n v="7"/>
    <n v="0.12809999999999999"/>
    <n v="5.7700000000000001E-2"/>
    <n v="8"/>
    <s v="No"/>
    <s v="Yes"/>
    <n v="0.9"/>
    <n v="619.23890958904099"/>
    <n v="37.189784109589041"/>
    <n v="582.04912547945196"/>
    <n v="52"/>
    <x v="598"/>
    <n v="599"/>
  </r>
  <r>
    <s v="SUP043"/>
    <x v="17"/>
    <s v="Canada"/>
    <x v="4"/>
    <s v="Medium"/>
    <n v="4153903"/>
    <s v="INV00178"/>
    <n v="30899"/>
    <d v="2025-07-19T00:00:00"/>
    <n v="60"/>
    <n v="10"/>
    <n v="0.13669999999999999"/>
    <n v="6.1400000000000003E-2"/>
    <n v="5"/>
    <s v="No"/>
    <s v="Yes"/>
    <n v="0.8"/>
    <n v="694.33862465753418"/>
    <n v="25.98902191780822"/>
    <n v="668.34960273972592"/>
    <n v="55"/>
    <x v="599"/>
    <n v="600"/>
  </r>
  <r>
    <s v="SUP026"/>
    <x v="16"/>
    <s v="Mexico"/>
    <x v="2"/>
    <s v="Large"/>
    <n v="21198154"/>
    <s v="INV00554"/>
    <n v="32958"/>
    <d v="2025-03-18T00:00:00"/>
    <n v="60"/>
    <n v="5"/>
    <n v="0.1086"/>
    <n v="4.5900000000000003E-2"/>
    <n v="6"/>
    <s v="No"/>
    <s v="Yes"/>
    <n v="0.9"/>
    <n v="588.36802191780816"/>
    <n v="24.867488219178082"/>
    <n v="563.50053369863008"/>
    <n v="54"/>
    <x v="600"/>
    <n v="601"/>
  </r>
  <r>
    <s v="SUP030"/>
    <x v="78"/>
    <s v="Canada"/>
    <x v="2"/>
    <s v="Small"/>
    <n v="1267987"/>
    <s v="INV01064"/>
    <n v="55815"/>
    <d v="2026-01-15T00:00:00"/>
    <n v="60"/>
    <n v="2"/>
    <n v="0.125"/>
    <n v="5.8400000000000001E-2"/>
    <n v="10"/>
    <s v="No"/>
    <s v="Yes"/>
    <n v="0.5"/>
    <n v="1146.8835616438355"/>
    <n v="89.304000000000002"/>
    <n v="1057.5795616438354"/>
    <n v="50"/>
    <x v="601"/>
    <n v="602"/>
  </r>
  <r>
    <s v="SUP053"/>
    <x v="86"/>
    <s v="Canada"/>
    <x v="2"/>
    <s v="Large"/>
    <n v="12001432"/>
    <s v="INV01033"/>
    <n v="47527"/>
    <d v="2026-02-08T00:00:00"/>
    <n v="60"/>
    <n v="2"/>
    <n v="9.1800000000000007E-2"/>
    <n v="4.8399999999999999E-2"/>
    <n v="8"/>
    <s v="Yes"/>
    <s v="Yes"/>
    <n v="0.9"/>
    <n v="717.2019616438356"/>
    <n v="50.417683287671231"/>
    <n v="666.78427835616435"/>
    <n v="52"/>
    <x v="602"/>
    <n v="603"/>
  </r>
  <r>
    <s v="SUP138"/>
    <x v="59"/>
    <s v="Europe"/>
    <x v="2"/>
    <s v="Medium"/>
    <n v="4395110"/>
    <s v="INV01004"/>
    <n v="94716"/>
    <d v="2026-02-28T00:00:00"/>
    <n v="60"/>
    <n v="5"/>
    <n v="0.1066"/>
    <n v="5.0799999999999998E-2"/>
    <n v="8"/>
    <s v="Yes"/>
    <s v="Yes"/>
    <n v="0.35"/>
    <n v="1659.7357150684929"/>
    <n v="105.4591298630137"/>
    <n v="1554.2765852054793"/>
    <n v="52"/>
    <x v="603"/>
    <n v="604"/>
  </r>
  <r>
    <s v="SUP093"/>
    <x v="48"/>
    <s v="APAC"/>
    <x v="0"/>
    <s v="Small"/>
    <n v="759292"/>
    <s v="INV01088"/>
    <n v="33383"/>
    <d v="2025-03-05T00:00:00"/>
    <n v="60"/>
    <n v="5"/>
    <n v="0.1171"/>
    <n v="4.8099999999999997E-2"/>
    <n v="5"/>
    <s v="No"/>
    <s v="Yes"/>
    <n v="0.8"/>
    <n v="642.59988493150684"/>
    <n v="21.996195890410956"/>
    <n v="620.60368904109589"/>
    <n v="55"/>
    <x v="604"/>
    <n v="605"/>
  </r>
  <r>
    <s v="SUP113"/>
    <x v="81"/>
    <s v="APAC"/>
    <x v="2"/>
    <s v="Large"/>
    <n v="17195029"/>
    <s v="INV00666"/>
    <n v="73689"/>
    <d v="2026-02-25T00:00:00"/>
    <n v="60"/>
    <n v="7"/>
    <n v="7.3400000000000007E-2"/>
    <n v="4.5699999999999998E-2"/>
    <n v="10"/>
    <s v="No"/>
    <s v="Yes"/>
    <n v="0.9"/>
    <n v="889.11330410958908"/>
    <n v="92.262665753424642"/>
    <n v="796.85063835616438"/>
    <n v="50"/>
    <x v="605"/>
    <n v="606"/>
  </r>
  <r>
    <s v="SUP058"/>
    <x v="63"/>
    <s v="Canada"/>
    <x v="1"/>
    <s v="Medium"/>
    <n v="2406772"/>
    <s v="INV00385"/>
    <n v="98755"/>
    <d v="2025-04-05T00:00:00"/>
    <n v="60"/>
    <n v="7"/>
    <n v="0.1091"/>
    <n v="5.6000000000000001E-2"/>
    <n v="5"/>
    <s v="No"/>
    <s v="Yes"/>
    <n v="0.35"/>
    <n v="1771.0965205479451"/>
    <n v="75.757260273972591"/>
    <n v="1695.3392602739725"/>
    <n v="55"/>
    <x v="606"/>
    <n v="607"/>
  </r>
  <r>
    <s v="SUP134"/>
    <x v="45"/>
    <s v="Europe"/>
    <x v="2"/>
    <s v="Medium"/>
    <n v="3948313"/>
    <s v="INV01179"/>
    <n v="29178"/>
    <d v="2025-01-09T00:00:00"/>
    <n v="60"/>
    <n v="5"/>
    <n v="0.1154"/>
    <n v="4.5699999999999998E-2"/>
    <n v="10"/>
    <s v="No"/>
    <s v="Yes"/>
    <n v="0.9"/>
    <n v="553.50266301369857"/>
    <n v="36.53245479452054"/>
    <n v="516.97020821917806"/>
    <n v="50"/>
    <x v="607"/>
    <n v="608"/>
  </r>
  <r>
    <s v="SUP023"/>
    <x v="19"/>
    <s v="Canada"/>
    <x v="0"/>
    <s v="Medium"/>
    <n v="2438415"/>
    <s v="INV00202"/>
    <n v="107702"/>
    <d v="2025-08-13T00:00:00"/>
    <n v="45"/>
    <n v="4"/>
    <n v="0.13650000000000001"/>
    <n v="5.1900000000000002E-2"/>
    <n v="6"/>
    <s v="No"/>
    <s v="Yes"/>
    <n v="0.2"/>
    <n v="1812.4918767123288"/>
    <n v="91.886035068493143"/>
    <n v="1720.6058416438357"/>
    <n v="39"/>
    <x v="608"/>
    <n v="609"/>
  </r>
  <r>
    <s v="SUP112"/>
    <x v="25"/>
    <s v="Canada"/>
    <x v="1"/>
    <s v="Medium"/>
    <n v="2121447"/>
    <s v="INV00080"/>
    <n v="49501"/>
    <d v="2025-07-24T00:00:00"/>
    <n v="60"/>
    <n v="2"/>
    <n v="0.11890000000000001"/>
    <n v="6.2300000000000001E-2"/>
    <n v="7"/>
    <s v="No"/>
    <s v="Yes"/>
    <n v="0.65"/>
    <n v="967.50721643835618"/>
    <n v="59.143523561643839"/>
    <n v="908.36369287671232"/>
    <n v="53"/>
    <x v="609"/>
    <n v="610"/>
  </r>
  <r>
    <s v="SUP124"/>
    <x v="43"/>
    <s v="Mexico"/>
    <x v="1"/>
    <s v="Small"/>
    <n v="617401"/>
    <s v="INV00264"/>
    <n v="39215"/>
    <d v="2026-02-28T00:00:00"/>
    <n v="60"/>
    <n v="5"/>
    <n v="0.1429"/>
    <n v="5.0299999999999997E-2"/>
    <n v="5"/>
    <s v="Yes"/>
    <s v="Yes"/>
    <n v="0.5"/>
    <n v="921.17646575342462"/>
    <n v="27.020746575342464"/>
    <n v="894.15571917808211"/>
    <n v="55"/>
    <x v="610"/>
    <n v="611"/>
  </r>
  <r>
    <s v="SUP017"/>
    <x v="70"/>
    <s v="APAC"/>
    <x v="2"/>
    <s v="Medium"/>
    <n v="5041335"/>
    <s v="INV01041"/>
    <n v="28343"/>
    <d v="2025-06-26T00:00:00"/>
    <n v="60"/>
    <n v="7"/>
    <n v="0.1198"/>
    <n v="4.8800000000000003E-2"/>
    <n v="5"/>
    <s v="No"/>
    <s v="Yes"/>
    <n v="0.9"/>
    <n v="558.1629698630137"/>
    <n v="18.947101369863013"/>
    <n v="539.21586849315065"/>
    <n v="55"/>
    <x v="611"/>
    <n v="612"/>
  </r>
  <r>
    <s v="SUP057"/>
    <x v="8"/>
    <s v="Mexico"/>
    <x v="1"/>
    <s v="Small"/>
    <n v="946643"/>
    <s v="INV00017"/>
    <n v="19936"/>
    <d v="2025-11-02T00:00:00"/>
    <n v="60"/>
    <n v="3"/>
    <n v="0.1648"/>
    <n v="6.4399999999999999E-2"/>
    <n v="8"/>
    <s v="Yes"/>
    <s v="Yes"/>
    <n v="0.9"/>
    <n v="540.07443287671231"/>
    <n v="28.139800547945207"/>
    <n v="511.93463232876712"/>
    <n v="52"/>
    <x v="612"/>
    <n v="613"/>
  </r>
  <r>
    <s v="SUP057"/>
    <x v="8"/>
    <s v="Mexico"/>
    <x v="1"/>
    <s v="Small"/>
    <n v="946643"/>
    <s v="INV01489"/>
    <n v="30378"/>
    <d v="2025-11-13T00:00:00"/>
    <n v="60"/>
    <n v="2"/>
    <n v="0.1648"/>
    <n v="4.6199999999999998E-2"/>
    <n v="6"/>
    <s v="No"/>
    <s v="Yes"/>
    <n v="0.5"/>
    <n v="822.95250410958897"/>
    <n v="23.070634520547944"/>
    <n v="799.881869589041"/>
    <n v="54"/>
    <x v="613"/>
    <n v="614"/>
  </r>
  <r>
    <s v="SUP022"/>
    <x v="37"/>
    <s v="APAC"/>
    <x v="4"/>
    <s v="Medium"/>
    <n v="6024640"/>
    <s v="INV01358"/>
    <n v="59931"/>
    <d v="2025-07-15T00:00:00"/>
    <n v="90"/>
    <n v="10"/>
    <n v="0.13769999999999999"/>
    <n v="5.1900000000000002E-2"/>
    <n v="8"/>
    <s v="Yes"/>
    <s v="Yes"/>
    <n v="0.35"/>
    <n v="2034.8626931506849"/>
    <n v="68.173564931506846"/>
    <n v="1966.689128219178"/>
    <n v="82"/>
    <x v="614"/>
    <n v="615"/>
  </r>
  <r>
    <s v="SUP038"/>
    <x v="76"/>
    <s v="Canada"/>
    <x v="4"/>
    <s v="Medium"/>
    <n v="6162123"/>
    <s v="INV01391"/>
    <n v="77726"/>
    <d v="2025-09-13T00:00:00"/>
    <n v="60"/>
    <n v="7"/>
    <n v="0.1231"/>
    <n v="5.7000000000000002E-2"/>
    <n v="8"/>
    <s v="No"/>
    <s v="Yes"/>
    <n v="0.35"/>
    <n v="1572.8335232876714"/>
    <n v="97.104263013698642"/>
    <n v="1475.7292602739726"/>
    <n v="52"/>
    <x v="615"/>
    <n v="616"/>
  </r>
  <r>
    <s v="SUP075"/>
    <x v="11"/>
    <s v="Europe"/>
    <x v="3"/>
    <s v="Small"/>
    <n v="1224427"/>
    <s v="INV01118"/>
    <n v="50026"/>
    <d v="2026-02-18T00:00:00"/>
    <n v="45"/>
    <n v="10"/>
    <n v="0.15670000000000001"/>
    <n v="5.4300000000000001E-2"/>
    <n v="5"/>
    <s v="No"/>
    <s v="Yes"/>
    <n v="0.35"/>
    <n v="966.46120273972599"/>
    <n v="37.2111205479452"/>
    <n v="929.25008219178085"/>
    <n v="40"/>
    <x v="616"/>
    <n v="617"/>
  </r>
  <r>
    <s v="SUP010"/>
    <x v="10"/>
    <s v="APAC"/>
    <x v="1"/>
    <s v="Small"/>
    <n v="809893"/>
    <s v="INV00497"/>
    <n v="80690"/>
    <d v="2025-02-19T00:00:00"/>
    <n v="60"/>
    <n v="7"/>
    <n v="0.15909999999999999"/>
    <n v="4.8099999999999997E-2"/>
    <n v="7"/>
    <s v="No"/>
    <s v="Yes"/>
    <n v="0.2"/>
    <n v="2110.319835616438"/>
    <n v="74.433761643835624"/>
    <n v="2035.8860739726024"/>
    <n v="53"/>
    <x v="617"/>
    <n v="618"/>
  </r>
  <r>
    <s v="SUP092"/>
    <x v="61"/>
    <s v="Europe"/>
    <x v="1"/>
    <s v="Small"/>
    <n v="303851"/>
    <s v="INV00223"/>
    <n v="31168"/>
    <d v="2025-11-18T00:00:00"/>
    <n v="60"/>
    <n v="3"/>
    <n v="0.17499999999999999"/>
    <n v="6.0199999999999997E-2"/>
    <n v="8"/>
    <s v="No"/>
    <s v="Yes"/>
    <n v="0.5"/>
    <n v="896.61369863013692"/>
    <n v="41.124681643835615"/>
    <n v="855.48901698630129"/>
    <n v="52"/>
    <x v="618"/>
    <n v="619"/>
  </r>
  <r>
    <s v="SUP089"/>
    <x v="98"/>
    <s v="Canada"/>
    <x v="0"/>
    <s v="Medium"/>
    <n v="6967315"/>
    <s v="INV00623"/>
    <n v="47432"/>
    <d v="2025-05-04T00:00:00"/>
    <n v="45"/>
    <n v="2"/>
    <n v="9.1999999999999998E-2"/>
    <n v="5.0099999999999999E-2"/>
    <n v="10"/>
    <s v="No"/>
    <s v="Yes"/>
    <n v="0.9"/>
    <n v="537.99583561643828"/>
    <n v="65.105293150684929"/>
    <n v="472.89054246575336"/>
    <n v="35"/>
    <x v="619"/>
    <n v="620"/>
  </r>
  <r>
    <s v="SUP089"/>
    <x v="98"/>
    <s v="Canada"/>
    <x v="0"/>
    <s v="Medium"/>
    <n v="6967315"/>
    <s v="INV01321"/>
    <n v="65609"/>
    <d v="2025-07-24T00:00:00"/>
    <n v="30"/>
    <n v="4"/>
    <n v="9.1999999999999998E-2"/>
    <n v="5.0200000000000002E-2"/>
    <n v="7"/>
    <s v="No"/>
    <s v="Yes"/>
    <n v="0.65"/>
    <n v="496.11189041095889"/>
    <n v="63.164390684931512"/>
    <n v="432.94749972602739"/>
    <n v="23"/>
    <x v="620"/>
    <n v="621"/>
  </r>
  <r>
    <s v="SUP086"/>
    <x v="45"/>
    <s v="Mexico"/>
    <x v="1"/>
    <s v="Small"/>
    <n v="1218251"/>
    <s v="INV01207"/>
    <n v="75485"/>
    <d v="2025-12-04T00:00:00"/>
    <n v="45"/>
    <n v="10"/>
    <n v="0.1227"/>
    <n v="5.5399999999999998E-2"/>
    <n v="5"/>
    <s v="Yes"/>
    <s v="Yes"/>
    <n v="0.35"/>
    <n v="1141.8915821917808"/>
    <n v="57.285876712328758"/>
    <n v="1084.6057054794521"/>
    <n v="40"/>
    <x v="621"/>
    <n v="622"/>
  </r>
  <r>
    <s v="SUP032"/>
    <x v="36"/>
    <s v="US"/>
    <x v="2"/>
    <s v="Medium"/>
    <n v="1954421"/>
    <s v="INV00143"/>
    <n v="29294"/>
    <d v="2025-01-12T00:00:00"/>
    <n v="60"/>
    <n v="5"/>
    <n v="0.1237"/>
    <n v="5.6300000000000003E-2"/>
    <n v="10"/>
    <s v="No"/>
    <s v="Yes"/>
    <n v="0.9"/>
    <n v="595.67141917808215"/>
    <n v="45.184991780821917"/>
    <n v="550.48642739726029"/>
    <n v="50"/>
    <x v="622"/>
    <n v="623"/>
  </r>
  <r>
    <s v="SUP023"/>
    <x v="19"/>
    <s v="Canada"/>
    <x v="0"/>
    <s v="Medium"/>
    <n v="2438415"/>
    <s v="INV01376"/>
    <n v="109403"/>
    <d v="2025-03-01T00:00:00"/>
    <n v="60"/>
    <n v="2"/>
    <n v="0.13650000000000001"/>
    <n v="5.5300000000000002E-2"/>
    <n v="6"/>
    <s v="No"/>
    <s v="Yes"/>
    <n v="0.2"/>
    <n v="2454.8234794520549"/>
    <n v="99.451823013698629"/>
    <n v="2355.3716564383562"/>
    <n v="54"/>
    <x v="623"/>
    <n v="624"/>
  </r>
  <r>
    <s v="SUP015"/>
    <x v="61"/>
    <s v="Mexico"/>
    <x v="1"/>
    <s v="Small"/>
    <n v="1475965"/>
    <s v="INV00480"/>
    <n v="93625"/>
    <d v="2025-05-25T00:00:00"/>
    <n v="60"/>
    <n v="4"/>
    <n v="0.14000000000000001"/>
    <n v="4.5400000000000003E-2"/>
    <n v="5"/>
    <s v="No"/>
    <s v="Yes"/>
    <n v="0.2"/>
    <n v="2154.6575342465753"/>
    <n v="58.227054794520541"/>
    <n v="2096.4304794520549"/>
    <n v="55"/>
    <x v="624"/>
    <n v="625"/>
  </r>
  <r>
    <s v="SUP057"/>
    <x v="8"/>
    <s v="Mexico"/>
    <x v="1"/>
    <s v="Small"/>
    <n v="946643"/>
    <s v="INV00567"/>
    <n v="76553"/>
    <d v="2025-08-27T00:00:00"/>
    <n v="60"/>
    <n v="7"/>
    <n v="0.1648"/>
    <n v="4.9700000000000001E-2"/>
    <n v="7"/>
    <s v="No"/>
    <s v="Yes"/>
    <n v="0.2"/>
    <n v="2073.8522301369862"/>
    <n v="72.96654438356164"/>
    <n v="2000.8856857534247"/>
    <n v="53"/>
    <x v="625"/>
    <n v="626"/>
  </r>
  <r>
    <s v="SUP131"/>
    <x v="68"/>
    <s v="US"/>
    <x v="0"/>
    <s v="Medium"/>
    <n v="3916164"/>
    <s v="INV01231"/>
    <n v="92892"/>
    <d v="2025-03-29T00:00:00"/>
    <n v="45"/>
    <n v="3"/>
    <n v="0.1119"/>
    <n v="5.7700000000000001E-2"/>
    <n v="6"/>
    <s v="Yes"/>
    <s v="Yes"/>
    <n v="0.35"/>
    <n v="1281.5278520547943"/>
    <n v="88.10742575342465"/>
    <n v="1193.4204263013696"/>
    <n v="39"/>
    <x v="626"/>
    <n v="627"/>
  </r>
  <r>
    <s v="SUP097"/>
    <x v="67"/>
    <s v="APAC"/>
    <x v="4"/>
    <s v="Medium"/>
    <n v="6014522"/>
    <s v="INV00968"/>
    <n v="61171"/>
    <d v="2025-01-03T00:00:00"/>
    <n v="60"/>
    <n v="5"/>
    <n v="0.12870000000000001"/>
    <n v="4.6399999999999997E-2"/>
    <n v="6"/>
    <s v="No"/>
    <s v="Yes"/>
    <n v="0.35"/>
    <n v="1294.1437315068495"/>
    <n v="46.657551780821912"/>
    <n v="1247.4861797260276"/>
    <n v="54"/>
    <x v="627"/>
    <n v="628"/>
  </r>
  <r>
    <s v="SUP125"/>
    <x v="83"/>
    <s v="Europe"/>
    <x v="4"/>
    <s v="Large"/>
    <n v="21625874"/>
    <s v="INV01411"/>
    <n v="92135"/>
    <d v="2025-10-05T00:00:00"/>
    <n v="45"/>
    <n v="10"/>
    <n v="9.5399999999999999E-2"/>
    <n v="5.7200000000000001E-2"/>
    <n v="8"/>
    <s v="No"/>
    <s v="Yes"/>
    <n v="0.5"/>
    <n v="1083.6590547945204"/>
    <n v="115.50952328767124"/>
    <n v="968.14953150684914"/>
    <n v="37"/>
    <x v="628"/>
    <n v="629"/>
  </r>
  <r>
    <s v="SUP116"/>
    <x v="74"/>
    <s v="Canada"/>
    <x v="1"/>
    <s v="Large"/>
    <n v="13972206"/>
    <s v="INV00781"/>
    <n v="88085"/>
    <d v="2025-12-30T00:00:00"/>
    <n v="45"/>
    <n v="3"/>
    <n v="9.5000000000000001E-2"/>
    <n v="5.5100000000000003E-2"/>
    <n v="7"/>
    <s v="No"/>
    <s v="Yes"/>
    <n v="0.5"/>
    <n v="1031.6804794520549"/>
    <n v="93.080505479452071"/>
    <n v="938.59997397260281"/>
    <n v="38"/>
    <x v="629"/>
    <n v="630"/>
  </r>
  <r>
    <s v="SUP114"/>
    <x v="77"/>
    <s v="Europe"/>
    <x v="2"/>
    <s v="Medium"/>
    <n v="6687670"/>
    <s v="INV01309"/>
    <n v="105880"/>
    <d v="2025-05-23T00:00:00"/>
    <n v="60"/>
    <n v="2"/>
    <n v="0.1013"/>
    <n v="5.3900000000000003E-2"/>
    <n v="8"/>
    <s v="No"/>
    <s v="Yes"/>
    <n v="0.35"/>
    <n v="1763.1195616438356"/>
    <n v="125.08344109589042"/>
    <n v="1638.0361205479451"/>
    <n v="52"/>
    <x v="630"/>
    <n v="631"/>
  </r>
  <r>
    <s v="SUP127"/>
    <x v="12"/>
    <s v="Europe"/>
    <x v="0"/>
    <s v="Small"/>
    <n v="1089809"/>
    <s v="INV01328"/>
    <n v="75556"/>
    <d v="2025-05-20T00:00:00"/>
    <n v="30"/>
    <n v="4"/>
    <n v="0.16689999999999999"/>
    <n v="5.0999999999999997E-2"/>
    <n v="6"/>
    <s v="No"/>
    <s v="Yes"/>
    <n v="0.2"/>
    <n v="1036.4627178082192"/>
    <n v="63.342838356164371"/>
    <n v="973.11987945205476"/>
    <n v="24"/>
    <x v="631"/>
    <n v="632"/>
  </r>
  <r>
    <s v="SUP007"/>
    <x v="100"/>
    <s v="APAC"/>
    <x v="1"/>
    <s v="Small"/>
    <n v="1043844"/>
    <s v="INV00602"/>
    <n v="42833"/>
    <d v="2025-10-07T00:00:00"/>
    <n v="60"/>
    <n v="7"/>
    <n v="0.11550000000000001"/>
    <n v="5.2900000000000003E-2"/>
    <n v="7"/>
    <s v="No"/>
    <s v="Yes"/>
    <n v="0.65"/>
    <n v="813.24024657534244"/>
    <n v="43.454958630136993"/>
    <n v="769.78528794520548"/>
    <n v="53"/>
    <x v="632"/>
    <n v="633"/>
  </r>
  <r>
    <s v="SUP080"/>
    <x v="67"/>
    <s v="US"/>
    <x v="1"/>
    <s v="Small"/>
    <n v="1104797"/>
    <s v="INV00805"/>
    <n v="36535"/>
    <d v="2025-10-01T00:00:00"/>
    <n v="45"/>
    <n v="2"/>
    <n v="0.13320000000000001"/>
    <n v="5.9900000000000002E-2"/>
    <n v="10"/>
    <s v="No"/>
    <s v="Yes"/>
    <n v="0.65"/>
    <n v="599.97476712328773"/>
    <n v="59.957438356164381"/>
    <n v="540.01732876712333"/>
    <n v="35"/>
    <x v="633"/>
    <n v="634"/>
  </r>
  <r>
    <s v="SUP143"/>
    <x v="44"/>
    <s v="US"/>
    <x v="4"/>
    <s v="Medium"/>
    <n v="3723173"/>
    <s v="INV00111"/>
    <n v="92090"/>
    <d v="2025-04-12T00:00:00"/>
    <n v="45"/>
    <n v="2"/>
    <n v="0.1069"/>
    <n v="5.2900000000000003E-2"/>
    <n v="7"/>
    <s v="No"/>
    <s v="Yes"/>
    <n v="0.35"/>
    <n v="1213.6957397260273"/>
    <n v="93.427197260273985"/>
    <n v="1120.2685424657534"/>
    <n v="38"/>
    <x v="634"/>
    <n v="635"/>
  </r>
  <r>
    <s v="SUP120"/>
    <x v="19"/>
    <s v="APAC"/>
    <x v="3"/>
    <s v="Large"/>
    <n v="9396117"/>
    <s v="INV00402"/>
    <n v="83939"/>
    <d v="2025-09-07T00:00:00"/>
    <n v="60"/>
    <n v="7"/>
    <n v="7.2400000000000006E-2"/>
    <n v="4.65E-2"/>
    <n v="5"/>
    <s v="No"/>
    <s v="Yes"/>
    <n v="0.8"/>
    <n v="998.9890849315068"/>
    <n v="53.467993150684933"/>
    <n v="945.52109178082185"/>
    <n v="55"/>
    <x v="635"/>
    <n v="636"/>
  </r>
  <r>
    <s v="SUP108"/>
    <x v="101"/>
    <s v="Mexico"/>
    <x v="0"/>
    <s v="Large"/>
    <n v="13513506"/>
    <s v="INV01132"/>
    <n v="95914"/>
    <d v="2026-02-09T00:00:00"/>
    <n v="45"/>
    <n v="7"/>
    <n v="8.1799999999999998E-2"/>
    <n v="4.5600000000000002E-2"/>
    <n v="10"/>
    <s v="No"/>
    <s v="Yes"/>
    <n v="0.5"/>
    <n v="967.28612054794507"/>
    <n v="119.82680547945205"/>
    <n v="847.45931506849297"/>
    <n v="35"/>
    <x v="636"/>
    <n v="637"/>
  </r>
  <r>
    <s v="SUP128"/>
    <x v="26"/>
    <s v="APAC"/>
    <x v="0"/>
    <s v="Small"/>
    <n v="927954"/>
    <s v="INV01158"/>
    <n v="71468"/>
    <d v="2026-01-07T00:00:00"/>
    <n v="60"/>
    <n v="4"/>
    <n v="0.1181"/>
    <n v="4.87E-2"/>
    <n v="6"/>
    <s v="No"/>
    <s v="Yes"/>
    <n v="0.35"/>
    <n v="1387.4582136986301"/>
    <n v="57.2135605479452"/>
    <n v="1330.2446531506848"/>
    <n v="54"/>
    <x v="637"/>
    <n v="638"/>
  </r>
  <r>
    <s v="SUP109"/>
    <x v="71"/>
    <s v="Mexico"/>
    <x v="1"/>
    <s v="Medium"/>
    <n v="2561855"/>
    <s v="INV01496"/>
    <n v="54320"/>
    <d v="2025-04-11T00:00:00"/>
    <n v="60"/>
    <n v="4"/>
    <n v="0.1037"/>
    <n v="6.4100000000000004E-2"/>
    <n v="5"/>
    <s v="No"/>
    <s v="Yes"/>
    <n v="0.8"/>
    <n v="925.96997260273974"/>
    <n v="47.697424657534249"/>
    <n v="878.27254794520547"/>
    <n v="55"/>
    <x v="638"/>
    <n v="639"/>
  </r>
  <r>
    <s v="SUP076"/>
    <x v="95"/>
    <s v="Canada"/>
    <x v="2"/>
    <s v="Large"/>
    <n v="23937545"/>
    <s v="INV00514"/>
    <n v="87527"/>
    <d v="2025-02-10T00:00:00"/>
    <n v="60"/>
    <n v="2"/>
    <n v="8.7099999999999997E-2"/>
    <n v="5.6899999999999999E-2"/>
    <n v="7"/>
    <s v="Yes"/>
    <s v="Yes"/>
    <n v="0.65"/>
    <n v="1253.1948"/>
    <n v="95.512339999999995"/>
    <n v="1157.68246"/>
    <n v="53"/>
    <x v="639"/>
    <n v="640"/>
  </r>
  <r>
    <s v="SUP015"/>
    <x v="61"/>
    <s v="Mexico"/>
    <x v="1"/>
    <s v="Small"/>
    <n v="1475965"/>
    <s v="INV00963"/>
    <n v="24027"/>
    <d v="2025-08-28T00:00:00"/>
    <n v="45"/>
    <n v="7"/>
    <n v="0.14000000000000001"/>
    <n v="6.1600000000000002E-2"/>
    <n v="6"/>
    <s v="Yes"/>
    <s v="Yes"/>
    <n v="0.9"/>
    <n v="414.71260273972604"/>
    <n v="24.329806027397257"/>
    <n v="390.3827967123288"/>
    <n v="39"/>
    <x v="640"/>
    <n v="641"/>
  </r>
  <r>
    <s v="SUP040"/>
    <x v="38"/>
    <s v="US"/>
    <x v="3"/>
    <s v="Small"/>
    <n v="1249897"/>
    <s v="INV00684"/>
    <n v="49767"/>
    <d v="2025-12-31T00:00:00"/>
    <n v="60"/>
    <n v="2"/>
    <n v="0.1452"/>
    <n v="4.8000000000000001E-2"/>
    <n v="7"/>
    <s v="No"/>
    <s v="Yes"/>
    <n v="0.35"/>
    <n v="1187.8632986301368"/>
    <n v="45.812909589041105"/>
    <n v="1142.0503890410957"/>
    <n v="53"/>
    <x v="641"/>
    <n v="642"/>
  </r>
  <r>
    <s v="SUP119"/>
    <x v="16"/>
    <s v="Canada"/>
    <x v="4"/>
    <s v="Large"/>
    <n v="13637712"/>
    <s v="INV00892"/>
    <n v="98471"/>
    <d v="2025-11-30T00:00:00"/>
    <n v="60"/>
    <n v="5"/>
    <n v="8.6999999999999994E-2"/>
    <n v="5.2699999999999997E-2"/>
    <n v="8"/>
    <s v="No"/>
    <s v="Yes"/>
    <n v="0.5"/>
    <n v="1408.2701917808217"/>
    <n v="113.74074958904109"/>
    <n v="1294.5294421917806"/>
    <n v="52"/>
    <x v="642"/>
    <n v="643"/>
  </r>
  <r>
    <s v="SUP101"/>
    <x v="85"/>
    <s v="US"/>
    <x v="1"/>
    <s v="Large"/>
    <n v="16270036"/>
    <s v="INV00121"/>
    <n v="96319"/>
    <d v="2025-04-26T00:00:00"/>
    <n v="60"/>
    <n v="4"/>
    <n v="9.2200000000000004E-2"/>
    <n v="5.7200000000000001E-2"/>
    <n v="6"/>
    <s v="No"/>
    <s v="Yes"/>
    <n v="0.5"/>
    <n v="1459.826597260274"/>
    <n v="90.56624876712327"/>
    <n v="1369.2603484931508"/>
    <n v="54"/>
    <x v="643"/>
    <n v="644"/>
  </r>
  <r>
    <s v="SUP097"/>
    <x v="67"/>
    <s v="APAC"/>
    <x v="4"/>
    <s v="Medium"/>
    <n v="6014522"/>
    <s v="INV00713"/>
    <n v="102546"/>
    <d v="2025-01-17T00:00:00"/>
    <n v="60"/>
    <n v="2"/>
    <n v="0.12870000000000001"/>
    <n v="4.6600000000000003E-2"/>
    <n v="8"/>
    <s v="No"/>
    <s v="Yes"/>
    <n v="0.2"/>
    <n v="2169.4800328767124"/>
    <n v="104.73739397260275"/>
    <n v="2064.7426389041098"/>
    <n v="52"/>
    <x v="644"/>
    <n v="645"/>
  </r>
  <r>
    <s v="SUP084"/>
    <x v="18"/>
    <s v="APAC"/>
    <x v="3"/>
    <s v="Small"/>
    <n v="1097913"/>
    <s v="INV00442"/>
    <n v="49289"/>
    <d v="2025-11-07T00:00:00"/>
    <n v="60"/>
    <n v="7"/>
    <n v="0.16070000000000001"/>
    <n v="6.3299999999999995E-2"/>
    <n v="7"/>
    <s v="No"/>
    <s v="Yes"/>
    <n v="0.35"/>
    <n v="1302.0398301369864"/>
    <n v="59.835495616438351"/>
    <n v="1242.2043345205482"/>
    <n v="53"/>
    <x v="645"/>
    <n v="646"/>
  </r>
  <r>
    <s v="SUP066"/>
    <x v="46"/>
    <s v="APAC"/>
    <x v="1"/>
    <s v="Small"/>
    <n v="1106462"/>
    <s v="INV00624"/>
    <n v="108247"/>
    <d v="2025-02-04T00:00:00"/>
    <n v="60"/>
    <n v="3"/>
    <n v="0.1328"/>
    <n v="5.5399999999999998E-2"/>
    <n v="6"/>
    <s v="No"/>
    <s v="Yes"/>
    <n v="0.2"/>
    <n v="2363.0468383561642"/>
    <n v="98.578911780821898"/>
    <n v="2264.4679265753425"/>
    <n v="54"/>
    <x v="646"/>
    <n v="647"/>
  </r>
  <r>
    <s v="SUP119"/>
    <x v="16"/>
    <s v="Canada"/>
    <x v="4"/>
    <s v="Large"/>
    <n v="13637712"/>
    <s v="INV00909"/>
    <n v="92744"/>
    <d v="2025-03-06T00:00:00"/>
    <n v="60"/>
    <n v="7"/>
    <n v="8.6999999999999994E-2"/>
    <n v="5.0900000000000001E-2"/>
    <n v="6"/>
    <s v="No"/>
    <s v="Yes"/>
    <n v="0.5"/>
    <n v="1326.3662465753423"/>
    <n v="77.600048219178078"/>
    <n v="1248.7661983561643"/>
    <n v="54"/>
    <x v="647"/>
    <n v="648"/>
  </r>
  <r>
    <s v="SUP045"/>
    <x v="41"/>
    <s v="Canada"/>
    <x v="3"/>
    <s v="Medium"/>
    <n v="6222733"/>
    <s v="INV00523"/>
    <n v="57838"/>
    <d v="2025-12-17T00:00:00"/>
    <n v="60"/>
    <n v="5"/>
    <n v="0.13980000000000001"/>
    <n v="5.7500000000000002E-2"/>
    <n v="8"/>
    <s v="Yes"/>
    <s v="Yes"/>
    <n v="0.35"/>
    <n v="1329.1647780821918"/>
    <n v="72.891726027397254"/>
    <n v="1256.2730520547946"/>
    <n v="52"/>
    <x v="648"/>
    <n v="649"/>
  </r>
  <r>
    <s v="SUP099"/>
    <x v="40"/>
    <s v="US"/>
    <x v="2"/>
    <s v="Medium"/>
    <n v="6280246"/>
    <s v="INV01412"/>
    <n v="62992"/>
    <d v="2025-08-25T00:00:00"/>
    <n v="60"/>
    <n v="7"/>
    <n v="0.1205"/>
    <n v="4.53E-2"/>
    <n v="7"/>
    <s v="No"/>
    <s v="Yes"/>
    <n v="0.35"/>
    <n v="1247.7593424657534"/>
    <n v="54.725378630136994"/>
    <n v="1193.0339638356165"/>
    <n v="53"/>
    <x v="649"/>
    <n v="650"/>
  </r>
  <r>
    <s v="SUP117"/>
    <x v="56"/>
    <s v="APAC"/>
    <x v="2"/>
    <s v="Small"/>
    <n v="407422"/>
    <s v="INV00613"/>
    <n v="33955"/>
    <d v="2025-03-28T00:00:00"/>
    <n v="30"/>
    <n v="7"/>
    <n v="0.121"/>
    <n v="0.06"/>
    <n v="10"/>
    <s v="No"/>
    <s v="Yes"/>
    <n v="0.8"/>
    <n v="337.68945205479451"/>
    <n v="55.816438356164376"/>
    <n v="281.87301369863013"/>
    <n v="20"/>
    <x v="650"/>
    <n v="651"/>
  </r>
  <r>
    <s v="SUP086"/>
    <x v="45"/>
    <s v="Mexico"/>
    <x v="1"/>
    <s v="Small"/>
    <n v="1218251"/>
    <s v="INV00763"/>
    <n v="42862"/>
    <d v="2026-02-09T00:00:00"/>
    <n v="45"/>
    <n v="3"/>
    <n v="0.1227"/>
    <n v="6.3299999999999995E-2"/>
    <n v="7"/>
    <s v="No"/>
    <s v="Yes"/>
    <n v="0.65"/>
    <n v="648.39050136986305"/>
    <n v="52.033293698630132"/>
    <n v="596.35720767123291"/>
    <n v="38"/>
    <x v="651"/>
    <n v="652"/>
  </r>
  <r>
    <s v="SUP001"/>
    <x v="20"/>
    <s v="Canada"/>
    <x v="0"/>
    <s v="Medium"/>
    <n v="1709806"/>
    <s v="INV00467"/>
    <n v="70313"/>
    <d v="2025-01-12T00:00:00"/>
    <n v="60"/>
    <n v="4"/>
    <n v="0.12709999999999999"/>
    <n v="0.06"/>
    <n v="10"/>
    <s v="No"/>
    <s v="Yes"/>
    <n v="0.35"/>
    <n v="1469.0601041095888"/>
    <n v="115.58301369863013"/>
    <n v="1353.4770904109587"/>
    <n v="50"/>
    <x v="652"/>
    <n v="653"/>
  </r>
  <r>
    <s v="SUP011"/>
    <x v="39"/>
    <s v="APAC"/>
    <x v="1"/>
    <s v="Medium"/>
    <n v="3553623"/>
    <s v="INV00503"/>
    <n v="40298"/>
    <d v="2025-12-03T00:00:00"/>
    <n v="90"/>
    <n v="2"/>
    <n v="9.8199999999999996E-2"/>
    <n v="4.7E-2"/>
    <n v="6"/>
    <s v="No"/>
    <s v="Yes"/>
    <n v="0.8"/>
    <n v="975.76362739726017"/>
    <n v="31.134345205479452"/>
    <n v="944.6292821917807"/>
    <n v="84"/>
    <x v="653"/>
    <n v="654"/>
  </r>
  <r>
    <s v="SUP004"/>
    <x v="29"/>
    <s v="Europe"/>
    <x v="4"/>
    <s v="Small"/>
    <n v="1485779"/>
    <s v="INV01172"/>
    <n v="58170"/>
    <d v="2025-02-07T00:00:00"/>
    <n v="60"/>
    <n v="2"/>
    <n v="0.1295"/>
    <n v="4.8599999999999997E-2"/>
    <n v="7"/>
    <s v="No"/>
    <s v="Yes"/>
    <n v="0.35"/>
    <n v="1238.3038356164384"/>
    <n v="54.217627397260273"/>
    <n v="1184.0862082191782"/>
    <n v="53"/>
    <x v="654"/>
    <n v="655"/>
  </r>
  <r>
    <s v="SUP059"/>
    <x v="84"/>
    <s v="Canada"/>
    <x v="0"/>
    <s v="Large"/>
    <n v="22445214"/>
    <s v="INV01209"/>
    <n v="95720"/>
    <d v="2025-03-31T00:00:00"/>
    <n v="45"/>
    <n v="4"/>
    <n v="8.4000000000000005E-2"/>
    <n v="6.25E-2"/>
    <n v="10"/>
    <s v="No"/>
    <s v="Yes"/>
    <n v="0.8"/>
    <n v="991.2920547945206"/>
    <n v="163.9041095890411"/>
    <n v="827.38794520547947"/>
    <n v="35"/>
    <x v="655"/>
    <n v="656"/>
  </r>
  <r>
    <s v="SUP104"/>
    <x v="33"/>
    <s v="Mexico"/>
    <x v="4"/>
    <s v="Small"/>
    <n v="1410716"/>
    <s v="INV01009"/>
    <n v="51855"/>
    <d v="2025-04-18T00:00:00"/>
    <n v="60"/>
    <n v="3"/>
    <n v="0.1472"/>
    <n v="5.6500000000000002E-2"/>
    <n v="8"/>
    <s v="No"/>
    <s v="Yes"/>
    <n v="0.35"/>
    <n v="1254.7489315068492"/>
    <n v="64.214958904109594"/>
    <n v="1190.5339726027396"/>
    <n v="52"/>
    <x v="656"/>
    <n v="657"/>
  </r>
  <r>
    <s v="SUP055"/>
    <x v="69"/>
    <s v="APAC"/>
    <x v="1"/>
    <s v="Medium"/>
    <n v="2362296"/>
    <s v="INV01297"/>
    <n v="67359"/>
    <d v="2025-10-30T00:00:00"/>
    <n v="60"/>
    <n v="5"/>
    <n v="0.1077"/>
    <n v="5.8900000000000001E-2"/>
    <n v="6"/>
    <s v="No"/>
    <s v="Yes"/>
    <n v="0.5"/>
    <n v="1192.5311178082191"/>
    <n v="65.218275616438348"/>
    <n v="1127.3128421917806"/>
    <n v="54"/>
    <x v="657"/>
    <n v="658"/>
  </r>
  <r>
    <s v="SUP094"/>
    <x v="86"/>
    <s v="Europe"/>
    <x v="4"/>
    <s v="Medium"/>
    <n v="6247387"/>
    <s v="INV01282"/>
    <n v="106151"/>
    <d v="2025-05-02T00:00:00"/>
    <n v="30"/>
    <n v="3"/>
    <n v="0.12909999999999999"/>
    <n v="5.1999999999999998E-2"/>
    <n v="5"/>
    <s v="No"/>
    <s v="Yes"/>
    <n v="0.2"/>
    <n v="1126.3638986301369"/>
    <n v="75.614410958904102"/>
    <n v="1050.7494876712328"/>
    <n v="25"/>
    <x v="658"/>
    <n v="659"/>
  </r>
  <r>
    <s v="SUP092"/>
    <x v="61"/>
    <s v="Europe"/>
    <x v="1"/>
    <s v="Small"/>
    <n v="303851"/>
    <s v="INV00342"/>
    <n v="28199"/>
    <d v="2025-08-04T00:00:00"/>
    <n v="60"/>
    <n v="5"/>
    <n v="0.17499999999999999"/>
    <n v="5.8999999999999997E-2"/>
    <n v="6"/>
    <s v="No"/>
    <s v="Yes"/>
    <n v="0.5"/>
    <n v="811.20410958904097"/>
    <n v="27.349167123287668"/>
    <n v="783.85494246575331"/>
    <n v="54"/>
    <x v="659"/>
    <n v="660"/>
  </r>
  <r>
    <s v="SUP055"/>
    <x v="69"/>
    <s v="APAC"/>
    <x v="1"/>
    <s v="Medium"/>
    <n v="2362296"/>
    <s v="INV00531"/>
    <n v="105384"/>
    <d v="2025-01-10T00:00:00"/>
    <n v="30"/>
    <n v="3"/>
    <n v="0.1077"/>
    <n v="6.3399999999999998E-2"/>
    <n v="7"/>
    <s v="No"/>
    <s v="Yes"/>
    <n v="0.35"/>
    <n v="932.8649424657533"/>
    <n v="128.13539506849315"/>
    <n v="804.72954739726015"/>
    <n v="23"/>
    <x v="660"/>
    <n v="661"/>
  </r>
  <r>
    <s v="SUP005"/>
    <x v="13"/>
    <s v="US"/>
    <x v="2"/>
    <s v="Small"/>
    <n v="701545"/>
    <s v="INV00796"/>
    <n v="27807"/>
    <d v="2025-12-07T00:00:00"/>
    <n v="45"/>
    <n v="5"/>
    <n v="0.17699999999999999"/>
    <n v="5.9700000000000003E-2"/>
    <n v="7"/>
    <s v="No"/>
    <s v="Yes"/>
    <n v="0.5"/>
    <n v="606.80206849315061"/>
    <n v="31.837110410958907"/>
    <n v="574.96495808219174"/>
    <n v="38"/>
    <x v="661"/>
    <n v="662"/>
  </r>
  <r>
    <s v="SUP031"/>
    <x v="102"/>
    <s v="Mexico"/>
    <x v="2"/>
    <s v="Large"/>
    <n v="13389097"/>
    <s v="INV01056"/>
    <n v="74939"/>
    <d v="2025-04-06T00:00:00"/>
    <n v="45"/>
    <n v="5"/>
    <n v="7.3800000000000004E-2"/>
    <n v="4.6699999999999998E-2"/>
    <n v="8"/>
    <s v="Yes"/>
    <s v="Yes"/>
    <n v="0.8"/>
    <n v="681.84224383561639"/>
    <n v="76.704686027397258"/>
    <n v="605.13755780821907"/>
    <n v="37"/>
    <x v="662"/>
    <n v="663"/>
  </r>
  <r>
    <s v="SUP065"/>
    <x v="10"/>
    <s v="Mexico"/>
    <x v="3"/>
    <s v="Medium"/>
    <n v="4269919"/>
    <s v="INV01254"/>
    <n v="42882"/>
    <d v="2025-11-03T00:00:00"/>
    <n v="60"/>
    <n v="7"/>
    <n v="0.1212"/>
    <n v="6.3100000000000003E-2"/>
    <n v="5"/>
    <s v="No"/>
    <s v="Yes"/>
    <n v="0.65"/>
    <n v="854.35042191780815"/>
    <n v="37.066495890410962"/>
    <n v="817.28392602739723"/>
    <n v="55"/>
    <x v="663"/>
    <n v="664"/>
  </r>
  <r>
    <s v="SUP119"/>
    <x v="16"/>
    <s v="Canada"/>
    <x v="4"/>
    <s v="Large"/>
    <n v="13637712"/>
    <s v="INV00782"/>
    <n v="81523"/>
    <d v="2026-01-18T00:00:00"/>
    <n v="60"/>
    <n v="4"/>
    <n v="8.6999999999999994E-2"/>
    <n v="4.7300000000000002E-2"/>
    <n v="5"/>
    <s v="No"/>
    <s v="Yes"/>
    <n v="0.5"/>
    <n v="1165.8905753424656"/>
    <n v="52.822436986301369"/>
    <n v="1113.0681383561641"/>
    <n v="55"/>
    <x v="664"/>
    <n v="665"/>
  </r>
  <r>
    <s v="SUP040"/>
    <x v="38"/>
    <s v="US"/>
    <x v="3"/>
    <s v="Small"/>
    <n v="1249897"/>
    <s v="INV00272"/>
    <n v="92492"/>
    <d v="2025-02-14T00:00:00"/>
    <n v="60"/>
    <n v="3"/>
    <n v="0.1452"/>
    <n v="5.79E-2"/>
    <n v="8"/>
    <s v="No"/>
    <s v="Yes"/>
    <n v="0.2"/>
    <n v="2207.6446684931502"/>
    <n v="117.37614904109589"/>
    <n v="2090.2685194520545"/>
    <n v="52"/>
    <x v="665"/>
    <n v="666"/>
  </r>
  <r>
    <s v="SUP003"/>
    <x v="16"/>
    <s v="APAC"/>
    <x v="2"/>
    <s v="Small"/>
    <n v="1309806"/>
    <s v="INV01109"/>
    <n v="52112"/>
    <d v="2026-01-16T00:00:00"/>
    <n v="60"/>
    <n v="5"/>
    <n v="0.15210000000000001"/>
    <n v="6.3600000000000004E-2"/>
    <n v="7"/>
    <s v="No"/>
    <s v="Yes"/>
    <n v="0.35"/>
    <n v="1302.9427726027398"/>
    <n v="63.562362739726034"/>
    <n v="1239.3804098630137"/>
    <n v="53"/>
    <x v="666"/>
    <n v="667"/>
  </r>
  <r>
    <s v="SUP044"/>
    <x v="9"/>
    <s v="US"/>
    <x v="2"/>
    <s v="Small"/>
    <n v="879139"/>
    <s v="INV00127"/>
    <n v="55292"/>
    <d v="2025-07-28T00:00:00"/>
    <n v="60"/>
    <n v="2"/>
    <n v="0.14199999999999999"/>
    <n v="5.8599999999999999E-2"/>
    <n v="6"/>
    <s v="Yes"/>
    <s v="Yes"/>
    <n v="0.35"/>
    <n v="1290.6516164383559"/>
    <n v="53.262101917808209"/>
    <n v="1237.3895145205477"/>
    <n v="54"/>
    <x v="667"/>
    <n v="668"/>
  </r>
  <r>
    <s v="SUP133"/>
    <x v="42"/>
    <s v="US"/>
    <x v="1"/>
    <s v="Medium"/>
    <n v="3384926"/>
    <s v="INV00569"/>
    <n v="85454"/>
    <d v="2025-06-07T00:00:00"/>
    <n v="60"/>
    <n v="3"/>
    <n v="0.1396"/>
    <n v="4.5199999999999997E-2"/>
    <n v="6"/>
    <s v="No"/>
    <s v="Yes"/>
    <n v="0.2"/>
    <n v="1960.9937095890409"/>
    <n v="63.493492602739714"/>
    <n v="1897.5002169863012"/>
    <n v="54"/>
    <x v="668"/>
    <n v="669"/>
  </r>
  <r>
    <s v="SUP063"/>
    <x v="88"/>
    <s v="Mexico"/>
    <x v="0"/>
    <s v="Medium"/>
    <n v="5790128"/>
    <s v="INV01083"/>
    <n v="96877"/>
    <d v="2025-02-05T00:00:00"/>
    <n v="45"/>
    <n v="4"/>
    <n v="9.5799999999999996E-2"/>
    <n v="4.8300000000000003E-2"/>
    <n v="6"/>
    <s v="No"/>
    <s v="Yes"/>
    <n v="0.35"/>
    <n v="1144.2102657534247"/>
    <n v="76.91768383561643"/>
    <n v="1067.2925819178083"/>
    <n v="39"/>
    <x v="669"/>
    <n v="670"/>
  </r>
  <r>
    <s v="SUP014"/>
    <x v="103"/>
    <s v="APAC"/>
    <x v="3"/>
    <s v="Large"/>
    <n v="22396514"/>
    <s v="INV00113"/>
    <n v="71898"/>
    <d v="2026-01-14T00:00:00"/>
    <n v="45"/>
    <n v="7"/>
    <n v="7.5700000000000003E-2"/>
    <n v="4.7800000000000002E-2"/>
    <n v="10"/>
    <s v="No"/>
    <s v="Yes"/>
    <n v="0.8"/>
    <n v="671.01516986301374"/>
    <n v="94.156832876712329"/>
    <n v="576.85833698630142"/>
    <n v="35"/>
    <x v="670"/>
    <n v="671"/>
  </r>
  <r>
    <s v="SUP143"/>
    <x v="44"/>
    <s v="US"/>
    <x v="4"/>
    <s v="Medium"/>
    <n v="3723173"/>
    <s v="INV01005"/>
    <n v="105947"/>
    <d v="2025-09-07T00:00:00"/>
    <n v="45"/>
    <n v="10"/>
    <n v="0.1069"/>
    <n v="6.3700000000000007E-2"/>
    <n v="6"/>
    <s v="No"/>
    <s v="Yes"/>
    <n v="0.35"/>
    <n v="1396.323406849315"/>
    <n v="110.9395709589041"/>
    <n v="1285.3838358904109"/>
    <n v="39"/>
    <x v="671"/>
    <n v="672"/>
  </r>
  <r>
    <s v="SUP108"/>
    <x v="101"/>
    <s v="Mexico"/>
    <x v="0"/>
    <s v="Large"/>
    <n v="13513506"/>
    <s v="INV01291"/>
    <n v="108049"/>
    <d v="2025-12-01T00:00:00"/>
    <n v="90"/>
    <n v="5"/>
    <n v="8.1799999999999998E-2"/>
    <n v="5.2200000000000003E-2"/>
    <n v="7"/>
    <s v="No"/>
    <s v="Yes"/>
    <n v="0.5"/>
    <n v="2179.333528767123"/>
    <n v="108.1674098630137"/>
    <n v="2071.1661189041092"/>
    <n v="83"/>
    <x v="672"/>
    <n v="673"/>
  </r>
  <r>
    <s v="SUP003"/>
    <x v="16"/>
    <s v="APAC"/>
    <x v="2"/>
    <s v="Small"/>
    <n v="1309806"/>
    <s v="INV00237"/>
    <n v="30327"/>
    <d v="2026-02-03T00:00:00"/>
    <n v="45"/>
    <n v="10"/>
    <n v="0.15210000000000001"/>
    <n v="4.6699999999999998E-2"/>
    <n v="10"/>
    <s v="No"/>
    <s v="Yes"/>
    <n v="0.5"/>
    <n v="568.69356575342465"/>
    <n v="38.80194246575342"/>
    <n v="529.89162328767122"/>
    <n v="35"/>
    <x v="673"/>
    <n v="674"/>
  </r>
  <r>
    <s v="SUP091"/>
    <x v="64"/>
    <s v="Canada"/>
    <x v="4"/>
    <s v="Medium"/>
    <n v="3649528"/>
    <s v="INV01106"/>
    <n v="35910"/>
    <d v="2026-02-05T00:00:00"/>
    <n v="60"/>
    <n v="3"/>
    <n v="0.1283"/>
    <n v="0.06"/>
    <n v="7"/>
    <s v="No"/>
    <s v="Yes"/>
    <n v="0.65"/>
    <n v="757.35665753424644"/>
    <n v="41.321095890410959"/>
    <n v="716.03556164383554"/>
    <n v="53"/>
    <x v="674"/>
    <n v="675"/>
  </r>
  <r>
    <s v="SUP002"/>
    <x v="90"/>
    <s v="US"/>
    <x v="0"/>
    <s v="Medium"/>
    <n v="6074867"/>
    <s v="INV01107"/>
    <n v="96521"/>
    <d v="2025-09-15T00:00:00"/>
    <n v="60"/>
    <n v="4"/>
    <n v="9.4299999999999995E-2"/>
    <n v="4.7199999999999999E-2"/>
    <n v="5"/>
    <s v="No"/>
    <s v="Yes"/>
    <n v="0.35"/>
    <n v="1496.2077205479452"/>
    <n v="62.408098630136976"/>
    <n v="1433.7996219178083"/>
    <n v="55"/>
    <x v="675"/>
    <n v="676"/>
  </r>
  <r>
    <s v="SUP084"/>
    <x v="18"/>
    <s v="APAC"/>
    <x v="3"/>
    <s v="Small"/>
    <n v="1097913"/>
    <s v="INV00720"/>
    <n v="40085"/>
    <d v="2025-09-11T00:00:00"/>
    <n v="60"/>
    <n v="5"/>
    <n v="0.16070000000000001"/>
    <n v="4.7300000000000002E-2"/>
    <n v="7"/>
    <s v="Yes"/>
    <s v="Yes"/>
    <n v="0.35"/>
    <n v="1058.9029315068494"/>
    <n v="36.362036986301376"/>
    <n v="1022.540894520548"/>
    <n v="53"/>
    <x v="676"/>
    <n v="677"/>
  </r>
  <r>
    <s v="SUP050"/>
    <x v="52"/>
    <s v="US"/>
    <x v="2"/>
    <s v="Medium"/>
    <n v="3714458"/>
    <s v="INV01461"/>
    <n v="47940"/>
    <d v="2025-08-07T00:00:00"/>
    <n v="30"/>
    <n v="10"/>
    <n v="0.1153"/>
    <n v="4.9000000000000002E-2"/>
    <n v="7"/>
    <s v="No"/>
    <s v="Yes"/>
    <n v="0.5"/>
    <n v="454.31358904109584"/>
    <n v="45.05046575342466"/>
    <n v="409.26312328767119"/>
    <n v="23"/>
    <x v="677"/>
    <n v="678"/>
  </r>
  <r>
    <s v="SUP020"/>
    <x v="75"/>
    <s v="APAC"/>
    <x v="0"/>
    <s v="Large"/>
    <n v="15837870"/>
    <s v="INV01281"/>
    <n v="53593"/>
    <d v="2025-10-04T00:00:00"/>
    <n v="30"/>
    <n v="10"/>
    <n v="0.1089"/>
    <n v="4.9599999999999998E-2"/>
    <n v="7"/>
    <s v="No"/>
    <s v="Yes"/>
    <n v="0.5"/>
    <n v="479.6940575342465"/>
    <n v="50.979423561643834"/>
    <n v="428.71463397260266"/>
    <n v="23"/>
    <x v="678"/>
    <n v="679"/>
  </r>
  <r>
    <s v="SUP145"/>
    <x v="32"/>
    <s v="US"/>
    <x v="2"/>
    <s v="Medium"/>
    <n v="3469396"/>
    <s v="INV01103"/>
    <n v="39621"/>
    <d v="2026-01-11T00:00:00"/>
    <n v="60"/>
    <n v="2"/>
    <n v="0.1216"/>
    <n v="5.9900000000000002E-2"/>
    <n v="5"/>
    <s v="No"/>
    <s v="Yes"/>
    <n v="0.65"/>
    <n v="791.9857972602739"/>
    <n v="32.510930136986303"/>
    <n v="759.47486712328759"/>
    <n v="55"/>
    <x v="679"/>
    <n v="680"/>
  </r>
  <r>
    <s v="SUP073"/>
    <x v="9"/>
    <s v="Europe"/>
    <x v="1"/>
    <s v="Small"/>
    <n v="261628"/>
    <s v="INV00142"/>
    <n v="69912"/>
    <d v="2025-08-21T00:00:00"/>
    <n v="45"/>
    <n v="3"/>
    <n v="0.17249999999999999"/>
    <n v="5.9299999999999999E-2"/>
    <n v="8"/>
    <s v="Yes"/>
    <s v="Yes"/>
    <n v="0.2"/>
    <n v="1486.8271232876712"/>
    <n v="90.866446027397274"/>
    <n v="1395.9606772602738"/>
    <n v="37"/>
    <x v="680"/>
    <n v="681"/>
  </r>
  <r>
    <s v="SUP007"/>
    <x v="100"/>
    <s v="APAC"/>
    <x v="1"/>
    <s v="Small"/>
    <n v="1043844"/>
    <s v="INV00248"/>
    <n v="27473"/>
    <d v="2025-10-23T00:00:00"/>
    <n v="60"/>
    <n v="2"/>
    <n v="0.11550000000000001"/>
    <n v="5.1700000000000003E-2"/>
    <n v="8"/>
    <s v="No"/>
    <s v="Yes"/>
    <n v="0.9"/>
    <n v="521.61065753424657"/>
    <n v="31.131048767123289"/>
    <n v="490.4796087671233"/>
    <n v="52"/>
    <x v="681"/>
    <n v="682"/>
  </r>
  <r>
    <s v="SUP036"/>
    <x v="21"/>
    <s v="Europe"/>
    <x v="0"/>
    <s v="Medium"/>
    <n v="3293043"/>
    <s v="INV01402"/>
    <n v="90089"/>
    <d v="2025-03-06T00:00:00"/>
    <n v="45"/>
    <n v="10"/>
    <n v="0.13320000000000001"/>
    <n v="4.5699999999999998E-2"/>
    <n v="8"/>
    <s v="Yes"/>
    <s v="Yes"/>
    <n v="0.2"/>
    <n v="1479.4341534246576"/>
    <n v="90.23709150684931"/>
    <n v="1389.1970619178082"/>
    <n v="37"/>
    <x v="682"/>
    <n v="683"/>
  </r>
  <r>
    <s v="SUP010"/>
    <x v="10"/>
    <s v="APAC"/>
    <x v="1"/>
    <s v="Small"/>
    <n v="809893"/>
    <s v="INV01075"/>
    <n v="41350"/>
    <d v="2025-05-19T00:00:00"/>
    <n v="30"/>
    <n v="3"/>
    <n v="0.15909999999999999"/>
    <n v="5.0799999999999998E-2"/>
    <n v="6"/>
    <s v="No"/>
    <s v="Yes"/>
    <n v="0.35"/>
    <n v="540.72205479452055"/>
    <n v="34.530082191780821"/>
    <n v="506.19197260273972"/>
    <n v="24"/>
    <x v="683"/>
    <n v="684"/>
  </r>
  <r>
    <s v="SUP150"/>
    <x v="25"/>
    <s v="Europe"/>
    <x v="4"/>
    <s v="Small"/>
    <n v="782629"/>
    <s v="INV00874"/>
    <n v="22161"/>
    <d v="2025-07-03T00:00:00"/>
    <n v="60"/>
    <n v="10"/>
    <n v="0.14219999999999999"/>
    <n v="5.3900000000000003E-2"/>
    <n v="5"/>
    <s v="No"/>
    <s v="Yes"/>
    <n v="0.8"/>
    <n v="518.02096438356159"/>
    <n v="16.36271095890411"/>
    <n v="501.65825342465746"/>
    <n v="55"/>
    <x v="684"/>
    <n v="685"/>
  </r>
  <r>
    <s v="SUP022"/>
    <x v="37"/>
    <s v="APAC"/>
    <x v="4"/>
    <s v="Medium"/>
    <n v="6024640"/>
    <s v="INV01238"/>
    <n v="20940"/>
    <d v="2025-09-17T00:00:00"/>
    <n v="90"/>
    <n v="10"/>
    <n v="0.13769999999999999"/>
    <n v="5.4699999999999999E-2"/>
    <n v="8"/>
    <s v="No"/>
    <s v="Yes"/>
    <n v="0.9"/>
    <n v="710.98471232876705"/>
    <n v="25.10505205479452"/>
    <n v="685.87966027397249"/>
    <n v="82"/>
    <x v="685"/>
    <n v="686"/>
  </r>
  <r>
    <s v="SUP134"/>
    <x v="45"/>
    <s v="Europe"/>
    <x v="2"/>
    <s v="Medium"/>
    <n v="3948313"/>
    <s v="INV00051"/>
    <n v="84655"/>
    <d v="2025-06-14T00:00:00"/>
    <n v="90"/>
    <n v="10"/>
    <n v="0.1154"/>
    <n v="6.2899999999999998E-2"/>
    <n v="8"/>
    <s v="No"/>
    <s v="Yes"/>
    <n v="0.35"/>
    <n v="2408.840630136986"/>
    <n v="116.70793424657535"/>
    <n v="2292.1326958904106"/>
    <n v="82"/>
    <x v="686"/>
    <n v="687"/>
  </r>
  <r>
    <s v="SUP060"/>
    <x v="1"/>
    <s v="Mexico"/>
    <x v="3"/>
    <s v="Medium"/>
    <n v="4842575"/>
    <s v="INV00922"/>
    <n v="41829"/>
    <d v="2026-01-05T00:00:00"/>
    <n v="45"/>
    <n v="10"/>
    <n v="0.10639999999999999"/>
    <n v="4.9200000000000001E-2"/>
    <n v="6"/>
    <s v="No"/>
    <s v="Yes"/>
    <n v="0.65"/>
    <n v="548.70479999999998"/>
    <n v="33.829920000000001"/>
    <n v="514.87487999999996"/>
    <n v="39"/>
    <x v="687"/>
    <n v="688"/>
  </r>
  <r>
    <s v="SUP105"/>
    <x v="81"/>
    <s v="Canada"/>
    <x v="4"/>
    <s v="Medium"/>
    <n v="3772612"/>
    <s v="INV01168"/>
    <n v="44780"/>
    <d v="2025-06-09T00:00:00"/>
    <n v="45"/>
    <n v="10"/>
    <n v="0.1053"/>
    <n v="6.1899999999999997E-2"/>
    <n v="7"/>
    <s v="No"/>
    <s v="Yes"/>
    <n v="0.8"/>
    <n v="581.34254794520541"/>
    <n v="53.159380821917814"/>
    <n v="528.1831671232876"/>
    <n v="38"/>
    <x v="688"/>
    <n v="689"/>
  </r>
  <r>
    <s v="SUP037"/>
    <x v="65"/>
    <s v="Mexico"/>
    <x v="2"/>
    <s v="Large"/>
    <n v="15898738"/>
    <s v="INV00102"/>
    <n v="50985"/>
    <d v="2025-11-07T00:00:00"/>
    <n v="60"/>
    <n v="10"/>
    <n v="0.1071"/>
    <n v="4.6199999999999998E-2"/>
    <n v="8"/>
    <s v="No"/>
    <s v="Yes"/>
    <n v="0.5"/>
    <n v="897.6153698630136"/>
    <n v="51.627550684931506"/>
    <n v="845.98781917808208"/>
    <n v="52"/>
    <x v="689"/>
    <n v="690"/>
  </r>
  <r>
    <s v="SUP087"/>
    <x v="39"/>
    <s v="Europe"/>
    <x v="4"/>
    <s v="Medium"/>
    <n v="4331160"/>
    <s v="INV01454"/>
    <n v="68625"/>
    <d v="2025-04-10T00:00:00"/>
    <n v="60"/>
    <n v="2"/>
    <n v="0.12809999999999999"/>
    <n v="6.3500000000000001E-2"/>
    <n v="8"/>
    <s v="No"/>
    <s v="Yes"/>
    <n v="0.35"/>
    <n v="1445.0732876712327"/>
    <n v="95.510958904109586"/>
    <n v="1349.5623287671231"/>
    <n v="52"/>
    <x v="690"/>
    <n v="691"/>
  </r>
  <r>
    <s v="SUP127"/>
    <x v="12"/>
    <s v="Europe"/>
    <x v="0"/>
    <s v="Small"/>
    <n v="1089809"/>
    <s v="INV00552"/>
    <n v="71596"/>
    <d v="2025-12-28T00:00:00"/>
    <n v="30"/>
    <n v="4"/>
    <n v="0.16689999999999999"/>
    <n v="5.8799999999999998E-2"/>
    <n v="6"/>
    <s v="No"/>
    <s v="Yes"/>
    <n v="0.2"/>
    <n v="982.14019726027391"/>
    <n v="69.202928219178077"/>
    <n v="912.93726904109587"/>
    <n v="24"/>
    <x v="691"/>
    <n v="692"/>
  </r>
  <r>
    <s v="SUP076"/>
    <x v="95"/>
    <s v="Canada"/>
    <x v="2"/>
    <s v="Large"/>
    <n v="23937545"/>
    <s v="INV00664"/>
    <n v="74061"/>
    <d v="2025-08-11T00:00:00"/>
    <n v="60"/>
    <n v="4"/>
    <n v="8.7099999999999997E-2"/>
    <n v="4.53E-2"/>
    <n v="8"/>
    <s v="No"/>
    <s v="Yes"/>
    <n v="0.5"/>
    <n v="1060.391194520548"/>
    <n v="73.533442191780821"/>
    <n v="986.85775232876711"/>
    <n v="52"/>
    <x v="692"/>
    <n v="693"/>
  </r>
  <r>
    <s v="SUP036"/>
    <x v="21"/>
    <s v="Europe"/>
    <x v="0"/>
    <s v="Medium"/>
    <n v="3293043"/>
    <s v="INV00164"/>
    <n v="53973"/>
    <d v="2025-01-09T00:00:00"/>
    <n v="90"/>
    <n v="4"/>
    <n v="0.13320000000000001"/>
    <n v="5.1299999999999998E-2"/>
    <n v="5"/>
    <s v="No"/>
    <s v="Yes"/>
    <n v="0.35"/>
    <n v="1772.6803397260276"/>
    <n v="37.928971232876705"/>
    <n v="1734.7513684931509"/>
    <n v="85"/>
    <x v="693"/>
    <n v="694"/>
  </r>
  <r>
    <s v="SUP089"/>
    <x v="98"/>
    <s v="Canada"/>
    <x v="0"/>
    <s v="Medium"/>
    <n v="6967315"/>
    <s v="INV00508"/>
    <n v="83516"/>
    <d v="2025-01-01T00:00:00"/>
    <n v="45"/>
    <n v="7"/>
    <n v="9.1999999999999998E-2"/>
    <n v="6.3500000000000001E-2"/>
    <n v="7"/>
    <s v="No"/>
    <s v="Yes"/>
    <n v="0.65"/>
    <n v="947.27736986301363"/>
    <n v="101.70647123287671"/>
    <n v="845.57089863013698"/>
    <n v="38"/>
    <x v="694"/>
    <n v="695"/>
  </r>
  <r>
    <s v="SUP082"/>
    <x v="70"/>
    <s v="APAC"/>
    <x v="3"/>
    <s v="Medium"/>
    <n v="4450767"/>
    <s v="INV00776"/>
    <n v="50036"/>
    <d v="2025-02-13T00:00:00"/>
    <n v="90"/>
    <n v="3"/>
    <n v="0.10489999999999999"/>
    <n v="5.74E-2"/>
    <n v="6"/>
    <s v="No"/>
    <s v="Yes"/>
    <n v="0.65"/>
    <n v="1294.2188383561643"/>
    <n v="47.212050410958902"/>
    <n v="1247.0067879452054"/>
    <n v="84"/>
    <x v="695"/>
    <n v="696"/>
  </r>
  <r>
    <s v="SUP115"/>
    <x v="0"/>
    <s v="APAC"/>
    <x v="0"/>
    <s v="Small"/>
    <n v="1484226"/>
    <s v="INV01017"/>
    <n v="24393"/>
    <d v="2025-02-02T00:00:00"/>
    <n v="60"/>
    <n v="3"/>
    <n v="0.17929999999999999"/>
    <n v="5.2699999999999997E-2"/>
    <n v="8"/>
    <s v="No"/>
    <s v="Yes"/>
    <n v="0.5"/>
    <n v="718.95861369863007"/>
    <n v="28.175585753424656"/>
    <n v="690.78302794520539"/>
    <n v="52"/>
    <x v="696"/>
    <n v="697"/>
  </r>
  <r>
    <s v="SUP045"/>
    <x v="41"/>
    <s v="Canada"/>
    <x v="3"/>
    <s v="Medium"/>
    <n v="6222733"/>
    <s v="INV00725"/>
    <n v="25332"/>
    <d v="2025-03-04T00:00:00"/>
    <n v="60"/>
    <n v="3"/>
    <n v="0.13980000000000001"/>
    <n v="4.6300000000000001E-2"/>
    <n v="6"/>
    <s v="No"/>
    <s v="Yes"/>
    <n v="0.65"/>
    <n v="582.15018082191784"/>
    <n v="19.280081095890409"/>
    <n v="562.87009972602743"/>
    <n v="54"/>
    <x v="697"/>
    <n v="698"/>
  </r>
  <r>
    <s v="SUP004"/>
    <x v="29"/>
    <s v="Europe"/>
    <x v="4"/>
    <s v="Small"/>
    <n v="1485779"/>
    <s v="INV00987"/>
    <n v="25130"/>
    <d v="2025-05-24T00:00:00"/>
    <n v="30"/>
    <n v="10"/>
    <n v="0.1295"/>
    <n v="5.2999999999999999E-2"/>
    <n v="6"/>
    <s v="Yes"/>
    <s v="Yes"/>
    <n v="0.8"/>
    <n v="267.47958904109589"/>
    <n v="21.894082191780818"/>
    <n v="245.58550684931507"/>
    <n v="24"/>
    <x v="698"/>
    <n v="699"/>
  </r>
  <r>
    <s v="SUP065"/>
    <x v="10"/>
    <s v="Mexico"/>
    <x v="3"/>
    <s v="Medium"/>
    <n v="4269919"/>
    <s v="INV00748"/>
    <n v="68849"/>
    <d v="2025-03-19T00:00:00"/>
    <n v="90"/>
    <n v="10"/>
    <n v="0.1212"/>
    <n v="5.7500000000000002E-2"/>
    <n v="10"/>
    <s v="Yes"/>
    <s v="Yes"/>
    <n v="0.35"/>
    <n v="2057.5476493150682"/>
    <n v="108.46075342465753"/>
    <n v="1949.0868958904107"/>
    <n v="80"/>
    <x v="699"/>
    <n v="700"/>
  </r>
  <r>
    <s v="SUP054"/>
    <x v="4"/>
    <s v="Mexico"/>
    <x v="1"/>
    <s v="Small"/>
    <n v="896464"/>
    <s v="INV00140"/>
    <n v="40627"/>
    <d v="2025-02-09T00:00:00"/>
    <n v="60"/>
    <n v="10"/>
    <n v="0.13550000000000001"/>
    <n v="6.0100000000000001E-2"/>
    <n v="5"/>
    <s v="No"/>
    <s v="Yes"/>
    <n v="0.5"/>
    <n v="904.92468493150693"/>
    <n v="33.447708219178075"/>
    <n v="871.47697671232891"/>
    <n v="55"/>
    <x v="700"/>
    <n v="701"/>
  </r>
  <r>
    <s v="SUP067"/>
    <x v="22"/>
    <s v="Europe"/>
    <x v="3"/>
    <s v="Small"/>
    <n v="1045125"/>
    <s v="INV00966"/>
    <n v="78229"/>
    <d v="2026-01-24T00:00:00"/>
    <n v="60"/>
    <n v="5"/>
    <n v="0.15740000000000001"/>
    <n v="6.0199999999999997E-2"/>
    <n v="8"/>
    <s v="Yes"/>
    <s v="Yes"/>
    <n v="0.2"/>
    <n v="2024.0950027397262"/>
    <n v="103.21941479452055"/>
    <n v="1920.8755879452056"/>
    <n v="52"/>
    <x v="701"/>
    <n v="702"/>
  </r>
  <r>
    <s v="SUP005"/>
    <x v="13"/>
    <s v="US"/>
    <x v="2"/>
    <s v="Small"/>
    <n v="701545"/>
    <s v="INV01385"/>
    <n v="63903"/>
    <d v="2025-04-05T00:00:00"/>
    <n v="45"/>
    <n v="2"/>
    <n v="0.17699999999999999"/>
    <n v="5.8200000000000002E-2"/>
    <n v="6"/>
    <s v="No"/>
    <s v="Yes"/>
    <n v="0.2"/>
    <n v="1394.4860136986301"/>
    <n v="61.136787945205477"/>
    <n v="1333.3492257534247"/>
    <n v="39"/>
    <x v="702"/>
    <n v="703"/>
  </r>
  <r>
    <s v="SUP011"/>
    <x v="39"/>
    <s v="APAC"/>
    <x v="1"/>
    <s v="Medium"/>
    <n v="3553623"/>
    <s v="INV00913"/>
    <n v="88543"/>
    <d v="2025-06-06T00:00:00"/>
    <n v="60"/>
    <n v="3"/>
    <n v="9.8199999999999996E-2"/>
    <n v="4.9399999999999999E-2"/>
    <n v="6"/>
    <s v="No"/>
    <s v="Yes"/>
    <n v="0.35"/>
    <n v="1429.3023452054792"/>
    <n v="71.901767671232861"/>
    <n v="1357.4005775342464"/>
    <n v="54"/>
    <x v="703"/>
    <n v="704"/>
  </r>
  <r>
    <s v="SUP135"/>
    <x v="50"/>
    <s v="Canada"/>
    <x v="0"/>
    <s v="Small"/>
    <n v="1406086"/>
    <s v="INV01322"/>
    <n v="46170"/>
    <d v="2025-08-18T00:00:00"/>
    <n v="90"/>
    <n v="4"/>
    <n v="0.1201"/>
    <n v="5.4699999999999999E-2"/>
    <n v="6"/>
    <s v="No"/>
    <s v="Yes"/>
    <n v="0.5"/>
    <n v="1367.2644657534245"/>
    <n v="41.515052054794516"/>
    <n v="1325.74941369863"/>
    <n v="84"/>
    <x v="704"/>
    <n v="705"/>
  </r>
  <r>
    <s v="SUP094"/>
    <x v="86"/>
    <s v="Europe"/>
    <x v="4"/>
    <s v="Medium"/>
    <n v="6247387"/>
    <s v="INV00946"/>
    <n v="98840"/>
    <d v="2026-01-31T00:00:00"/>
    <n v="60"/>
    <n v="2"/>
    <n v="0.12909999999999999"/>
    <n v="5.28E-2"/>
    <n v="7"/>
    <s v="No"/>
    <s v="Yes"/>
    <n v="0.2"/>
    <n v="2097.5743561643831"/>
    <n v="100.08565479452056"/>
    <n v="1997.4887013698626"/>
    <n v="53"/>
    <x v="705"/>
    <n v="706"/>
  </r>
  <r>
    <s v="SUP020"/>
    <x v="75"/>
    <s v="APAC"/>
    <x v="0"/>
    <s v="Large"/>
    <n v="15837870"/>
    <s v="INV01351"/>
    <n v="48698"/>
    <d v="2025-10-22T00:00:00"/>
    <n v="45"/>
    <n v="7"/>
    <n v="0.1089"/>
    <n v="4.7E-2"/>
    <n v="10"/>
    <s v="No"/>
    <s v="Yes"/>
    <n v="0.5"/>
    <n v="653.82068219178075"/>
    <n v="62.707013698630135"/>
    <n v="591.11366849315061"/>
    <n v="35"/>
    <x v="706"/>
    <n v="707"/>
  </r>
  <r>
    <s v="SUP011"/>
    <x v="39"/>
    <s v="APAC"/>
    <x v="1"/>
    <s v="Medium"/>
    <n v="3553623"/>
    <s v="INV00267"/>
    <n v="84105"/>
    <d v="2025-03-08T00:00:00"/>
    <n v="45"/>
    <n v="5"/>
    <n v="9.8199999999999996E-2"/>
    <n v="4.7E-2"/>
    <n v="6"/>
    <s v="Yes"/>
    <s v="Yes"/>
    <n v="0.35"/>
    <n v="1018.2465616438354"/>
    <n v="64.979753424657531"/>
    <n v="953.26680821917785"/>
    <n v="39"/>
    <x v="707"/>
    <n v="708"/>
  </r>
  <r>
    <s v="SUP078"/>
    <x v="24"/>
    <s v="Mexico"/>
    <x v="4"/>
    <s v="Small"/>
    <n v="412494"/>
    <s v="INV01269"/>
    <n v="70198"/>
    <d v="2025-10-05T00:00:00"/>
    <n v="30"/>
    <n v="3"/>
    <n v="0.15989999999999999"/>
    <n v="5.2600000000000001E-2"/>
    <n v="8"/>
    <s v="No"/>
    <s v="Yes"/>
    <n v="0.2"/>
    <n v="922.57481095890398"/>
    <n v="80.929639452054801"/>
    <n v="841.64517150684924"/>
    <n v="22"/>
    <x v="708"/>
    <n v="709"/>
  </r>
  <r>
    <s v="SUP142"/>
    <x v="91"/>
    <s v="Canada"/>
    <x v="0"/>
    <s v="Small"/>
    <n v="1208247"/>
    <s v="INV00520"/>
    <n v="29677"/>
    <d v="2025-09-26T00:00:00"/>
    <n v="60"/>
    <n v="3"/>
    <n v="0.1111"/>
    <n v="5.4800000000000001E-2"/>
    <n v="10"/>
    <s v="Yes"/>
    <s v="Yes"/>
    <n v="0.9"/>
    <n v="541.99145753424659"/>
    <n v="44.556153424657531"/>
    <n v="497.43530410958908"/>
    <n v="50"/>
    <x v="709"/>
    <n v="710"/>
  </r>
  <r>
    <s v="SUP091"/>
    <x v="64"/>
    <s v="Canada"/>
    <x v="4"/>
    <s v="Medium"/>
    <n v="3649528"/>
    <s v="INV01240"/>
    <n v="20856"/>
    <d v="2025-09-01T00:00:00"/>
    <n v="30"/>
    <n v="10"/>
    <n v="0.1283"/>
    <n v="4.82E-2"/>
    <n v="5"/>
    <s v="No"/>
    <s v="Yes"/>
    <n v="0.9"/>
    <n v="219.93080547945203"/>
    <n v="13.770673972602738"/>
    <n v="206.1601315068493"/>
    <n v="25"/>
    <x v="710"/>
    <n v="711"/>
  </r>
  <r>
    <s v="SUP021"/>
    <x v="85"/>
    <s v="Canada"/>
    <x v="4"/>
    <s v="Large"/>
    <n v="17014146"/>
    <s v="INV00359"/>
    <n v="48458"/>
    <d v="2025-08-16T00:00:00"/>
    <n v="30"/>
    <n v="3"/>
    <n v="0.1037"/>
    <n v="5.6000000000000001E-2"/>
    <n v="8"/>
    <s v="No"/>
    <s v="Yes"/>
    <n v="0.65"/>
    <n v="413.02147397260273"/>
    <n v="59.477216438356166"/>
    <n v="353.54425753424658"/>
    <n v="22"/>
    <x v="711"/>
    <n v="712"/>
  </r>
  <r>
    <s v="SUP037"/>
    <x v="65"/>
    <s v="Mexico"/>
    <x v="2"/>
    <s v="Large"/>
    <n v="15898738"/>
    <s v="INV01023"/>
    <n v="50456"/>
    <d v="2025-11-07T00:00:00"/>
    <n v="60"/>
    <n v="5"/>
    <n v="0.1071"/>
    <n v="4.7800000000000002E-2"/>
    <n v="8"/>
    <s v="No"/>
    <s v="Yes"/>
    <n v="0.5"/>
    <n v="888.30207123287664"/>
    <n v="52.861299726027397"/>
    <n v="835.44077150684927"/>
    <n v="52"/>
    <x v="712"/>
    <n v="713"/>
  </r>
  <r>
    <s v="SUP057"/>
    <x v="8"/>
    <s v="Mexico"/>
    <x v="1"/>
    <s v="Small"/>
    <n v="946643"/>
    <s v="INV00068"/>
    <n v="66381"/>
    <d v="2025-06-13T00:00:00"/>
    <n v="30"/>
    <n v="7"/>
    <n v="0.1648"/>
    <n v="5.2499999999999998E-2"/>
    <n v="8"/>
    <s v="No"/>
    <s v="Yes"/>
    <n v="0.2"/>
    <n v="899.14428493150672"/>
    <n v="76.383616438356171"/>
    <n v="822.76066849315055"/>
    <n v="22"/>
    <x v="713"/>
    <n v="714"/>
  </r>
  <r>
    <s v="SUP121"/>
    <x v="46"/>
    <s v="Europe"/>
    <x v="4"/>
    <s v="Large"/>
    <n v="21735545"/>
    <s v="INV00473"/>
    <n v="95342"/>
    <d v="2025-04-27T00:00:00"/>
    <n v="90"/>
    <n v="5"/>
    <n v="7.4999999999999997E-2"/>
    <n v="5.5500000000000001E-2"/>
    <n v="10"/>
    <s v="No"/>
    <s v="Yes"/>
    <n v="0.8"/>
    <n v="1763.1739726027395"/>
    <n v="144.9720821917808"/>
    <n v="1618.2018904109586"/>
    <n v="80"/>
    <x v="714"/>
    <n v="715"/>
  </r>
  <r>
    <s v="SUP091"/>
    <x v="64"/>
    <s v="Canada"/>
    <x v="4"/>
    <s v="Medium"/>
    <n v="3649528"/>
    <s v="INV00887"/>
    <n v="94090"/>
    <d v="2026-02-25T00:00:00"/>
    <n v="90"/>
    <n v="4"/>
    <n v="0.1283"/>
    <n v="4.99E-2"/>
    <n v="8"/>
    <s v="Yes"/>
    <s v="Yes"/>
    <n v="0.2"/>
    <n v="2976.595150684931"/>
    <n v="102.90610410958905"/>
    <n v="2873.6890465753418"/>
    <n v="82"/>
    <x v="715"/>
    <n v="716"/>
  </r>
  <r>
    <s v="SUP138"/>
    <x v="59"/>
    <s v="Europe"/>
    <x v="2"/>
    <s v="Medium"/>
    <n v="4395110"/>
    <s v="INV00769"/>
    <n v="74700"/>
    <d v="2025-02-13T00:00:00"/>
    <n v="90"/>
    <n v="3"/>
    <n v="0.1066"/>
    <n v="5.0200000000000002E-2"/>
    <n v="10"/>
    <s v="No"/>
    <s v="Yes"/>
    <n v="0.35"/>
    <n v="1963.4843835616439"/>
    <n v="102.73808219178082"/>
    <n v="1860.746301369863"/>
    <n v="80"/>
    <x v="716"/>
    <n v="717"/>
  </r>
  <r>
    <s v="SUP027"/>
    <x v="99"/>
    <s v="US"/>
    <x v="1"/>
    <s v="Large"/>
    <n v="19529913"/>
    <s v="INV01441"/>
    <n v="41468"/>
    <d v="2025-04-11T00:00:00"/>
    <n v="60"/>
    <n v="3"/>
    <n v="8.7499999999999994E-2"/>
    <n v="4.8000000000000001E-2"/>
    <n v="10"/>
    <s v="No"/>
    <s v="Yes"/>
    <n v="0.9"/>
    <n v="596.45753424657528"/>
    <n v="54.533260273972601"/>
    <n v="541.92427397260269"/>
    <n v="50"/>
    <x v="717"/>
    <n v="718"/>
  </r>
  <r>
    <s v="SUP011"/>
    <x v="39"/>
    <s v="APAC"/>
    <x v="1"/>
    <s v="Medium"/>
    <n v="3553623"/>
    <s v="INV00694"/>
    <n v="64108"/>
    <d v="2025-08-17T00:00:00"/>
    <n v="45"/>
    <n v="5"/>
    <n v="9.8199999999999996E-2"/>
    <n v="5.2400000000000002E-2"/>
    <n v="7"/>
    <s v="Yes"/>
    <s v="Yes"/>
    <n v="0.5"/>
    <n v="776.14589589041088"/>
    <n v="64.424149041095887"/>
    <n v="711.72174684931497"/>
    <n v="38"/>
    <x v="718"/>
    <n v="719"/>
  </r>
  <r>
    <s v="SUP143"/>
    <x v="44"/>
    <s v="US"/>
    <x v="4"/>
    <s v="Medium"/>
    <n v="3723173"/>
    <s v="INV01432"/>
    <n v="87997"/>
    <d v="2026-02-12T00:00:00"/>
    <n v="60"/>
    <n v="2"/>
    <n v="0.1069"/>
    <n v="5.9400000000000001E-2"/>
    <n v="7"/>
    <s v="No"/>
    <s v="Yes"/>
    <n v="0.35"/>
    <n v="1546.3363232876709"/>
    <n v="100.24425369863015"/>
    <n v="1446.0920695890406"/>
    <n v="53"/>
    <x v="719"/>
    <n v="720"/>
  </r>
  <r>
    <s v="SUP116"/>
    <x v="74"/>
    <s v="Canada"/>
    <x v="1"/>
    <s v="Large"/>
    <n v="13972206"/>
    <s v="INV00278"/>
    <n v="62911"/>
    <d v="2025-10-30T00:00:00"/>
    <n v="60"/>
    <n v="3"/>
    <n v="9.5000000000000001E-2"/>
    <n v="4.8500000000000001E-2"/>
    <n v="10"/>
    <s v="No"/>
    <s v="Yes"/>
    <n v="0.5"/>
    <n v="982.44575342465748"/>
    <n v="83.594068493150687"/>
    <n v="898.85168493150684"/>
    <n v="50"/>
    <x v="720"/>
    <n v="721"/>
  </r>
  <r>
    <s v="SUP027"/>
    <x v="99"/>
    <s v="US"/>
    <x v="1"/>
    <s v="Large"/>
    <n v="19529913"/>
    <s v="INV00170"/>
    <n v="92980"/>
    <d v="2025-01-07T00:00:00"/>
    <n v="60"/>
    <n v="7"/>
    <n v="8.7499999999999994E-2"/>
    <n v="6.3299999999999995E-2"/>
    <n v="8"/>
    <s v="Yes"/>
    <s v="Yes"/>
    <n v="0.65"/>
    <n v="1337.3835616438355"/>
    <n v="129.00019726027395"/>
    <n v="1208.3833643835615"/>
    <n v="52"/>
    <x v="721"/>
    <n v="722"/>
  </r>
  <r>
    <s v="SUP044"/>
    <x v="9"/>
    <s v="US"/>
    <x v="2"/>
    <s v="Small"/>
    <n v="879139"/>
    <s v="INV00461"/>
    <n v="33409"/>
    <d v="2025-07-04T00:00:00"/>
    <n v="30"/>
    <n v="4"/>
    <n v="0.14199999999999999"/>
    <n v="5.45E-2"/>
    <n v="5"/>
    <s v="No"/>
    <s v="Yes"/>
    <n v="0.5"/>
    <n v="389.92421917808213"/>
    <n v="24.942335616438356"/>
    <n v="364.98188356164377"/>
    <n v="25"/>
    <x v="722"/>
    <n v="723"/>
  </r>
  <r>
    <s v="SUP146"/>
    <x v="46"/>
    <s v="US"/>
    <x v="0"/>
    <s v="Large"/>
    <n v="10372464"/>
    <s v="INV00146"/>
    <n v="96085"/>
    <d v="2025-07-12T00:00:00"/>
    <n v="90"/>
    <n v="10"/>
    <n v="8.77E-2"/>
    <n v="6.4299999999999996E-2"/>
    <n v="7"/>
    <s v="No"/>
    <s v="Yes"/>
    <n v="0.65"/>
    <n v="2077.8052191780821"/>
    <n v="118.48728356164384"/>
    <n v="1959.3179356164383"/>
    <n v="83"/>
    <x v="723"/>
    <n v="724"/>
  </r>
  <r>
    <s v="SUP091"/>
    <x v="64"/>
    <s v="Canada"/>
    <x v="4"/>
    <s v="Medium"/>
    <n v="3649528"/>
    <s v="INV00058"/>
    <n v="28750"/>
    <d v="2025-07-05T00:00:00"/>
    <n v="60"/>
    <n v="10"/>
    <n v="0.1283"/>
    <n v="6.4899999999999999E-2"/>
    <n v="10"/>
    <s v="Yes"/>
    <s v="Yes"/>
    <n v="0.8"/>
    <n v="606.34931506849307"/>
    <n v="51.119863013698627"/>
    <n v="555.22945205479448"/>
    <n v="50"/>
    <x v="724"/>
    <n v="725"/>
  </r>
  <r>
    <s v="SUP056"/>
    <x v="58"/>
    <s v="Europe"/>
    <x v="0"/>
    <s v="Large"/>
    <n v="14943587"/>
    <s v="INV00627"/>
    <n v="27963"/>
    <d v="2025-10-17T00:00:00"/>
    <n v="60"/>
    <n v="2"/>
    <n v="0.1046"/>
    <n v="4.6699999999999998E-2"/>
    <n v="10"/>
    <s v="Yes"/>
    <s v="Yes"/>
    <n v="0.9"/>
    <n v="480.81037808219173"/>
    <n v="35.777317808219181"/>
    <n v="445.03306027397252"/>
    <n v="50"/>
    <x v="725"/>
    <n v="726"/>
  </r>
  <r>
    <s v="SUP069"/>
    <x v="58"/>
    <s v="US"/>
    <x v="4"/>
    <s v="Medium"/>
    <n v="3292658"/>
    <s v="INV00757"/>
    <n v="63111"/>
    <d v="2025-05-21T00:00:00"/>
    <n v="60"/>
    <n v="10"/>
    <n v="0.11559999999999999"/>
    <n v="4.9700000000000001E-2"/>
    <n v="8"/>
    <s v="Yes"/>
    <s v="Yes"/>
    <n v="0.35"/>
    <n v="1199.281906849315"/>
    <n v="68.747763287671233"/>
    <n v="1130.5341435616438"/>
    <n v="52"/>
    <x v="726"/>
    <n v="727"/>
  </r>
  <r>
    <s v="SUP009"/>
    <x v="104"/>
    <s v="Canada"/>
    <x v="4"/>
    <s v="Large"/>
    <n v="19754920"/>
    <s v="INV00022"/>
    <n v="59453"/>
    <d v="2025-09-24T00:00:00"/>
    <n v="60"/>
    <n v="2"/>
    <n v="8.1100000000000005E-2"/>
    <n v="5.3999999999999999E-2"/>
    <n v="6"/>
    <s v="No"/>
    <s v="Yes"/>
    <n v="0.9"/>
    <n v="792.59807671232886"/>
    <n v="52.774717808219172"/>
    <n v="739.82335890410968"/>
    <n v="54"/>
    <x v="727"/>
    <n v="728"/>
  </r>
  <r>
    <s v="SUP150"/>
    <x v="25"/>
    <s v="Europe"/>
    <x v="4"/>
    <s v="Small"/>
    <n v="782629"/>
    <s v="INV00216"/>
    <n v="78952"/>
    <d v="2026-01-25T00:00:00"/>
    <n v="45"/>
    <n v="2"/>
    <n v="0.14219999999999999"/>
    <n v="5.04E-2"/>
    <n v="10"/>
    <s v="No"/>
    <s v="Yes"/>
    <n v="0.2"/>
    <n v="1384.147528767123"/>
    <n v="109.01865205479452"/>
    <n v="1275.1288767123285"/>
    <n v="35"/>
    <x v="728"/>
    <n v="729"/>
  </r>
  <r>
    <s v="SUP097"/>
    <x v="67"/>
    <s v="APAC"/>
    <x v="4"/>
    <s v="Medium"/>
    <n v="6014522"/>
    <s v="INV00633"/>
    <n v="86887"/>
    <d v="2025-12-07T00:00:00"/>
    <n v="60"/>
    <n v="5"/>
    <n v="0.12870000000000001"/>
    <n v="4.5400000000000003E-2"/>
    <n v="8"/>
    <s v="Yes"/>
    <s v="Yes"/>
    <n v="0.2"/>
    <n v="1838.1956547945206"/>
    <n v="86.458516164383568"/>
    <n v="1751.737138630137"/>
    <n v="52"/>
    <x v="729"/>
    <n v="730"/>
  </r>
  <r>
    <s v="SUP135"/>
    <x v="50"/>
    <s v="Canada"/>
    <x v="0"/>
    <s v="Small"/>
    <n v="1406086"/>
    <s v="INV00426"/>
    <n v="35255"/>
    <d v="2025-12-04T00:00:00"/>
    <n v="60"/>
    <n v="7"/>
    <n v="0.1201"/>
    <n v="5.7000000000000002E-2"/>
    <n v="10"/>
    <s v="No"/>
    <s v="Yes"/>
    <n v="0.65"/>
    <n v="696.02063013698626"/>
    <n v="55.055753424657532"/>
    <n v="640.96487671232876"/>
    <n v="50"/>
    <x v="730"/>
    <n v="731"/>
  </r>
  <r>
    <s v="SUP138"/>
    <x v="59"/>
    <s v="Europe"/>
    <x v="2"/>
    <s v="Medium"/>
    <n v="4395110"/>
    <s v="INV01336"/>
    <n v="52712"/>
    <d v="2025-10-31T00:00:00"/>
    <n v="60"/>
    <n v="10"/>
    <n v="0.1066"/>
    <n v="6.4500000000000002E-2"/>
    <n v="5"/>
    <s v="No"/>
    <s v="Yes"/>
    <n v="0.65"/>
    <n v="923.68753972602724"/>
    <n v="46.574301369863008"/>
    <n v="877.11323835616417"/>
    <n v="55"/>
    <x v="731"/>
    <n v="732"/>
  </r>
  <r>
    <s v="SUP098"/>
    <x v="1"/>
    <s v="Europe"/>
    <x v="1"/>
    <s v="Small"/>
    <n v="764840"/>
    <s v="INV00300"/>
    <n v="20079"/>
    <d v="2026-01-23T00:00:00"/>
    <n v="45"/>
    <n v="10"/>
    <n v="0.16819999999999999"/>
    <n v="5.8299999999999998E-2"/>
    <n v="5"/>
    <s v="No"/>
    <s v="Yes"/>
    <n v="0.65"/>
    <n v="416.37794794520539"/>
    <n v="16.035694520547942"/>
    <n v="400.34225342465743"/>
    <n v="40"/>
    <x v="732"/>
    <n v="733"/>
  </r>
  <r>
    <s v="SUP135"/>
    <x v="50"/>
    <s v="Canada"/>
    <x v="0"/>
    <s v="Small"/>
    <n v="1406086"/>
    <s v="INV00283"/>
    <n v="60967"/>
    <d v="2026-01-10T00:00:00"/>
    <n v="60"/>
    <n v="10"/>
    <n v="0.1201"/>
    <n v="5.2900000000000003E-2"/>
    <n v="5"/>
    <s v="No"/>
    <s v="Yes"/>
    <n v="0.35"/>
    <n v="1203.6389095890411"/>
    <n v="44.180195890410957"/>
    <n v="1159.4587136986302"/>
    <n v="55"/>
    <x v="733"/>
    <n v="734"/>
  </r>
  <r>
    <s v="SUP045"/>
    <x v="41"/>
    <s v="Canada"/>
    <x v="3"/>
    <s v="Medium"/>
    <n v="6222733"/>
    <s v="INV01435"/>
    <n v="30352"/>
    <d v="2026-01-02T00:00:00"/>
    <n v="45"/>
    <n v="4"/>
    <n v="0.13980000000000001"/>
    <n v="4.5499999999999999E-2"/>
    <n v="7"/>
    <s v="No"/>
    <s v="Yes"/>
    <n v="0.5"/>
    <n v="523.13543013698632"/>
    <n v="26.485238356164388"/>
    <n v="496.65019178082196"/>
    <n v="38"/>
    <x v="734"/>
    <n v="735"/>
  </r>
  <r>
    <s v="SUP028"/>
    <x v="16"/>
    <s v="APAC"/>
    <x v="1"/>
    <s v="Small"/>
    <n v="959016"/>
    <s v="INV01057"/>
    <n v="44698"/>
    <d v="2025-12-28T00:00:00"/>
    <n v="45"/>
    <n v="2"/>
    <n v="0.1115"/>
    <n v="6.2300000000000001E-2"/>
    <n v="6"/>
    <s v="No"/>
    <s v="Yes"/>
    <n v="0.65"/>
    <n v="614.44442465753423"/>
    <n v="45.775650410958896"/>
    <n v="568.66877424657537"/>
    <n v="39"/>
    <x v="735"/>
    <n v="736"/>
  </r>
  <r>
    <s v="SUP130"/>
    <x v="49"/>
    <s v="Canada"/>
    <x v="4"/>
    <s v="Medium"/>
    <n v="5681664"/>
    <s v="INV00297"/>
    <n v="98772"/>
    <d v="2025-08-31T00:00:00"/>
    <n v="60"/>
    <n v="5"/>
    <n v="0.12130000000000001"/>
    <n v="4.9000000000000002E-2"/>
    <n v="5"/>
    <s v="Yes"/>
    <s v="Yes"/>
    <n v="0.2"/>
    <n v="1969.4866191780823"/>
    <n v="66.299013698630134"/>
    <n v="1903.187605479452"/>
    <n v="55"/>
    <x v="736"/>
    <n v="737"/>
  </r>
  <r>
    <s v="SUP050"/>
    <x v="52"/>
    <s v="US"/>
    <x v="2"/>
    <s v="Medium"/>
    <n v="3714458"/>
    <s v="INV00511"/>
    <n v="48170"/>
    <d v="2025-03-21T00:00:00"/>
    <n v="90"/>
    <n v="7"/>
    <n v="0.1153"/>
    <n v="5.6099999999999997E-2"/>
    <n v="10"/>
    <s v="Yes"/>
    <s v="Yes"/>
    <n v="0.5"/>
    <n v="1369.4796986301369"/>
    <n v="74.036630136986304"/>
    <n v="1295.4430684931506"/>
    <n v="80"/>
    <x v="737"/>
    <n v="738"/>
  </r>
  <r>
    <s v="SUP126"/>
    <x v="53"/>
    <s v="Europe"/>
    <x v="2"/>
    <s v="Medium"/>
    <n v="4193232"/>
    <s v="INV01126"/>
    <n v="28906"/>
    <d v="2025-08-19T00:00:00"/>
    <n v="60"/>
    <n v="7"/>
    <n v="0.1235"/>
    <n v="6.1899999999999997E-2"/>
    <n v="7"/>
    <s v="No"/>
    <s v="Yes"/>
    <n v="0.8"/>
    <n v="586.831397260274"/>
    <n v="34.314985753424658"/>
    <n v="552.51641150684929"/>
    <n v="53"/>
    <x v="738"/>
    <n v="739"/>
  </r>
  <r>
    <s v="SUP054"/>
    <x v="4"/>
    <s v="Mexico"/>
    <x v="1"/>
    <s v="Small"/>
    <n v="896464"/>
    <s v="INV00172"/>
    <n v="35496"/>
    <d v="2025-05-17T00:00:00"/>
    <n v="45"/>
    <n v="2"/>
    <n v="0.13550000000000001"/>
    <n v="5.5500000000000001E-2"/>
    <n v="6"/>
    <s v="Yes"/>
    <s v="Yes"/>
    <n v="0.5"/>
    <n v="592.97769863013707"/>
    <n v="32.384021917808219"/>
    <n v="560.59367671232883"/>
    <n v="39"/>
    <x v="739"/>
    <n v="740"/>
  </r>
  <r>
    <s v="SUP090"/>
    <x v="10"/>
    <s v="APAC"/>
    <x v="1"/>
    <s v="Medium"/>
    <n v="3501061"/>
    <s v="INV01476"/>
    <n v="81168"/>
    <d v="2025-01-04T00:00:00"/>
    <n v="60"/>
    <n v="10"/>
    <n v="9.6299999999999997E-2"/>
    <n v="6.1400000000000003E-2"/>
    <n v="8"/>
    <s v="No"/>
    <s v="Yes"/>
    <n v="0.5"/>
    <n v="1284.9005589041094"/>
    <n v="109.23211397260275"/>
    <n v="1175.6684449315067"/>
    <n v="52"/>
    <x v="740"/>
    <n v="741"/>
  </r>
  <r>
    <s v="SUP026"/>
    <x v="16"/>
    <s v="Mexico"/>
    <x v="2"/>
    <s v="Large"/>
    <n v="21198154"/>
    <s v="INV00494"/>
    <n v="48087"/>
    <d v="2025-06-01T00:00:00"/>
    <n v="90"/>
    <n v="7"/>
    <n v="0.1086"/>
    <n v="6.3299999999999995E-2"/>
    <n v="10"/>
    <s v="Yes"/>
    <s v="Yes"/>
    <n v="0.65"/>
    <n v="1287.6776383561644"/>
    <n v="83.394715068493142"/>
    <n v="1204.2829232876713"/>
    <n v="80"/>
    <x v="741"/>
    <n v="742"/>
  </r>
  <r>
    <s v="SUP058"/>
    <x v="63"/>
    <s v="Canada"/>
    <x v="1"/>
    <s v="Medium"/>
    <n v="2406772"/>
    <s v="INV00291"/>
    <n v="83568"/>
    <d v="2025-08-20T00:00:00"/>
    <n v="60"/>
    <n v="5"/>
    <n v="0.1091"/>
    <n v="6.08E-2"/>
    <n v="10"/>
    <s v="No"/>
    <s v="Yes"/>
    <n v="0.35"/>
    <n v="1498.7291178082191"/>
    <n v="139.20368219178081"/>
    <n v="1359.5254356164382"/>
    <n v="50"/>
    <x v="742"/>
    <n v="743"/>
  </r>
  <r>
    <s v="SUP123"/>
    <x v="25"/>
    <s v="Mexico"/>
    <x v="3"/>
    <s v="Medium"/>
    <n v="1716971"/>
    <s v="INV00822"/>
    <n v="45793"/>
    <d v="2025-09-21T00:00:00"/>
    <n v="90"/>
    <n v="4"/>
    <n v="9.4600000000000004E-2"/>
    <n v="6.0400000000000002E-2"/>
    <n v="10"/>
    <s v="No"/>
    <s v="Yes"/>
    <n v="0.9"/>
    <n v="1068.1687726027399"/>
    <n v="75.778005479452048"/>
    <n v="992.39076712328779"/>
    <n v="80"/>
    <x v="743"/>
    <n v="744"/>
  </r>
  <r>
    <s v="SUP061"/>
    <x v="14"/>
    <s v="Mexico"/>
    <x v="1"/>
    <s v="Small"/>
    <n v="1374525"/>
    <s v="INV01053"/>
    <n v="27570"/>
    <d v="2025-09-14T00:00:00"/>
    <n v="60"/>
    <n v="7"/>
    <n v="0.13320000000000001"/>
    <n v="5.4899999999999997E-2"/>
    <n v="6"/>
    <s v="No"/>
    <s v="Yes"/>
    <n v="0.65"/>
    <n v="603.66969863013708"/>
    <n v="24.880980821917802"/>
    <n v="578.7887178082193"/>
    <n v="54"/>
    <x v="744"/>
    <n v="745"/>
  </r>
  <r>
    <s v="SUP036"/>
    <x v="21"/>
    <s v="Europe"/>
    <x v="0"/>
    <s v="Medium"/>
    <n v="3293043"/>
    <s v="INV01307"/>
    <n v="90432"/>
    <d v="2025-07-09T00:00:00"/>
    <n v="90"/>
    <n v="7"/>
    <n v="0.13320000000000001"/>
    <n v="5.5800000000000002E-2"/>
    <n v="6"/>
    <s v="Yes"/>
    <s v="Yes"/>
    <n v="0.2"/>
    <n v="2970.1337424657531"/>
    <n v="82.949681095890398"/>
    <n v="2887.1840613698628"/>
    <n v="84"/>
    <x v="745"/>
    <n v="746"/>
  </r>
  <r>
    <s v="SUP124"/>
    <x v="43"/>
    <s v="Mexico"/>
    <x v="1"/>
    <s v="Small"/>
    <n v="617401"/>
    <s v="INV01202"/>
    <n v="74206"/>
    <d v="2025-11-01T00:00:00"/>
    <n v="60"/>
    <n v="2"/>
    <n v="0.1429"/>
    <n v="4.8599999999999997E-2"/>
    <n v="7"/>
    <s v="No"/>
    <s v="Yes"/>
    <n v="0.2"/>
    <n v="1743.1294356164381"/>
    <n v="69.164058082191787"/>
    <n v="1673.9653775342463"/>
    <n v="53"/>
    <x v="746"/>
    <n v="747"/>
  </r>
  <r>
    <s v="SUP105"/>
    <x v="81"/>
    <s v="Canada"/>
    <x v="4"/>
    <s v="Medium"/>
    <n v="3772612"/>
    <s v="INV01079"/>
    <n v="45552"/>
    <d v="2025-12-01T00:00:00"/>
    <n v="90"/>
    <n v="7"/>
    <n v="0.1053"/>
    <n v="5.8099999999999999E-2"/>
    <n v="10"/>
    <s v="Yes"/>
    <s v="Yes"/>
    <n v="0.65"/>
    <n v="1182.7296000000001"/>
    <n v="72.508799999999994"/>
    <n v="1110.2208000000001"/>
    <n v="80"/>
    <x v="747"/>
    <n v="748"/>
  </r>
  <r>
    <s v="SUP030"/>
    <x v="78"/>
    <s v="Canada"/>
    <x v="2"/>
    <s v="Small"/>
    <n v="1267987"/>
    <s v="INV01267"/>
    <n v="42815"/>
    <d v="2025-05-23T00:00:00"/>
    <n v="60"/>
    <n v="10"/>
    <n v="0.125"/>
    <n v="6.0299999999999999E-2"/>
    <n v="5"/>
    <s v="Yes"/>
    <s v="Yes"/>
    <n v="0.5"/>
    <n v="879.7602739726027"/>
    <n v="35.366363013698624"/>
    <n v="844.39391095890403"/>
    <n v="55"/>
    <x v="748"/>
    <n v="749"/>
  </r>
  <r>
    <s v="SUP123"/>
    <x v="25"/>
    <s v="Mexico"/>
    <x v="3"/>
    <s v="Medium"/>
    <n v="1716971"/>
    <s v="INV00066"/>
    <n v="84684"/>
    <d v="2025-08-19T00:00:00"/>
    <n v="90"/>
    <n v="10"/>
    <n v="9.4600000000000004E-2"/>
    <n v="6.1899999999999997E-2"/>
    <n v="5"/>
    <s v="No"/>
    <s v="Yes"/>
    <n v="0.5"/>
    <n v="1975.3413041095891"/>
    <n v="71.807391780821916"/>
    <n v="1903.5339123287672"/>
    <n v="85"/>
    <x v="749"/>
    <n v="750"/>
  </r>
  <r>
    <s v="SUP068"/>
    <x v="94"/>
    <s v="Europe"/>
    <x v="2"/>
    <s v="Large"/>
    <n v="17196352"/>
    <s v="INV00825"/>
    <n v="94565"/>
    <d v="2025-09-13T00:00:00"/>
    <n v="45"/>
    <n v="3"/>
    <n v="8.1500000000000003E-2"/>
    <n v="6.3200000000000006E-2"/>
    <n v="6"/>
    <s v="No"/>
    <s v="Yes"/>
    <n v="0.8"/>
    <n v="950.18393835616439"/>
    <n v="98.243967123287675"/>
    <n v="851.9399712328767"/>
    <n v="39"/>
    <x v="750"/>
    <n v="751"/>
  </r>
  <r>
    <s v="SUP149"/>
    <x v="72"/>
    <s v="APAC"/>
    <x v="1"/>
    <s v="Medium"/>
    <n v="4709015"/>
    <s v="INV01011"/>
    <n v="100908"/>
    <d v="2025-02-19T00:00:00"/>
    <n v="60"/>
    <n v="3"/>
    <n v="0.121"/>
    <n v="5.2499999999999998E-2"/>
    <n v="8"/>
    <s v="No"/>
    <s v="Yes"/>
    <n v="0.2"/>
    <n v="2007.1015890410958"/>
    <n v="116.11331506849315"/>
    <n v="1890.9882739726027"/>
    <n v="52"/>
    <x v="751"/>
    <n v="752"/>
  </r>
  <r>
    <s v="SUP089"/>
    <x v="98"/>
    <s v="Canada"/>
    <x v="0"/>
    <s v="Medium"/>
    <n v="6967315"/>
    <s v="INV00814"/>
    <n v="75950"/>
    <d v="2025-11-28T00:00:00"/>
    <n v="45"/>
    <n v="2"/>
    <n v="9.1999999999999998E-2"/>
    <n v="5.5599999999999997E-2"/>
    <n v="8"/>
    <s v="No"/>
    <s v="Yes"/>
    <n v="0.5"/>
    <n v="861.46027397260264"/>
    <n v="92.554958904109583"/>
    <n v="768.90531506849311"/>
    <n v="37"/>
    <x v="752"/>
    <n v="753"/>
  </r>
  <r>
    <s v="SUP011"/>
    <x v="39"/>
    <s v="APAC"/>
    <x v="1"/>
    <s v="Medium"/>
    <n v="3553623"/>
    <s v="INV00042"/>
    <n v="68267"/>
    <d v="2025-03-29T00:00:00"/>
    <n v="60"/>
    <n v="10"/>
    <n v="9.8199999999999996E-2"/>
    <n v="5.7799999999999997E-2"/>
    <n v="7"/>
    <s v="Yes"/>
    <s v="Yes"/>
    <n v="0.5"/>
    <n v="1101.9977095890408"/>
    <n v="75.673501917808224"/>
    <n v="1026.3242076712327"/>
    <n v="53"/>
    <x v="753"/>
    <n v="754"/>
  </r>
  <r>
    <s v="SUP087"/>
    <x v="39"/>
    <s v="Europe"/>
    <x v="4"/>
    <s v="Medium"/>
    <n v="4331160"/>
    <s v="INV01045"/>
    <n v="27448"/>
    <d v="2025-04-22T00:00:00"/>
    <n v="45"/>
    <n v="5"/>
    <n v="0.12809999999999999"/>
    <n v="5.0900000000000001E-2"/>
    <n v="6"/>
    <s v="Yes"/>
    <s v="Yes"/>
    <n v="0.65"/>
    <n v="433.49039999999997"/>
    <n v="22.966079999999998"/>
    <n v="410.52431999999999"/>
    <n v="39"/>
    <x v="754"/>
    <n v="755"/>
  </r>
  <r>
    <s v="SUP046"/>
    <x v="47"/>
    <s v="Mexico"/>
    <x v="1"/>
    <s v="Small"/>
    <n v="981924"/>
    <s v="INV00836"/>
    <n v="63117"/>
    <d v="2025-09-19T00:00:00"/>
    <n v="60"/>
    <n v="10"/>
    <n v="0.17169999999999999"/>
    <n v="6.2600000000000003E-2"/>
    <n v="10"/>
    <s v="No"/>
    <s v="Yes"/>
    <n v="0.2"/>
    <n v="1781.4557095890409"/>
    <n v="108.24997808219177"/>
    <n v="1673.2057315068491"/>
    <n v="50"/>
    <x v="755"/>
    <n v="756"/>
  </r>
  <r>
    <s v="SUP040"/>
    <x v="38"/>
    <s v="US"/>
    <x v="3"/>
    <s v="Small"/>
    <n v="1249897"/>
    <s v="INV01337"/>
    <n v="44763"/>
    <d v="2025-01-31T00:00:00"/>
    <n v="30"/>
    <n v="5"/>
    <n v="0.1452"/>
    <n v="5.7299999999999997E-2"/>
    <n v="8"/>
    <s v="No"/>
    <s v="Yes"/>
    <n v="0.35"/>
    <n v="534.21267945205477"/>
    <n v="56.217422465753423"/>
    <n v="477.99525698630134"/>
    <n v="22"/>
    <x v="756"/>
    <n v="757"/>
  </r>
  <r>
    <s v="SUP025"/>
    <x v="96"/>
    <s v="Mexico"/>
    <x v="3"/>
    <s v="Medium"/>
    <n v="2577026"/>
    <s v="INV00363"/>
    <n v="41218"/>
    <d v="2026-01-02T00:00:00"/>
    <n v="60"/>
    <n v="4"/>
    <n v="0.123"/>
    <n v="5.62E-2"/>
    <n v="10"/>
    <s v="No"/>
    <s v="Yes"/>
    <n v="0.5"/>
    <n v="833.39408219178085"/>
    <n v="63.464427397260266"/>
    <n v="769.92965479452062"/>
    <n v="50"/>
    <x v="757"/>
    <n v="758"/>
  </r>
  <r>
    <s v="SUP082"/>
    <x v="70"/>
    <s v="APAC"/>
    <x v="3"/>
    <s v="Medium"/>
    <n v="4450767"/>
    <s v="INV00576"/>
    <n v="53222"/>
    <d v="2025-04-21T00:00:00"/>
    <n v="60"/>
    <n v="4"/>
    <n v="0.10489999999999999"/>
    <n v="5.33E-2"/>
    <n v="8"/>
    <s v="No"/>
    <s v="Yes"/>
    <n v="0.5"/>
    <n v="917.75141917808207"/>
    <n v="62.17496109589041"/>
    <n v="855.57645808219172"/>
    <n v="52"/>
    <x v="758"/>
    <n v="759"/>
  </r>
  <r>
    <s v="SUP063"/>
    <x v="88"/>
    <s v="Mexico"/>
    <x v="0"/>
    <s v="Medium"/>
    <n v="5790128"/>
    <s v="INV00040"/>
    <n v="68446"/>
    <d v="2025-02-06T00:00:00"/>
    <n v="45"/>
    <n v="5"/>
    <n v="9.5799999999999996E-2"/>
    <n v="5.57E-2"/>
    <n v="6"/>
    <s v="No"/>
    <s v="Yes"/>
    <n v="0.5"/>
    <n v="808.41289315068491"/>
    <n v="62.670282739726019"/>
    <n v="745.74261041095883"/>
    <n v="39"/>
    <x v="759"/>
    <n v="760"/>
  </r>
  <r>
    <s v="SUP115"/>
    <x v="0"/>
    <s v="APAC"/>
    <x v="0"/>
    <s v="Small"/>
    <n v="1484226"/>
    <s v="INV00023"/>
    <n v="51535"/>
    <d v="2025-09-09T00:00:00"/>
    <n v="60"/>
    <n v="2"/>
    <n v="0.17929999999999999"/>
    <n v="4.6199999999999998E-2"/>
    <n v="8"/>
    <s v="No"/>
    <s v="Yes"/>
    <n v="0.2"/>
    <n v="1518.9411780821915"/>
    <n v="52.184482191780823"/>
    <n v="1466.7566958904108"/>
    <n v="52"/>
    <x v="760"/>
    <n v="761"/>
  </r>
  <r>
    <s v="SUP089"/>
    <x v="98"/>
    <s v="Canada"/>
    <x v="0"/>
    <s v="Medium"/>
    <n v="6967315"/>
    <s v="INV01174"/>
    <n v="55105"/>
    <d v="2025-04-19T00:00:00"/>
    <n v="45"/>
    <n v="7"/>
    <n v="9.1999999999999998E-2"/>
    <n v="6.0900000000000003E-2"/>
    <n v="6"/>
    <s v="No"/>
    <s v="Yes"/>
    <n v="0.8"/>
    <n v="625.02657534246566"/>
    <n v="55.165389041095892"/>
    <n v="569.8611863013698"/>
    <n v="39"/>
    <x v="761"/>
    <n v="762"/>
  </r>
  <r>
    <s v="SUP052"/>
    <x v="12"/>
    <s v="US"/>
    <x v="0"/>
    <s v="Medium"/>
    <n v="6127831"/>
    <s v="INV01255"/>
    <n v="108900"/>
    <d v="2025-02-23T00:00:00"/>
    <n v="60"/>
    <n v="2"/>
    <n v="0.12529999999999999"/>
    <n v="6.2799999999999995E-2"/>
    <n v="8"/>
    <s v="No"/>
    <s v="Yes"/>
    <n v="0.2"/>
    <n v="2243.0416438356165"/>
    <n v="149.89413698630136"/>
    <n v="2093.1475068493151"/>
    <n v="52"/>
    <x v="762"/>
    <n v="763"/>
  </r>
  <r>
    <s v="SUP135"/>
    <x v="50"/>
    <s v="Canada"/>
    <x v="0"/>
    <s v="Small"/>
    <n v="1406086"/>
    <s v="INV00391"/>
    <n v="53984"/>
    <d v="2025-12-10T00:00:00"/>
    <n v="60"/>
    <n v="2"/>
    <n v="0.1201"/>
    <n v="4.8300000000000003E-2"/>
    <n v="10"/>
    <s v="No"/>
    <s v="Yes"/>
    <n v="0.35"/>
    <n v="1065.7772712328767"/>
    <n v="71.43636164383561"/>
    <n v="994.34090958904108"/>
    <n v="50"/>
    <x v="763"/>
    <n v="764"/>
  </r>
  <r>
    <s v="SUP121"/>
    <x v="46"/>
    <s v="Europe"/>
    <x v="4"/>
    <s v="Large"/>
    <n v="21735545"/>
    <s v="INV01324"/>
    <n v="91293"/>
    <d v="2026-01-28T00:00:00"/>
    <n v="60"/>
    <n v="10"/>
    <n v="7.4999999999999997E-2"/>
    <n v="4.5400000000000003E-2"/>
    <n v="8"/>
    <s v="Yes"/>
    <s v="Yes"/>
    <n v="0.5"/>
    <n v="1125.5301369863012"/>
    <n v="90.842787945205501"/>
    <n v="1034.6873490410956"/>
    <n v="52"/>
    <x v="764"/>
    <n v="765"/>
  </r>
  <r>
    <s v="SUP053"/>
    <x v="86"/>
    <s v="Canada"/>
    <x v="2"/>
    <s v="Large"/>
    <n v="12001432"/>
    <s v="INV01081"/>
    <n v="88239"/>
    <d v="2025-09-03T00:00:00"/>
    <n v="60"/>
    <n v="5"/>
    <n v="9.1800000000000007E-2"/>
    <n v="4.8099999999999997E-2"/>
    <n v="6"/>
    <s v="No"/>
    <s v="Yes"/>
    <n v="0.35"/>
    <n v="1331.5627726027396"/>
    <n v="69.769247671232876"/>
    <n v="1261.7935249315067"/>
    <n v="54"/>
    <x v="765"/>
    <n v="766"/>
  </r>
  <r>
    <s v="SUP090"/>
    <x v="10"/>
    <s v="APAC"/>
    <x v="1"/>
    <s v="Medium"/>
    <n v="3501061"/>
    <s v="INV00688"/>
    <n v="31055"/>
    <d v="2025-06-01T00:00:00"/>
    <n v="90"/>
    <n v="4"/>
    <n v="9.6299999999999997E-2"/>
    <n v="4.8099999999999997E-2"/>
    <n v="10"/>
    <s v="No"/>
    <s v="Yes"/>
    <n v="0.9"/>
    <n v="737.4073561643836"/>
    <n v="40.924534246575341"/>
    <n v="696.48282191780822"/>
    <n v="80"/>
    <x v="766"/>
    <n v="767"/>
  </r>
  <r>
    <s v="SUP086"/>
    <x v="45"/>
    <s v="Mexico"/>
    <x v="1"/>
    <s v="Small"/>
    <n v="1218251"/>
    <s v="INV00555"/>
    <n v="33249"/>
    <d v="2025-05-28T00:00:00"/>
    <n v="90"/>
    <n v="3"/>
    <n v="0.1227"/>
    <n v="6.0400000000000002E-2"/>
    <n v="5"/>
    <s v="No"/>
    <s v="Yes"/>
    <n v="0.65"/>
    <n v="1005.9416630136986"/>
    <n v="27.510131506849316"/>
    <n v="978.4315315068493"/>
    <n v="85"/>
    <x v="767"/>
    <n v="768"/>
  </r>
  <r>
    <s v="SUP024"/>
    <x v="15"/>
    <s v="US"/>
    <x v="3"/>
    <s v="Small"/>
    <n v="1439833"/>
    <s v="INV00984"/>
    <n v="12947"/>
    <d v="2026-01-25T00:00:00"/>
    <n v="60"/>
    <n v="2"/>
    <n v="0.17630000000000001"/>
    <n v="4.6899999999999997E-2"/>
    <n v="10"/>
    <s v="No"/>
    <s v="Yes"/>
    <n v="0.8"/>
    <n v="375.21470136986301"/>
    <n v="16.63600821917808"/>
    <n v="358.5786931506849"/>
    <n v="50"/>
    <x v="768"/>
    <n v="769"/>
  </r>
  <r>
    <s v="SUP063"/>
    <x v="88"/>
    <s v="Mexico"/>
    <x v="0"/>
    <s v="Medium"/>
    <n v="5790128"/>
    <s v="INV00459"/>
    <n v="31116"/>
    <d v="2025-09-22T00:00:00"/>
    <n v="60"/>
    <n v="10"/>
    <n v="9.5799999999999996E-2"/>
    <n v="4.8000000000000001E-2"/>
    <n v="5"/>
    <s v="Yes"/>
    <s v="Yes"/>
    <n v="0.9"/>
    <n v="490.01306301369863"/>
    <n v="20.459835616438355"/>
    <n v="469.55322739726029"/>
    <n v="55"/>
    <x v="769"/>
    <n v="770"/>
  </r>
  <r>
    <s v="SUP118"/>
    <x v="31"/>
    <s v="US"/>
    <x v="1"/>
    <s v="Small"/>
    <n v="735440"/>
    <s v="INV00491"/>
    <n v="26076"/>
    <d v="2026-01-11T00:00:00"/>
    <n v="45"/>
    <n v="3"/>
    <n v="0.13020000000000001"/>
    <n v="5.1299999999999998E-2"/>
    <n v="10"/>
    <s v="No"/>
    <s v="Yes"/>
    <n v="0.65"/>
    <n v="418.57338082191779"/>
    <n v="36.64928219178082"/>
    <n v="381.924098630137"/>
    <n v="35"/>
    <x v="770"/>
    <n v="771"/>
  </r>
  <r>
    <s v="SUP099"/>
    <x v="40"/>
    <s v="US"/>
    <x v="2"/>
    <s v="Medium"/>
    <n v="6280246"/>
    <s v="INV01066"/>
    <n v="23433"/>
    <d v="2026-02-23T00:00:00"/>
    <n v="90"/>
    <n v="3"/>
    <n v="0.1205"/>
    <n v="5.7599999999999998E-2"/>
    <n v="10"/>
    <s v="Yes"/>
    <s v="Yes"/>
    <n v="0.9"/>
    <n v="696.24900000000002"/>
    <n v="36.979199999999999"/>
    <n v="659.26980000000003"/>
    <n v="80"/>
    <x v="771"/>
    <n v="772"/>
  </r>
  <r>
    <s v="SUP046"/>
    <x v="47"/>
    <s v="Mexico"/>
    <x v="1"/>
    <s v="Small"/>
    <n v="981924"/>
    <s v="INV00938"/>
    <n v="32700"/>
    <d v="2025-09-10T00:00:00"/>
    <n v="45"/>
    <n v="10"/>
    <n v="0.17169999999999999"/>
    <n v="5.5800000000000002E-2"/>
    <n v="5"/>
    <s v="No"/>
    <s v="Yes"/>
    <n v="0.35"/>
    <n v="692.20972602739721"/>
    <n v="24.995342465753424"/>
    <n v="667.21438356164379"/>
    <n v="40"/>
    <x v="772"/>
    <n v="773"/>
  </r>
  <r>
    <s v="SUP035"/>
    <x v="3"/>
    <s v="Canada"/>
    <x v="2"/>
    <s v="Small"/>
    <n v="1383695"/>
    <s v="INV00309"/>
    <n v="16910"/>
    <d v="2025-06-19T00:00:00"/>
    <n v="45"/>
    <n v="5"/>
    <n v="0.16850000000000001"/>
    <n v="4.7899999999999998E-2"/>
    <n v="10"/>
    <s v="No"/>
    <s v="Yes"/>
    <n v="0.65"/>
    <n v="351.28787671232874"/>
    <n v="22.191479452054789"/>
    <n v="329.09639726027393"/>
    <n v="35"/>
    <x v="773"/>
    <n v="774"/>
  </r>
  <r>
    <s v="SUP064"/>
    <x v="28"/>
    <s v="Canada"/>
    <x v="4"/>
    <s v="Medium"/>
    <n v="1514188"/>
    <s v="INV01494"/>
    <n v="24074"/>
    <d v="2025-08-14T00:00:00"/>
    <n v="60"/>
    <n v="2"/>
    <n v="0.11600000000000001"/>
    <n v="4.7199999999999999E-2"/>
    <n v="8"/>
    <s v="No"/>
    <s v="Yes"/>
    <n v="0.8"/>
    <n v="459.05490410958907"/>
    <n v="24.905047671232875"/>
    <n v="434.14985643835621"/>
    <n v="52"/>
    <x v="774"/>
    <n v="775"/>
  </r>
  <r>
    <s v="SUP056"/>
    <x v="58"/>
    <s v="Europe"/>
    <x v="0"/>
    <s v="Large"/>
    <n v="14943587"/>
    <s v="INV00095"/>
    <n v="28426"/>
    <d v="2025-11-24T00:00:00"/>
    <n v="90"/>
    <n v="10"/>
    <n v="0.1046"/>
    <n v="4.65E-2"/>
    <n v="8"/>
    <s v="No"/>
    <s v="Yes"/>
    <n v="0.8"/>
    <n v="733.15716164383548"/>
    <n v="28.971156164383562"/>
    <n v="704.18600547945186"/>
    <n v="82"/>
    <x v="775"/>
    <n v="776"/>
  </r>
  <r>
    <s v="SUP007"/>
    <x v="100"/>
    <s v="APAC"/>
    <x v="1"/>
    <s v="Small"/>
    <n v="1043844"/>
    <s v="INV00175"/>
    <n v="95459"/>
    <d v="2025-09-28T00:00:00"/>
    <n v="30"/>
    <n v="3"/>
    <n v="0.11550000000000001"/>
    <n v="4.6699999999999998E-2"/>
    <n v="8"/>
    <s v="No"/>
    <s v="Yes"/>
    <n v="0.2"/>
    <n v="906.20667123287672"/>
    <n v="97.708170958904105"/>
    <n v="808.49850027397258"/>
    <n v="22"/>
    <x v="776"/>
    <n v="777"/>
  </r>
  <r>
    <s v="SUP100"/>
    <x v="80"/>
    <s v="Mexico"/>
    <x v="4"/>
    <s v="Large"/>
    <n v="13101534"/>
    <s v="INV00538"/>
    <n v="98013"/>
    <d v="2025-06-12T00:00:00"/>
    <n v="90"/>
    <n v="3"/>
    <n v="8.9499999999999996E-2"/>
    <n v="5.1299999999999998E-2"/>
    <n v="10"/>
    <s v="No"/>
    <s v="Yes"/>
    <n v="0.35"/>
    <n v="2162.9992191780816"/>
    <n v="137.75525753424657"/>
    <n v="2025.2439616438351"/>
    <n v="80"/>
    <x v="777"/>
    <n v="778"/>
  </r>
  <r>
    <s v="SUP115"/>
    <x v="0"/>
    <s v="APAC"/>
    <x v="0"/>
    <s v="Small"/>
    <n v="1484226"/>
    <s v="INV01214"/>
    <n v="49095"/>
    <d v="2025-01-26T00:00:00"/>
    <n v="60"/>
    <n v="2"/>
    <n v="0.17929999999999999"/>
    <n v="4.6100000000000002E-2"/>
    <n v="7"/>
    <s v="Yes"/>
    <s v="Yes"/>
    <n v="0.2"/>
    <n v="1447.0246849315067"/>
    <n v="43.405360273972605"/>
    <n v="1403.6193246575342"/>
    <n v="53"/>
    <x v="778"/>
    <n v="779"/>
  </r>
  <r>
    <s v="SUP035"/>
    <x v="3"/>
    <s v="Canada"/>
    <x v="2"/>
    <s v="Small"/>
    <n v="1383695"/>
    <s v="INV00879"/>
    <n v="34344"/>
    <d v="2026-01-17T00:00:00"/>
    <n v="60"/>
    <n v="10"/>
    <n v="0.16850000000000001"/>
    <n v="5.9799999999999999E-2"/>
    <n v="10"/>
    <s v="No"/>
    <s v="Yes"/>
    <n v="0.35"/>
    <n v="951.2817534246575"/>
    <n v="56.26770410958904"/>
    <n v="895.01404931506841"/>
    <n v="50"/>
    <x v="779"/>
    <n v="780"/>
  </r>
  <r>
    <s v="SUP045"/>
    <x v="41"/>
    <s v="Canada"/>
    <x v="3"/>
    <s v="Medium"/>
    <n v="6222733"/>
    <s v="INV01049"/>
    <n v="28232"/>
    <d v="2025-07-06T00:00:00"/>
    <n v="90"/>
    <n v="2"/>
    <n v="0.13980000000000001"/>
    <n v="4.8099999999999997E-2"/>
    <n v="7"/>
    <s v="Yes"/>
    <s v="Yes"/>
    <n v="0.5"/>
    <n v="973.19184657534254"/>
    <n v="26.043053150684933"/>
    <n v="947.14879342465758"/>
    <n v="83"/>
    <x v="780"/>
    <n v="781"/>
  </r>
  <r>
    <s v="SUP104"/>
    <x v="33"/>
    <s v="Mexico"/>
    <x v="4"/>
    <s v="Small"/>
    <n v="1410716"/>
    <s v="INV00827"/>
    <n v="66493"/>
    <d v="2025-05-17T00:00:00"/>
    <n v="60"/>
    <n v="2"/>
    <n v="0.1472"/>
    <n v="4.99E-2"/>
    <n v="8"/>
    <s v="No"/>
    <s v="Yes"/>
    <n v="0.2"/>
    <n v="1608.94842739726"/>
    <n v="72.723303013698626"/>
    <n v="1536.2251243835615"/>
    <n v="52"/>
    <x v="781"/>
    <n v="782"/>
  </r>
  <r>
    <s v="SUP147"/>
    <x v="51"/>
    <s v="Canada"/>
    <x v="1"/>
    <s v="Small"/>
    <n v="367690"/>
    <s v="INV00698"/>
    <n v="34923"/>
    <d v="2025-10-11T00:00:00"/>
    <n v="60"/>
    <n v="10"/>
    <n v="0.1305"/>
    <n v="5.6399999999999999E-2"/>
    <n v="6"/>
    <s v="Yes"/>
    <s v="Yes"/>
    <n v="0.5"/>
    <n v="749.17010958904109"/>
    <n v="32.377926575342464"/>
    <n v="716.7921830136986"/>
    <n v="54"/>
    <x v="782"/>
    <n v="783"/>
  </r>
  <r>
    <s v="SUP080"/>
    <x v="67"/>
    <s v="US"/>
    <x v="1"/>
    <s v="Small"/>
    <n v="1104797"/>
    <s v="INV01067"/>
    <n v="36960"/>
    <d v="2026-01-07T00:00:00"/>
    <n v="45"/>
    <n v="5"/>
    <n v="0.13320000000000001"/>
    <n v="6.3500000000000001E-2"/>
    <n v="5"/>
    <s v="No"/>
    <s v="Yes"/>
    <n v="0.5"/>
    <n v="606.9540821917808"/>
    <n v="32.150136986301369"/>
    <n v="574.80394520547941"/>
    <n v="40"/>
    <x v="783"/>
    <n v="784"/>
  </r>
  <r>
    <s v="SUP081"/>
    <x v="54"/>
    <s v="APAC"/>
    <x v="2"/>
    <s v="Large"/>
    <n v="20068674"/>
    <s v="INV00092"/>
    <n v="34818"/>
    <d v="2025-01-14T00:00:00"/>
    <n v="60"/>
    <n v="7"/>
    <n v="0.1062"/>
    <n v="4.9500000000000002E-2"/>
    <n v="6"/>
    <s v="No"/>
    <s v="Yes"/>
    <n v="0.65"/>
    <n v="607.83642739726031"/>
    <n v="28.331358904109585"/>
    <n v="579.5050684931507"/>
    <n v="54"/>
    <x v="784"/>
    <n v="785"/>
  </r>
  <r>
    <s v="SUP058"/>
    <x v="63"/>
    <s v="Canada"/>
    <x v="1"/>
    <s v="Medium"/>
    <n v="2406772"/>
    <s v="INV00262"/>
    <n v="63505"/>
    <d v="2025-03-11T00:00:00"/>
    <n v="60"/>
    <n v="10"/>
    <n v="0.1091"/>
    <n v="5.1499999999999997E-2"/>
    <n v="8"/>
    <s v="No"/>
    <s v="Yes"/>
    <n v="0.35"/>
    <n v="1138.9143287671234"/>
    <n v="71.682356164383549"/>
    <n v="1067.2319726027399"/>
    <n v="52"/>
    <x v="785"/>
    <n v="786"/>
  </r>
  <r>
    <s v="SUP019"/>
    <x v="73"/>
    <s v="Europe"/>
    <x v="0"/>
    <s v="Medium"/>
    <n v="4353599"/>
    <s v="INV00890"/>
    <n v="28716"/>
    <d v="2025-01-29T00:00:00"/>
    <n v="30"/>
    <n v="5"/>
    <n v="9.5600000000000004E-2"/>
    <n v="4.6100000000000002E-2"/>
    <n v="10"/>
    <s v="No"/>
    <s v="Yes"/>
    <n v="0.9"/>
    <n v="225.63695342465752"/>
    <n v="36.268701369863017"/>
    <n v="189.36825205479451"/>
    <n v="20"/>
    <x v="786"/>
    <n v="787"/>
  </r>
  <r>
    <s v="SUP061"/>
    <x v="14"/>
    <s v="Mexico"/>
    <x v="1"/>
    <s v="Small"/>
    <n v="1374525"/>
    <s v="INV00754"/>
    <n v="90852"/>
    <d v="2025-07-23T00:00:00"/>
    <n v="45"/>
    <n v="2"/>
    <n v="0.13320000000000001"/>
    <n v="6.3E-2"/>
    <n v="8"/>
    <s v="No"/>
    <s v="Yes"/>
    <n v="0.2"/>
    <n v="1491.964076712329"/>
    <n v="125.45043287671234"/>
    <n v="1366.5136438356167"/>
    <n v="37"/>
    <x v="787"/>
    <n v="788"/>
  </r>
  <r>
    <s v="SUP096"/>
    <x v="73"/>
    <s v="APAC"/>
    <x v="4"/>
    <s v="Large"/>
    <n v="22426293"/>
    <s v="INV00639"/>
    <n v="102287"/>
    <d v="2025-01-13T00:00:00"/>
    <n v="60"/>
    <n v="2"/>
    <n v="9.8299999999999998E-2"/>
    <n v="6.2700000000000006E-2"/>
    <n v="8"/>
    <s v="No"/>
    <s v="Yes"/>
    <n v="0.35"/>
    <n v="1652.845824657534"/>
    <n v="140.56755945205481"/>
    <n v="1512.2782652054791"/>
    <n v="52"/>
    <x v="788"/>
    <n v="789"/>
  </r>
  <r>
    <s v="SUP059"/>
    <x v="84"/>
    <s v="Canada"/>
    <x v="0"/>
    <s v="Large"/>
    <n v="22445214"/>
    <s v="INV01477"/>
    <n v="93748"/>
    <d v="2025-10-27T00:00:00"/>
    <n v="60"/>
    <n v="2"/>
    <n v="8.4000000000000005E-2"/>
    <n v="4.5199999999999997E-2"/>
    <n v="7"/>
    <s v="No"/>
    <s v="Yes"/>
    <n v="0.35"/>
    <n v="1294.4929315068493"/>
    <n v="81.265389589041106"/>
    <n v="1213.2275419178081"/>
    <n v="53"/>
    <x v="789"/>
    <n v="790"/>
  </r>
  <r>
    <s v="SUP006"/>
    <x v="4"/>
    <s v="Europe"/>
    <x v="3"/>
    <s v="Small"/>
    <n v="971327"/>
    <s v="INV01279"/>
    <n v="35567"/>
    <d v="2025-11-13T00:00:00"/>
    <n v="45"/>
    <n v="4"/>
    <n v="0.15229999999999999"/>
    <n v="5.0200000000000002E-2"/>
    <n v="8"/>
    <s v="Yes"/>
    <s v="Yes"/>
    <n v="0.35"/>
    <n v="667.83132739726022"/>
    <n v="39.133444383561645"/>
    <n v="628.69788301369863"/>
    <n v="37"/>
    <x v="790"/>
    <n v="791"/>
  </r>
  <r>
    <s v="SUP091"/>
    <x v="64"/>
    <s v="Canada"/>
    <x v="4"/>
    <s v="Medium"/>
    <n v="3649528"/>
    <s v="INV01122"/>
    <n v="94285"/>
    <d v="2025-09-13T00:00:00"/>
    <n v="90"/>
    <n v="2"/>
    <n v="0.1283"/>
    <n v="6.1100000000000002E-2"/>
    <n v="6"/>
    <s v="No"/>
    <s v="Yes"/>
    <n v="0.2"/>
    <n v="2982.7640958904108"/>
    <n v="94.698304109589031"/>
    <n v="2888.0657917808217"/>
    <n v="84"/>
    <x v="791"/>
    <n v="792"/>
  </r>
  <r>
    <s v="SUP049"/>
    <x v="60"/>
    <s v="Mexico"/>
    <x v="1"/>
    <s v="Medium"/>
    <n v="2803992"/>
    <s v="INV00087"/>
    <n v="91310"/>
    <d v="2025-09-29T00:00:00"/>
    <n v="45"/>
    <n v="5"/>
    <n v="0.1036"/>
    <n v="6.4000000000000001E-2"/>
    <n v="7"/>
    <s v="No"/>
    <s v="Yes"/>
    <n v="0.35"/>
    <n v="1166.2663561643835"/>
    <n v="112.07364383561645"/>
    <n v="1054.1927123287671"/>
    <n v="38"/>
    <x v="792"/>
    <n v="793"/>
  </r>
  <r>
    <s v="SUP056"/>
    <x v="58"/>
    <s v="Europe"/>
    <x v="0"/>
    <s v="Large"/>
    <n v="14943587"/>
    <s v="INV00976"/>
    <n v="36749"/>
    <d v="2025-12-04T00:00:00"/>
    <n v="90"/>
    <n v="3"/>
    <n v="0.1046"/>
    <n v="6.1600000000000002E-2"/>
    <n v="7"/>
    <s v="No"/>
    <s v="Yes"/>
    <n v="0.8"/>
    <n v="947.82215342465747"/>
    <n v="43.414161095890414"/>
    <n v="904.40799232876702"/>
    <n v="83"/>
    <x v="793"/>
    <n v="794"/>
  </r>
  <r>
    <s v="SUP083"/>
    <x v="45"/>
    <s v="Europe"/>
    <x v="0"/>
    <s v="Medium"/>
    <n v="3350013"/>
    <s v="INV00343"/>
    <n v="98725"/>
    <d v="2025-09-19T00:00:00"/>
    <n v="45"/>
    <n v="7"/>
    <n v="0.1144"/>
    <n v="5.04E-2"/>
    <n v="10"/>
    <s v="No"/>
    <s v="Yes"/>
    <n v="0.2"/>
    <n v="1392.4282191780821"/>
    <n v="136.32164383561641"/>
    <n v="1256.1065753424657"/>
    <n v="35"/>
    <x v="794"/>
    <n v="795"/>
  </r>
  <r>
    <s v="SUP108"/>
    <x v="101"/>
    <s v="Mexico"/>
    <x v="0"/>
    <s v="Large"/>
    <n v="13513506"/>
    <s v="INV00063"/>
    <n v="92031"/>
    <d v="2025-04-10T00:00:00"/>
    <n v="45"/>
    <n v="10"/>
    <n v="8.1799999999999998E-2"/>
    <n v="6.0699999999999997E-2"/>
    <n v="6"/>
    <s v="No"/>
    <s v="Yes"/>
    <n v="0.65"/>
    <n v="928.12633150684928"/>
    <n v="91.829288219178068"/>
    <n v="836.29704328767116"/>
    <n v="39"/>
    <x v="795"/>
    <n v="796"/>
  </r>
  <r>
    <s v="SUP026"/>
    <x v="16"/>
    <s v="Mexico"/>
    <x v="2"/>
    <s v="Large"/>
    <n v="21198154"/>
    <s v="INV00676"/>
    <n v="101158"/>
    <d v="2025-08-29T00:00:00"/>
    <n v="60"/>
    <n v="2"/>
    <n v="0.1086"/>
    <n v="4.6300000000000001E-2"/>
    <n v="7"/>
    <s v="No"/>
    <s v="Yes"/>
    <n v="0.2"/>
    <n v="1805.8781589041093"/>
    <n v="89.822761095890414"/>
    <n v="1716.0553978082189"/>
    <n v="53"/>
    <x v="796"/>
    <n v="797"/>
  </r>
  <r>
    <s v="SUP086"/>
    <x v="45"/>
    <s v="Mexico"/>
    <x v="1"/>
    <s v="Small"/>
    <n v="1218251"/>
    <s v="INV01423"/>
    <n v="22552"/>
    <d v="2025-11-17T00:00:00"/>
    <n v="60"/>
    <n v="10"/>
    <n v="0.1227"/>
    <n v="5.3199999999999997E-2"/>
    <n v="5"/>
    <s v="No"/>
    <s v="Yes"/>
    <n v="0.8"/>
    <n v="454.87075068493147"/>
    <n v="16.43515616438356"/>
    <n v="438.43559452054791"/>
    <n v="55"/>
    <x v="797"/>
    <n v="798"/>
  </r>
  <r>
    <s v="SUP006"/>
    <x v="4"/>
    <s v="Europe"/>
    <x v="3"/>
    <s v="Small"/>
    <n v="971327"/>
    <s v="INV01157"/>
    <n v="15646"/>
    <d v="2025-03-08T00:00:00"/>
    <n v="60"/>
    <n v="7"/>
    <n v="0.15229999999999999"/>
    <n v="6.3399999999999998E-2"/>
    <n v="5"/>
    <s v="No"/>
    <s v="Yes"/>
    <n v="0.9"/>
    <n v="391.70725479452051"/>
    <n v="13.588443835616436"/>
    <n v="378.11881095890408"/>
    <n v="55"/>
    <x v="798"/>
    <n v="799"/>
  </r>
  <r>
    <s v="SUP017"/>
    <x v="70"/>
    <s v="APAC"/>
    <x v="2"/>
    <s v="Medium"/>
    <n v="5041335"/>
    <s v="INV01138"/>
    <n v="22198"/>
    <d v="2026-01-16T00:00:00"/>
    <n v="60"/>
    <n v="7"/>
    <n v="0.1198"/>
    <n v="5.7299999999999997E-2"/>
    <n v="7"/>
    <s v="No"/>
    <s v="Yes"/>
    <n v="0.9"/>
    <n v="437.14855890410956"/>
    <n v="24.393473424657532"/>
    <n v="412.75508547945202"/>
    <n v="53"/>
    <x v="799"/>
    <n v="800"/>
  </r>
  <r>
    <s v="SUP088"/>
    <x v="12"/>
    <s v="Mexico"/>
    <x v="1"/>
    <s v="Large"/>
    <n v="22780879"/>
    <s v="INV00893"/>
    <n v="100575"/>
    <d v="2026-01-01T00:00:00"/>
    <n v="60"/>
    <n v="5"/>
    <n v="7.0800000000000002E-2"/>
    <n v="5.5300000000000002E-2"/>
    <n v="10"/>
    <s v="Yes"/>
    <s v="Yes"/>
    <n v="0.8"/>
    <n v="1170.5276712328766"/>
    <n v="152.37801369863016"/>
    <n v="1018.1496575342464"/>
    <n v="50"/>
    <x v="800"/>
    <n v="801"/>
  </r>
  <r>
    <s v="SUP043"/>
    <x v="17"/>
    <s v="Canada"/>
    <x v="4"/>
    <s v="Medium"/>
    <n v="4153903"/>
    <s v="INV00189"/>
    <n v="44990"/>
    <d v="2025-06-05T00:00:00"/>
    <n v="90"/>
    <n v="10"/>
    <n v="0.13669999999999999"/>
    <n v="5.7500000000000002E-2"/>
    <n v="10"/>
    <s v="No"/>
    <s v="Yes"/>
    <n v="0.35"/>
    <n v="1516.4711506849314"/>
    <n v="70.87465753424658"/>
    <n v="1445.5964931506849"/>
    <n v="80"/>
    <x v="801"/>
    <n v="802"/>
  </r>
  <r>
    <s v="SUP060"/>
    <x v="1"/>
    <s v="Mexico"/>
    <x v="3"/>
    <s v="Medium"/>
    <n v="4842575"/>
    <s v="INV00644"/>
    <n v="34577"/>
    <d v="2025-02-02T00:00:00"/>
    <n v="60"/>
    <n v="4"/>
    <n v="0.10639999999999999"/>
    <n v="6.1400000000000003E-2"/>
    <n v="5"/>
    <s v="No"/>
    <s v="Yes"/>
    <n v="0.8"/>
    <n v="604.76593972602734"/>
    <n v="29.082572602739727"/>
    <n v="575.68336712328767"/>
    <n v="55"/>
    <x v="802"/>
    <n v="803"/>
  </r>
  <r>
    <s v="SUP104"/>
    <x v="33"/>
    <s v="Mexico"/>
    <x v="4"/>
    <s v="Small"/>
    <n v="1410716"/>
    <s v="INV00730"/>
    <n v="22029"/>
    <d v="2025-09-16T00:00:00"/>
    <n v="60"/>
    <n v="7"/>
    <n v="0.1472"/>
    <n v="6.0400000000000002E-2"/>
    <n v="8"/>
    <s v="Yes"/>
    <s v="Yes"/>
    <n v="0.65"/>
    <n v="533.04144657534243"/>
    <n v="29.162774794520548"/>
    <n v="503.87867178082189"/>
    <n v="52"/>
    <x v="803"/>
    <n v="804"/>
  </r>
  <r>
    <s v="SUP089"/>
    <x v="98"/>
    <s v="Canada"/>
    <x v="0"/>
    <s v="Medium"/>
    <n v="6967315"/>
    <s v="INV00560"/>
    <n v="87771"/>
    <d v="2025-03-24T00:00:00"/>
    <n v="60"/>
    <n v="4"/>
    <n v="9.1999999999999998E-2"/>
    <n v="5.16E-2"/>
    <n v="5"/>
    <s v="Yes"/>
    <s v="Yes"/>
    <n v="0.35"/>
    <n v="1327.3860821917808"/>
    <n v="62.040871232876704"/>
    <n v="1265.3452109589041"/>
    <n v="55"/>
    <x v="804"/>
    <n v="805"/>
  </r>
  <r>
    <s v="SUP068"/>
    <x v="94"/>
    <s v="Europe"/>
    <x v="2"/>
    <s v="Large"/>
    <n v="17196352"/>
    <s v="INV00037"/>
    <n v="67576"/>
    <d v="2025-02-26T00:00:00"/>
    <n v="60"/>
    <n v="5"/>
    <n v="8.1500000000000003E-2"/>
    <n v="5.33E-2"/>
    <n v="6"/>
    <s v="No"/>
    <s v="Yes"/>
    <n v="0.65"/>
    <n v="905.33326027397266"/>
    <n v="59.207684383561634"/>
    <n v="846.12557589041103"/>
    <n v="54"/>
    <x v="805"/>
    <n v="806"/>
  </r>
  <r>
    <s v="SUP116"/>
    <x v="74"/>
    <s v="Canada"/>
    <x v="1"/>
    <s v="Large"/>
    <n v="13972206"/>
    <s v="INV00226"/>
    <n v="58952"/>
    <d v="2025-05-26T00:00:00"/>
    <n v="90"/>
    <n v="7"/>
    <n v="9.5000000000000001E-2"/>
    <n v="5.2999999999999999E-2"/>
    <n v="8"/>
    <s v="No"/>
    <s v="Yes"/>
    <n v="0.5"/>
    <n v="1380.9304109589041"/>
    <n v="68.481227397260284"/>
    <n v="1312.4491835616438"/>
    <n v="82"/>
    <x v="806"/>
    <n v="807"/>
  </r>
  <r>
    <s v="SUP138"/>
    <x v="59"/>
    <s v="Europe"/>
    <x v="2"/>
    <s v="Medium"/>
    <n v="4395110"/>
    <s v="INV01481"/>
    <n v="33402"/>
    <d v="2025-03-05T00:00:00"/>
    <n v="60"/>
    <n v="4"/>
    <n v="0.1066"/>
    <n v="4.9700000000000001E-2"/>
    <n v="6"/>
    <s v="No"/>
    <s v="Yes"/>
    <n v="0.65"/>
    <n v="585.3128547945206"/>
    <n v="27.288976438356162"/>
    <n v="558.02387835616446"/>
    <n v="54"/>
    <x v="807"/>
    <n v="808"/>
  </r>
  <r>
    <s v="SUP045"/>
    <x v="41"/>
    <s v="Canada"/>
    <x v="3"/>
    <s v="Medium"/>
    <n v="6222733"/>
    <s v="INV00626"/>
    <n v="16461"/>
    <d v="2025-11-23T00:00:00"/>
    <n v="30"/>
    <n v="2"/>
    <n v="0.13980000000000001"/>
    <n v="4.6100000000000002E-2"/>
    <n v="10"/>
    <s v="No"/>
    <s v="Yes"/>
    <n v="0.8"/>
    <n v="189.14365479452056"/>
    <n v="20.790468493150687"/>
    <n v="168.35318630136987"/>
    <n v="20"/>
    <x v="808"/>
    <n v="809"/>
  </r>
  <r>
    <s v="SUP101"/>
    <x v="85"/>
    <s v="US"/>
    <x v="1"/>
    <s v="Large"/>
    <n v="16270036"/>
    <s v="INV00312"/>
    <n v="54056"/>
    <d v="2026-01-15T00:00:00"/>
    <n v="45"/>
    <n v="5"/>
    <n v="9.2200000000000004E-2"/>
    <n v="5.7099999999999998E-2"/>
    <n v="5"/>
    <s v="Yes"/>
    <s v="Yes"/>
    <n v="0.65"/>
    <n v="614.46121643835613"/>
    <n v="42.282158904109586"/>
    <n v="572.17905753424657"/>
    <n v="40"/>
    <x v="809"/>
    <n v="810"/>
  </r>
  <r>
    <s v="SUP075"/>
    <x v="11"/>
    <s v="Europe"/>
    <x v="3"/>
    <s v="Small"/>
    <n v="1224427"/>
    <s v="INV00482"/>
    <n v="67082"/>
    <d v="2026-01-20T00:00:00"/>
    <n v="60"/>
    <n v="5"/>
    <n v="0.15670000000000001"/>
    <n v="6.5000000000000002E-2"/>
    <n v="8"/>
    <s v="No"/>
    <s v="Yes"/>
    <n v="0.2"/>
    <n v="1727.9588054794522"/>
    <n v="95.568876712328773"/>
    <n v="1632.3899287671234"/>
    <n v="52"/>
    <x v="810"/>
    <n v="811"/>
  </r>
  <r>
    <s v="SUP056"/>
    <x v="58"/>
    <s v="Europe"/>
    <x v="0"/>
    <s v="Large"/>
    <n v="14943587"/>
    <s v="INV00439"/>
    <n v="79915"/>
    <d v="2025-12-12T00:00:00"/>
    <n v="45"/>
    <n v="2"/>
    <n v="0.1046"/>
    <n v="6.0699999999999997E-2"/>
    <n v="10"/>
    <s v="No"/>
    <s v="Yes"/>
    <n v="0.35"/>
    <n v="1030.5750821917809"/>
    <n v="132.89973972602738"/>
    <n v="897.67534246575349"/>
    <n v="35"/>
    <x v="811"/>
    <n v="812"/>
  </r>
  <r>
    <s v="SUP024"/>
    <x v="15"/>
    <s v="US"/>
    <x v="3"/>
    <s v="Small"/>
    <n v="1439833"/>
    <s v="INV01195"/>
    <n v="18967"/>
    <d v="2025-04-07T00:00:00"/>
    <n v="60"/>
    <n v="4"/>
    <n v="0.17630000000000001"/>
    <n v="4.7E-2"/>
    <n v="8"/>
    <s v="No"/>
    <s v="Yes"/>
    <n v="0.5"/>
    <n v="549.67924931506855"/>
    <n v="19.53860821917808"/>
    <n v="530.14064109589049"/>
    <n v="52"/>
    <x v="812"/>
    <n v="813"/>
  </r>
  <r>
    <s v="SUP123"/>
    <x v="25"/>
    <s v="Mexico"/>
    <x v="3"/>
    <s v="Medium"/>
    <n v="1716971"/>
    <s v="INV00956"/>
    <n v="77984"/>
    <d v="2026-01-13T00:00:00"/>
    <n v="60"/>
    <n v="2"/>
    <n v="9.4600000000000004E-2"/>
    <n v="4.9700000000000001E-2"/>
    <n v="10"/>
    <s v="No"/>
    <s v="Yes"/>
    <n v="0.35"/>
    <n v="1212.7046136986301"/>
    <n v="106.18643287671232"/>
    <n v="1106.5181808219177"/>
    <n v="50"/>
    <x v="813"/>
    <n v="814"/>
  </r>
  <r>
    <s v="SUP097"/>
    <x v="67"/>
    <s v="APAC"/>
    <x v="4"/>
    <s v="Medium"/>
    <n v="6014522"/>
    <s v="INV01074"/>
    <n v="78036"/>
    <d v="2025-03-29T00:00:00"/>
    <n v="60"/>
    <n v="7"/>
    <n v="0.12870000000000001"/>
    <n v="5.0200000000000002E-2"/>
    <n v="6"/>
    <s v="No"/>
    <s v="Yes"/>
    <n v="0.2"/>
    <n v="1650.9424438356164"/>
    <n v="64.39573479452055"/>
    <n v="1586.5467090410957"/>
    <n v="54"/>
    <x v="814"/>
    <n v="815"/>
  </r>
  <r>
    <s v="SUP148"/>
    <x v="105"/>
    <s v="Canada"/>
    <x v="0"/>
    <s v="Medium"/>
    <n v="6247349"/>
    <s v="INV00244"/>
    <n v="54827"/>
    <d v="2025-01-30T00:00:00"/>
    <n v="60"/>
    <n v="10"/>
    <n v="0.1241"/>
    <n v="6.0299999999999999E-2"/>
    <n v="5"/>
    <s v="No"/>
    <s v="Yes"/>
    <n v="0.35"/>
    <n v="1118.4708000000001"/>
    <n v="45.288604109589038"/>
    <n v="1073.1821958904111"/>
    <n v="55"/>
    <x v="815"/>
    <n v="816"/>
  </r>
  <r>
    <s v="SUP085"/>
    <x v="25"/>
    <s v="US"/>
    <x v="2"/>
    <s v="Small"/>
    <n v="1076320"/>
    <s v="INV01235"/>
    <n v="70258"/>
    <d v="2025-03-23T00:00:00"/>
    <n v="30"/>
    <n v="4"/>
    <n v="0.15140000000000001"/>
    <n v="6.4299999999999996E-2"/>
    <n v="8"/>
    <s v="No"/>
    <s v="Yes"/>
    <n v="0.2"/>
    <n v="874.27900273972602"/>
    <n v="99.015658082191777"/>
    <n v="775.26334465753428"/>
    <n v="22"/>
    <x v="816"/>
    <n v="817"/>
  </r>
  <r>
    <s v="SUP014"/>
    <x v="103"/>
    <s v="APAC"/>
    <x v="3"/>
    <s v="Large"/>
    <n v="22396514"/>
    <s v="INV00122"/>
    <n v="51008"/>
    <d v="2025-05-21T00:00:00"/>
    <n v="60"/>
    <n v="10"/>
    <n v="7.5700000000000003E-2"/>
    <n v="4.9099999999999998E-2"/>
    <n v="8"/>
    <s v="No"/>
    <s v="Yes"/>
    <n v="0.9"/>
    <n v="634.73516712328762"/>
    <n v="54.892992876712327"/>
    <n v="579.84217424657527"/>
    <n v="52"/>
    <x v="817"/>
    <n v="818"/>
  </r>
  <r>
    <s v="SUP108"/>
    <x v="101"/>
    <s v="Mexico"/>
    <x v="0"/>
    <s v="Large"/>
    <n v="13513506"/>
    <s v="INV00607"/>
    <n v="41588"/>
    <d v="2025-05-18T00:00:00"/>
    <n v="45"/>
    <n v="7"/>
    <n v="8.1799999999999998E-2"/>
    <n v="4.5100000000000001E-2"/>
    <n v="8"/>
    <s v="No"/>
    <s v="Yes"/>
    <n v="0.8"/>
    <n v="419.41213150684928"/>
    <n v="41.109453150684928"/>
    <n v="378.30267835616434"/>
    <n v="37"/>
    <x v="818"/>
    <n v="819"/>
  </r>
  <r>
    <s v="SUP099"/>
    <x v="40"/>
    <s v="US"/>
    <x v="2"/>
    <s v="Medium"/>
    <n v="6280246"/>
    <s v="INV00285"/>
    <n v="58769"/>
    <d v="2025-04-01T00:00:00"/>
    <n v="45"/>
    <n v="7"/>
    <n v="0.1205"/>
    <n v="6.13E-2"/>
    <n v="8"/>
    <s v="No"/>
    <s v="Yes"/>
    <n v="0.35"/>
    <n v="873.08192465753416"/>
    <n v="78.959774246575336"/>
    <n v="794.12215041095885"/>
    <n v="37"/>
    <x v="819"/>
    <n v="820"/>
  </r>
  <r>
    <s v="SUP075"/>
    <x v="11"/>
    <s v="Europe"/>
    <x v="3"/>
    <s v="Small"/>
    <n v="1224427"/>
    <s v="INV00274"/>
    <n v="14559"/>
    <d v="2025-09-15T00:00:00"/>
    <n v="90"/>
    <n v="10"/>
    <n v="0.15670000000000001"/>
    <n v="5.2200000000000003E-2"/>
    <n v="10"/>
    <s v="No"/>
    <s v="Yes"/>
    <n v="0.8"/>
    <n v="562.53582739726028"/>
    <n v="20.821364383561644"/>
    <n v="541.71446301369861"/>
    <n v="80"/>
    <x v="820"/>
    <n v="821"/>
  </r>
  <r>
    <s v="SUP009"/>
    <x v="104"/>
    <s v="Canada"/>
    <x v="4"/>
    <s v="Large"/>
    <n v="19754920"/>
    <s v="INV00995"/>
    <n v="62264"/>
    <d v="2025-03-11T00:00:00"/>
    <n v="60"/>
    <n v="3"/>
    <n v="8.1100000000000005E-2"/>
    <n v="5.9400000000000001E-2"/>
    <n v="8"/>
    <s v="No"/>
    <s v="Yes"/>
    <n v="0.9"/>
    <n v="830.0729424657535"/>
    <n v="81.062610410958911"/>
    <n v="749.01033205479462"/>
    <n v="52"/>
    <x v="821"/>
    <n v="822"/>
  </r>
  <r>
    <s v="SUP146"/>
    <x v="46"/>
    <s v="US"/>
    <x v="0"/>
    <s v="Large"/>
    <n v="10372464"/>
    <s v="INV00356"/>
    <n v="80039"/>
    <d v="2025-12-06T00:00:00"/>
    <n v="60"/>
    <n v="10"/>
    <n v="8.77E-2"/>
    <n v="5.74E-2"/>
    <n v="8"/>
    <s v="No"/>
    <s v="Yes"/>
    <n v="0.5"/>
    <n v="1153.877309589041"/>
    <n v="100.6956405479452"/>
    <n v="1053.1816690410958"/>
    <n v="52"/>
    <x v="822"/>
    <n v="823"/>
  </r>
  <r>
    <s v="SUP056"/>
    <x v="58"/>
    <s v="Europe"/>
    <x v="0"/>
    <s v="Large"/>
    <n v="14943587"/>
    <s v="INV01444"/>
    <n v="82091"/>
    <d v="2025-05-12T00:00:00"/>
    <n v="60"/>
    <n v="7"/>
    <n v="0.1046"/>
    <n v="6.25E-2"/>
    <n v="5"/>
    <s v="No"/>
    <s v="Yes"/>
    <n v="0.35"/>
    <n v="1411.5153863013697"/>
    <n v="70.283390410958901"/>
    <n v="1341.2319958904109"/>
    <n v="55"/>
    <x v="823"/>
    <n v="824"/>
  </r>
  <r>
    <s v="SUP132"/>
    <x v="62"/>
    <s v="US"/>
    <x v="3"/>
    <s v="Large"/>
    <n v="15029491"/>
    <s v="INV01438"/>
    <n v="88576"/>
    <d v="2025-06-26T00:00:00"/>
    <n v="30"/>
    <n v="4"/>
    <n v="9.8400000000000001E-2"/>
    <n v="5.9400000000000001E-2"/>
    <n v="10"/>
    <s v="No"/>
    <s v="Yes"/>
    <n v="0.35"/>
    <n v="716.37356712328756"/>
    <n v="144.14833972602742"/>
    <n v="572.22522739726014"/>
    <n v="20"/>
    <x v="824"/>
    <n v="825"/>
  </r>
  <r>
    <s v="SUP020"/>
    <x v="75"/>
    <s v="APAC"/>
    <x v="0"/>
    <s v="Large"/>
    <n v="15837870"/>
    <s v="INV00288"/>
    <n v="22198"/>
    <d v="2025-06-21T00:00:00"/>
    <n v="45"/>
    <n v="4"/>
    <n v="0.1089"/>
    <n v="4.8399999999999999E-2"/>
    <n v="5"/>
    <s v="No"/>
    <s v="Yes"/>
    <n v="0.9"/>
    <n v="298.03095616438355"/>
    <n v="14.71757808219178"/>
    <n v="283.31337808219178"/>
    <n v="40"/>
    <x v="825"/>
    <n v="826"/>
  </r>
  <r>
    <s v="SUP022"/>
    <x v="37"/>
    <s v="APAC"/>
    <x v="4"/>
    <s v="Medium"/>
    <n v="6024640"/>
    <s v="INV00806"/>
    <n v="14348"/>
    <d v="2026-01-17T00:00:00"/>
    <n v="30"/>
    <n v="2"/>
    <n v="0.13769999999999999"/>
    <n v="4.53E-2"/>
    <n v="8"/>
    <s v="No"/>
    <s v="Yes"/>
    <n v="0.9"/>
    <n v="162.3879123287671"/>
    <n v="14.24579506849315"/>
    <n v="148.14211726027395"/>
    <n v="22"/>
    <x v="826"/>
    <n v="827"/>
  </r>
  <r>
    <s v="SUP131"/>
    <x v="68"/>
    <s v="US"/>
    <x v="0"/>
    <s v="Medium"/>
    <n v="3916164"/>
    <s v="INV00179"/>
    <n v="100740"/>
    <d v="2025-09-14T00:00:00"/>
    <n v="90"/>
    <n v="4"/>
    <n v="0.1119"/>
    <n v="5.2699999999999997E-2"/>
    <n v="6"/>
    <s v="No"/>
    <s v="Yes"/>
    <n v="0.2"/>
    <n v="2779.596"/>
    <n v="87.271199999999979"/>
    <n v="2692.3247999999999"/>
    <n v="84"/>
    <x v="827"/>
    <n v="828"/>
  </r>
  <r>
    <s v="SUP022"/>
    <x v="37"/>
    <s v="APAC"/>
    <x v="4"/>
    <s v="Medium"/>
    <n v="6024640"/>
    <s v="INV00304"/>
    <n v="37260"/>
    <d v="2025-11-01T00:00:00"/>
    <n v="45"/>
    <n v="5"/>
    <n v="0.13769999999999999"/>
    <n v="4.6600000000000003E-2"/>
    <n v="8"/>
    <s v="Yes"/>
    <s v="Yes"/>
    <n v="0.35"/>
    <n v="632.5523013698629"/>
    <n v="38.056241095890414"/>
    <n v="594.49606027397249"/>
    <n v="37"/>
    <x v="828"/>
    <n v="829"/>
  </r>
  <r>
    <s v="SUP058"/>
    <x v="63"/>
    <s v="Canada"/>
    <x v="1"/>
    <s v="Medium"/>
    <n v="2406772"/>
    <s v="INV01063"/>
    <n v="39784"/>
    <d v="2025-07-06T00:00:00"/>
    <n v="45"/>
    <n v="4"/>
    <n v="0.1091"/>
    <n v="6.3200000000000006E-2"/>
    <n v="5"/>
    <s v="No"/>
    <s v="Yes"/>
    <n v="0.65"/>
    <n v="535.12204931506847"/>
    <n v="34.44313424657534"/>
    <n v="500.6789150684931"/>
    <n v="40"/>
    <x v="829"/>
    <n v="830"/>
  </r>
  <r>
    <s v="SUP141"/>
    <x v="92"/>
    <s v="US"/>
    <x v="2"/>
    <s v="Medium"/>
    <n v="1810544"/>
    <s v="INV00957"/>
    <n v="68164"/>
    <d v="2025-07-12T00:00:00"/>
    <n v="60"/>
    <n v="7"/>
    <n v="9.6299999999999997E-2"/>
    <n v="4.6600000000000003E-2"/>
    <n v="6"/>
    <s v="No"/>
    <s v="Yes"/>
    <n v="0.35"/>
    <n v="1079.0454575342465"/>
    <n v="52.215491506849318"/>
    <n v="1026.8299660273972"/>
    <n v="54"/>
    <x v="830"/>
    <n v="831"/>
  </r>
  <r>
    <s v="SUP020"/>
    <x v="75"/>
    <s v="APAC"/>
    <x v="0"/>
    <s v="Large"/>
    <n v="15837870"/>
    <s v="INV00839"/>
    <n v="94180"/>
    <d v="2025-08-21T00:00:00"/>
    <n v="60"/>
    <n v="2"/>
    <n v="0.1089"/>
    <n v="4.5999999999999999E-2"/>
    <n v="5"/>
    <s v="No"/>
    <s v="Yes"/>
    <n v="0.2"/>
    <n v="1685.9510136986298"/>
    <n v="59.346301369863006"/>
    <n v="1626.6047123287667"/>
    <n v="55"/>
    <x v="831"/>
    <n v="832"/>
  </r>
  <r>
    <s v="SUP150"/>
    <x v="25"/>
    <s v="Europe"/>
    <x v="4"/>
    <s v="Small"/>
    <n v="782629"/>
    <s v="INV00328"/>
    <n v="35741"/>
    <d v="2025-12-15T00:00:00"/>
    <n v="45"/>
    <n v="5"/>
    <n v="0.14219999999999999"/>
    <n v="4.7600000000000003E-2"/>
    <n v="7"/>
    <s v="No"/>
    <s v="Yes"/>
    <n v="0.35"/>
    <n v="626.59358630136978"/>
    <n v="32.627126575342466"/>
    <n v="593.96645972602732"/>
    <n v="38"/>
    <x v="832"/>
    <n v="833"/>
  </r>
  <r>
    <s v="SUP123"/>
    <x v="25"/>
    <s v="Mexico"/>
    <x v="3"/>
    <s v="Medium"/>
    <n v="1716971"/>
    <s v="INV01436"/>
    <n v="32749"/>
    <d v="2025-03-07T00:00:00"/>
    <n v="60"/>
    <n v="4"/>
    <n v="9.4600000000000004E-2"/>
    <n v="5.45E-2"/>
    <n v="8"/>
    <s v="No"/>
    <s v="Yes"/>
    <n v="0.9"/>
    <n v="509.26938082191782"/>
    <n v="39.119353424657533"/>
    <n v="470.15002739726026"/>
    <n v="52"/>
    <x v="833"/>
    <n v="834"/>
  </r>
  <r>
    <s v="SUP065"/>
    <x v="10"/>
    <s v="Mexico"/>
    <x v="3"/>
    <s v="Medium"/>
    <n v="4269919"/>
    <s v="INV01218"/>
    <n v="51586"/>
    <d v="2025-05-09T00:00:00"/>
    <n v="60"/>
    <n v="3"/>
    <n v="0.1212"/>
    <n v="5.6300000000000003E-2"/>
    <n v="7"/>
    <s v="No"/>
    <s v="Yes"/>
    <n v="0.35"/>
    <n v="1027.7627178082191"/>
    <n v="55.698746849315071"/>
    <n v="972.06397095890406"/>
    <n v="53"/>
    <x v="834"/>
    <n v="835"/>
  </r>
  <r>
    <s v="SUP029"/>
    <x v="34"/>
    <s v="US"/>
    <x v="3"/>
    <s v="Small"/>
    <n v="373467"/>
    <s v="INV00168"/>
    <n v="83058"/>
    <d v="2025-07-31T00:00:00"/>
    <n v="90"/>
    <n v="2"/>
    <n v="0.126"/>
    <n v="5.5500000000000001E-2"/>
    <n v="5"/>
    <s v="No"/>
    <s v="Yes"/>
    <n v="0.2"/>
    <n v="2580.486904109589"/>
    <n v="63.146835616438352"/>
    <n v="2517.3400684931507"/>
    <n v="85"/>
    <x v="835"/>
    <n v="836"/>
  </r>
  <r>
    <s v="SUP001"/>
    <x v="20"/>
    <s v="Canada"/>
    <x v="0"/>
    <s v="Medium"/>
    <n v="1709806"/>
    <s v="INV00812"/>
    <n v="18674"/>
    <d v="2025-10-24T00:00:00"/>
    <n v="60"/>
    <n v="2"/>
    <n v="0.12709999999999999"/>
    <n v="5.7599999999999998E-2"/>
    <n v="8"/>
    <s v="No"/>
    <s v="Yes"/>
    <n v="0.9"/>
    <n v="390.15869589041097"/>
    <n v="23.575285479452056"/>
    <n v="366.58341041095889"/>
    <n v="52"/>
    <x v="836"/>
    <n v="837"/>
  </r>
  <r>
    <s v="SUP071"/>
    <x v="72"/>
    <s v="APAC"/>
    <x v="0"/>
    <s v="Large"/>
    <n v="11944379"/>
    <s v="INV00641"/>
    <n v="70891"/>
    <d v="2025-03-02T00:00:00"/>
    <n v="90"/>
    <n v="2"/>
    <n v="7.0999999999999994E-2"/>
    <n v="4.5699999999999998E-2"/>
    <n v="5"/>
    <s v="No"/>
    <s v="Yes"/>
    <n v="0.65"/>
    <n v="1241.0780547945203"/>
    <n v="44.379708219178077"/>
    <n v="1196.6983465753422"/>
    <n v="85"/>
    <x v="837"/>
    <n v="838"/>
  </r>
  <r>
    <s v="SUP087"/>
    <x v="39"/>
    <s v="Europe"/>
    <x v="4"/>
    <s v="Medium"/>
    <n v="4331160"/>
    <s v="INV00525"/>
    <n v="49707"/>
    <d v="2026-01-14T00:00:00"/>
    <n v="30"/>
    <n v="10"/>
    <n v="0.12809999999999999"/>
    <n v="6.1100000000000002E-2"/>
    <n v="7"/>
    <s v="No"/>
    <s v="Yes"/>
    <n v="0.35"/>
    <n v="523.35342739726025"/>
    <n v="58.245709315068503"/>
    <n v="465.10771808219175"/>
    <n v="23"/>
    <x v="838"/>
    <n v="839"/>
  </r>
  <r>
    <s v="SUP131"/>
    <x v="68"/>
    <s v="US"/>
    <x v="0"/>
    <s v="Medium"/>
    <n v="3916164"/>
    <s v="INV00872"/>
    <n v="90579"/>
    <d v="2025-12-11T00:00:00"/>
    <n v="60"/>
    <n v="10"/>
    <n v="0.1119"/>
    <n v="4.7699999999999999E-2"/>
    <n v="5"/>
    <s v="No"/>
    <s v="Yes"/>
    <n v="0.2"/>
    <n v="1666.1572767123287"/>
    <n v="59.186552054794518"/>
    <n v="1606.9707246575342"/>
    <n v="55"/>
    <x v="839"/>
    <n v="840"/>
  </r>
  <r>
    <s v="SUP065"/>
    <x v="10"/>
    <s v="Mexico"/>
    <x v="3"/>
    <s v="Medium"/>
    <n v="4269919"/>
    <s v="INV00507"/>
    <n v="54553"/>
    <d v="2025-10-16T00:00:00"/>
    <n v="60"/>
    <n v="5"/>
    <n v="0.1212"/>
    <n v="6.0299999999999999E-2"/>
    <n v="8"/>
    <s v="No"/>
    <s v="Yes"/>
    <n v="0.35"/>
    <n v="1086.875112328767"/>
    <n v="72.099636164383568"/>
    <n v="1014.7754761643835"/>
    <n v="52"/>
    <x v="840"/>
    <n v="841"/>
  </r>
  <r>
    <s v="SUP134"/>
    <x v="45"/>
    <s v="Europe"/>
    <x v="2"/>
    <s v="Medium"/>
    <n v="3948313"/>
    <s v="INV01479"/>
    <n v="87609"/>
    <d v="2026-02-04T00:00:00"/>
    <n v="45"/>
    <n v="3"/>
    <n v="0.1154"/>
    <n v="4.9099999999999998E-2"/>
    <n v="6"/>
    <s v="Yes"/>
    <s v="Yes"/>
    <n v="0.2"/>
    <n v="1246.4480465753425"/>
    <n v="70.711264109589024"/>
    <n v="1175.7367824657535"/>
    <n v="39"/>
    <x v="841"/>
    <n v="842"/>
  </r>
  <r>
    <s v="SUP078"/>
    <x v="24"/>
    <s v="Mexico"/>
    <x v="4"/>
    <s v="Small"/>
    <n v="412494"/>
    <s v="INV00362"/>
    <n v="51924"/>
    <d v="2026-02-23T00:00:00"/>
    <n v="90"/>
    <n v="7"/>
    <n v="0.15989999999999999"/>
    <n v="4.9099999999999998E-2"/>
    <n v="8"/>
    <s v="No"/>
    <s v="Yes"/>
    <n v="0.2"/>
    <n v="2047.2281753424652"/>
    <n v="55.878759452054787"/>
    <n v="1991.3494158904105"/>
    <n v="82"/>
    <x v="842"/>
    <n v="843"/>
  </r>
  <r>
    <s v="SUP022"/>
    <x v="37"/>
    <s v="APAC"/>
    <x v="4"/>
    <s v="Medium"/>
    <n v="6024640"/>
    <s v="INV00124"/>
    <n v="31198"/>
    <d v="2026-01-18T00:00:00"/>
    <n v="45"/>
    <n v="4"/>
    <n v="0.13769999999999999"/>
    <n v="6.4100000000000004E-2"/>
    <n v="5"/>
    <s v="No"/>
    <s v="Yes"/>
    <n v="0.5"/>
    <n v="529.63947123287664"/>
    <n v="27.394408219178082"/>
    <n v="502.24506301369854"/>
    <n v="40"/>
    <x v="843"/>
    <n v="844"/>
  </r>
  <r>
    <s v="SUP004"/>
    <x v="29"/>
    <s v="Europe"/>
    <x v="4"/>
    <s v="Small"/>
    <n v="1485779"/>
    <s v="INV00944"/>
    <n v="28272"/>
    <d v="2025-04-02T00:00:00"/>
    <n v="60"/>
    <n v="5"/>
    <n v="0.1295"/>
    <n v="4.8399999999999999E-2"/>
    <n v="5"/>
    <s v="No"/>
    <s v="Yes"/>
    <n v="0.5"/>
    <n v="601.84504109589045"/>
    <n v="18.744723287671231"/>
    <n v="583.10031780821919"/>
    <n v="55"/>
    <x v="844"/>
    <n v="845"/>
  </r>
  <r>
    <s v="SUP042"/>
    <x v="93"/>
    <s v="Europe"/>
    <x v="3"/>
    <s v="Large"/>
    <n v="15261617"/>
    <s v="INV00616"/>
    <n v="109180"/>
    <d v="2025-05-14T00:00:00"/>
    <n v="45"/>
    <n v="3"/>
    <n v="9.3200000000000005E-2"/>
    <n v="6.3200000000000006E-2"/>
    <n v="6"/>
    <s v="No"/>
    <s v="Yes"/>
    <n v="0.35"/>
    <n v="1254.5230684931507"/>
    <n v="113.4275506849315"/>
    <n v="1141.0955178082193"/>
    <n v="39"/>
    <x v="845"/>
    <n v="846"/>
  </r>
  <r>
    <s v="SUP126"/>
    <x v="53"/>
    <s v="Europe"/>
    <x v="2"/>
    <s v="Medium"/>
    <n v="4193232"/>
    <s v="INV01437"/>
    <n v="31205"/>
    <d v="2025-03-17T00:00:00"/>
    <n v="60"/>
    <n v="5"/>
    <n v="0.1235"/>
    <n v="5.0099999999999999E-2"/>
    <n v="6"/>
    <s v="Yes"/>
    <s v="Yes"/>
    <n v="0.5"/>
    <n v="633.50424657534245"/>
    <n v="25.699241095890407"/>
    <n v="607.80500547945201"/>
    <n v="54"/>
    <x v="846"/>
    <n v="847"/>
  </r>
  <r>
    <s v="SUP070"/>
    <x v="3"/>
    <s v="Mexico"/>
    <x v="1"/>
    <s v="Medium"/>
    <n v="6809493"/>
    <s v="INV01410"/>
    <n v="47003"/>
    <d v="2025-02-02T00:00:00"/>
    <n v="60"/>
    <n v="10"/>
    <n v="0.121"/>
    <n v="5.1400000000000001E-2"/>
    <n v="6"/>
    <s v="Yes"/>
    <s v="Yes"/>
    <n v="0.35"/>
    <n v="934.90898630136985"/>
    <n v="39.714315616438356"/>
    <n v="895.19467068493145"/>
    <n v="54"/>
    <x v="847"/>
    <n v="848"/>
  </r>
  <r>
    <s v="SUP056"/>
    <x v="58"/>
    <s v="Europe"/>
    <x v="0"/>
    <s v="Large"/>
    <n v="14943587"/>
    <s v="INV00411"/>
    <n v="59692"/>
    <d v="2025-08-17T00:00:00"/>
    <n v="60"/>
    <n v="10"/>
    <n v="0.1046"/>
    <n v="4.9799999999999997E-2"/>
    <n v="10"/>
    <s v="No"/>
    <s v="Yes"/>
    <n v="0.35"/>
    <n v="1026.3753205479452"/>
    <n v="81.442783561643822"/>
    <n v="944.93253698630133"/>
    <n v="50"/>
    <x v="848"/>
    <n v="849"/>
  </r>
  <r>
    <s v="SUP134"/>
    <x v="45"/>
    <s v="Europe"/>
    <x v="2"/>
    <s v="Medium"/>
    <n v="3948313"/>
    <s v="INV00351"/>
    <n v="26920"/>
    <d v="2025-11-29T00:00:00"/>
    <n v="60"/>
    <n v="5"/>
    <n v="0.1154"/>
    <n v="5.04E-2"/>
    <n v="8"/>
    <s v="No"/>
    <s v="Yes"/>
    <n v="0.65"/>
    <n v="510.66871232876713"/>
    <n v="29.73738082191781"/>
    <n v="480.93133150684935"/>
    <n v="52"/>
    <x v="849"/>
    <n v="850"/>
  </r>
  <r>
    <s v="SUP006"/>
    <x v="4"/>
    <s v="Europe"/>
    <x v="3"/>
    <s v="Small"/>
    <n v="971327"/>
    <s v="INV01470"/>
    <n v="55648"/>
    <d v="2025-11-25T00:00:00"/>
    <n v="45"/>
    <n v="10"/>
    <n v="0.15229999999999999"/>
    <n v="5.0200000000000002E-2"/>
    <n v="10"/>
    <s v="No"/>
    <s v="Yes"/>
    <n v="0.2"/>
    <n v="1044.8864876712328"/>
    <n v="76.535057534246576"/>
    <n v="968.35143013698621"/>
    <n v="35"/>
    <x v="850"/>
    <n v="851"/>
  </r>
  <r>
    <s v="SUP049"/>
    <x v="60"/>
    <s v="Mexico"/>
    <x v="1"/>
    <s v="Medium"/>
    <n v="2803992"/>
    <s v="INV00401"/>
    <n v="30671"/>
    <d v="2025-01-28T00:00:00"/>
    <n v="45"/>
    <n v="3"/>
    <n v="0.1036"/>
    <n v="5.7299999999999997E-2"/>
    <n v="7"/>
    <s v="Yes"/>
    <s v="Yes"/>
    <n v="0.8"/>
    <n v="391.74849863013691"/>
    <n v="33.704487945205479"/>
    <n v="358.04401068493144"/>
    <n v="38"/>
    <x v="851"/>
    <n v="852"/>
  </r>
  <r>
    <s v="SUP093"/>
    <x v="48"/>
    <s v="APAC"/>
    <x v="0"/>
    <s v="Small"/>
    <n v="759292"/>
    <s v="INV00085"/>
    <n v="21835"/>
    <d v="2025-12-14T00:00:00"/>
    <n v="60"/>
    <n v="5"/>
    <n v="0.1171"/>
    <n v="5.2299999999999999E-2"/>
    <n v="6"/>
    <s v="No"/>
    <s v="Yes"/>
    <n v="0.8"/>
    <n v="420.30879452054791"/>
    <n v="18.772117808219175"/>
    <n v="401.53667671232876"/>
    <n v="54"/>
    <x v="852"/>
    <n v="853"/>
  </r>
  <r>
    <s v="SUP085"/>
    <x v="25"/>
    <s v="US"/>
    <x v="2"/>
    <s v="Small"/>
    <n v="1076320"/>
    <s v="INV01051"/>
    <n v="30333"/>
    <d v="2025-07-22T00:00:00"/>
    <n v="60"/>
    <n v="5"/>
    <n v="0.15140000000000001"/>
    <n v="4.5100000000000001E-2"/>
    <n v="6"/>
    <s v="Yes"/>
    <s v="Yes"/>
    <n v="0.35"/>
    <n v="754.91773150684935"/>
    <n v="22.487972054794518"/>
    <n v="732.42975945205478"/>
    <n v="54"/>
    <x v="853"/>
    <n v="854"/>
  </r>
  <r>
    <s v="SUP012"/>
    <x v="34"/>
    <s v="Europe"/>
    <x v="4"/>
    <s v="Medium"/>
    <n v="1969242"/>
    <s v="INV00347"/>
    <n v="31548"/>
    <d v="2025-06-01T00:00:00"/>
    <n v="90"/>
    <n v="7"/>
    <n v="0.10150000000000001"/>
    <n v="4.65E-2"/>
    <n v="5"/>
    <s v="No"/>
    <s v="Yes"/>
    <n v="0.65"/>
    <n v="789.56432876712336"/>
    <n v="20.095643835616436"/>
    <n v="769.46868493150691"/>
    <n v="85"/>
    <x v="854"/>
    <n v="855"/>
  </r>
  <r>
    <s v="SUP082"/>
    <x v="70"/>
    <s v="APAC"/>
    <x v="3"/>
    <s v="Medium"/>
    <n v="4450767"/>
    <s v="INV00986"/>
    <n v="43404"/>
    <d v="2026-02-17T00:00:00"/>
    <n v="90"/>
    <n v="10"/>
    <n v="0.10489999999999999"/>
    <n v="5.2999999999999999E-2"/>
    <n v="10"/>
    <s v="Yes"/>
    <s v="Yes"/>
    <n v="0.5"/>
    <n v="1122.6771616438355"/>
    <n v="63.024986301369857"/>
    <n v="1059.6521753424656"/>
    <n v="80"/>
    <x v="855"/>
    <n v="856"/>
  </r>
  <r>
    <s v="SUP086"/>
    <x v="45"/>
    <s v="Mexico"/>
    <x v="1"/>
    <s v="Small"/>
    <n v="1218251"/>
    <s v="INV01290"/>
    <n v="43985"/>
    <d v="2025-08-16T00:00:00"/>
    <n v="60"/>
    <n v="4"/>
    <n v="0.1227"/>
    <n v="4.9599999999999998E-2"/>
    <n v="7"/>
    <s v="No"/>
    <s v="Yes"/>
    <n v="0.35"/>
    <n v="887.1714246575342"/>
    <n v="41.839978082191784"/>
    <n v="845.3314465753424"/>
    <n v="53"/>
    <x v="856"/>
    <n v="857"/>
  </r>
  <r>
    <s v="SUP141"/>
    <x v="92"/>
    <s v="US"/>
    <x v="2"/>
    <s v="Medium"/>
    <n v="1810544"/>
    <s v="INV00771"/>
    <n v="96817"/>
    <d v="2025-01-26T00:00:00"/>
    <n v="60"/>
    <n v="3"/>
    <n v="9.6299999999999997E-2"/>
    <n v="6.3100000000000003E-2"/>
    <n v="8"/>
    <s v="Yes"/>
    <s v="Yes"/>
    <n v="0.35"/>
    <n v="1532.6263726027396"/>
    <n v="133.89923726027399"/>
    <n v="1398.7271353424655"/>
    <n v="52"/>
    <x v="857"/>
    <n v="858"/>
  </r>
  <r>
    <s v="SUP051"/>
    <x v="75"/>
    <s v="Mexico"/>
    <x v="1"/>
    <s v="Large"/>
    <n v="8479307"/>
    <s v="INV00476"/>
    <n v="68418"/>
    <d v="2025-08-12T00:00:00"/>
    <n v="60"/>
    <n v="7"/>
    <n v="7.0099999999999996E-2"/>
    <n v="4.9599999999999998E-2"/>
    <n v="5"/>
    <s v="No"/>
    <s v="Yes"/>
    <n v="0.8"/>
    <n v="788.4002958904108"/>
    <n v="46.486750684931501"/>
    <n v="741.91354520547929"/>
    <n v="55"/>
    <x v="858"/>
    <n v="859"/>
  </r>
  <r>
    <s v="SUP064"/>
    <x v="28"/>
    <s v="Canada"/>
    <x v="4"/>
    <s v="Medium"/>
    <n v="1514188"/>
    <s v="INV00403"/>
    <n v="55365"/>
    <d v="2025-06-12T00:00:00"/>
    <n v="60"/>
    <n v="10"/>
    <n v="0.11600000000000001"/>
    <n v="5.8099999999999999E-2"/>
    <n v="5"/>
    <s v="No"/>
    <s v="Yes"/>
    <n v="0.35"/>
    <n v="1055.7271232876712"/>
    <n v="44.06447260273972"/>
    <n v="1011.6626506849316"/>
    <n v="55"/>
    <x v="859"/>
    <n v="860"/>
  </r>
  <r>
    <s v="SUP144"/>
    <x v="97"/>
    <s v="APAC"/>
    <x v="0"/>
    <s v="Large"/>
    <n v="24905394"/>
    <s v="INV00637"/>
    <n v="96813"/>
    <d v="2025-11-28T00:00:00"/>
    <n v="30"/>
    <n v="7"/>
    <n v="8.5199999999999998E-2"/>
    <n v="6.2100000000000002E-2"/>
    <n v="7"/>
    <s v="Yes"/>
    <s v="Yes"/>
    <n v="0.5"/>
    <n v="677.95624109589039"/>
    <n v="115.30030438356165"/>
    <n v="562.65593671232875"/>
    <n v="23"/>
    <x v="860"/>
    <n v="861"/>
  </r>
  <r>
    <s v="SUP135"/>
    <x v="50"/>
    <s v="Canada"/>
    <x v="0"/>
    <s v="Small"/>
    <n v="1406086"/>
    <s v="INV00760"/>
    <n v="74288"/>
    <d v="2025-12-20T00:00:00"/>
    <n v="60"/>
    <n v="4"/>
    <n v="0.1201"/>
    <n v="4.5400000000000003E-2"/>
    <n v="10"/>
    <s v="Yes"/>
    <s v="Yes"/>
    <n v="0.2"/>
    <n v="1466.6282958904108"/>
    <n v="92.402060273972594"/>
    <n v="1374.2262356164381"/>
    <n v="50"/>
    <x v="861"/>
    <n v="862"/>
  </r>
  <r>
    <s v="SUP047"/>
    <x v="35"/>
    <s v="US"/>
    <x v="3"/>
    <s v="Medium"/>
    <n v="6056843"/>
    <s v="INV00911"/>
    <n v="33945"/>
    <d v="2025-12-31T00:00:00"/>
    <n v="60"/>
    <n v="10"/>
    <n v="0.12520000000000001"/>
    <n v="0.06"/>
    <n v="7"/>
    <s v="No"/>
    <s v="Yes"/>
    <n v="0.5"/>
    <n v="698.61599999999987"/>
    <n v="39.059999999999995"/>
    <n v="659.55599999999993"/>
    <n v="53"/>
    <x v="862"/>
    <n v="863"/>
  </r>
  <r>
    <s v="SUP114"/>
    <x v="77"/>
    <s v="Europe"/>
    <x v="2"/>
    <s v="Medium"/>
    <n v="6687670"/>
    <s v="INV01216"/>
    <n v="105480"/>
    <d v="2025-08-31T00:00:00"/>
    <n v="45"/>
    <n v="10"/>
    <n v="0.1013"/>
    <n v="4.8899999999999999E-2"/>
    <n v="10"/>
    <s v="No"/>
    <s v="Yes"/>
    <n v="0.2"/>
    <n v="1317.3440547945204"/>
    <n v="141.31430136986299"/>
    <n v="1176.0297534246574"/>
    <n v="35"/>
    <x v="863"/>
    <n v="864"/>
  </r>
  <r>
    <s v="SUP023"/>
    <x v="19"/>
    <s v="Canada"/>
    <x v="0"/>
    <s v="Medium"/>
    <n v="2438415"/>
    <s v="INV01285"/>
    <n v="16083"/>
    <d v="2025-04-19T00:00:00"/>
    <n v="45"/>
    <n v="2"/>
    <n v="0.13650000000000001"/>
    <n v="5.0799999999999998E-2"/>
    <n v="6"/>
    <s v="No"/>
    <s v="Yes"/>
    <n v="0.8"/>
    <n v="270.65706164383562"/>
    <n v="13.430406575342465"/>
    <n v="257.22665506849313"/>
    <n v="39"/>
    <x v="864"/>
    <n v="865"/>
  </r>
  <r>
    <s v="SUP009"/>
    <x v="104"/>
    <s v="Canada"/>
    <x v="4"/>
    <s v="Large"/>
    <n v="19754920"/>
    <s v="INV00156"/>
    <n v="61958"/>
    <d v="2025-08-31T00:00:00"/>
    <n v="60"/>
    <n v="4"/>
    <n v="8.1100000000000005E-2"/>
    <n v="5.8900000000000001E-2"/>
    <n v="8"/>
    <s v="Yes"/>
    <s v="Yes"/>
    <n v="0.8"/>
    <n v="825.993501369863"/>
    <n v="79.98523178082192"/>
    <n v="746.00826958904111"/>
    <n v="52"/>
    <x v="865"/>
    <n v="866"/>
  </r>
  <r>
    <s v="SUP047"/>
    <x v="35"/>
    <s v="US"/>
    <x v="3"/>
    <s v="Medium"/>
    <n v="6056843"/>
    <s v="INV01262"/>
    <n v="90959"/>
    <d v="2025-12-03T00:00:00"/>
    <n v="60"/>
    <n v="3"/>
    <n v="0.12520000000000001"/>
    <n v="6.5000000000000002E-2"/>
    <n v="6"/>
    <s v="No"/>
    <s v="Yes"/>
    <n v="0.2"/>
    <n v="1872.0109808219179"/>
    <n v="97.189068493150671"/>
    <n v="1774.8219123287672"/>
    <n v="54"/>
    <x v="866"/>
    <n v="867"/>
  </r>
  <r>
    <s v="SUP060"/>
    <x v="1"/>
    <s v="Mexico"/>
    <x v="3"/>
    <s v="Medium"/>
    <n v="4842575"/>
    <s v="INV01485"/>
    <n v="37032"/>
    <d v="2025-01-09T00:00:00"/>
    <n v="45"/>
    <n v="2"/>
    <n v="0.10639999999999999"/>
    <n v="6.0999999999999999E-2"/>
    <n v="7"/>
    <s v="No"/>
    <s v="Yes"/>
    <n v="0.65"/>
    <n v="485.77867397260269"/>
    <n v="43.32236712328767"/>
    <n v="442.45630684931501"/>
    <n v="38"/>
    <x v="867"/>
    <n v="868"/>
  </r>
  <r>
    <s v="SUP150"/>
    <x v="25"/>
    <s v="Europe"/>
    <x v="4"/>
    <s v="Small"/>
    <n v="782629"/>
    <s v="INV00798"/>
    <n v="67452"/>
    <d v="2025-01-21T00:00:00"/>
    <n v="30"/>
    <n v="5"/>
    <n v="0.14219999999999999"/>
    <n v="6.1199999999999997E-2"/>
    <n v="10"/>
    <s v="Yes"/>
    <s v="Yes"/>
    <n v="0.2"/>
    <n v="788.35679999999991"/>
    <n v="113.09759999999999"/>
    <n v="675.25919999999996"/>
    <n v="20"/>
    <x v="868"/>
    <n v="869"/>
  </r>
  <r>
    <s v="SUP087"/>
    <x v="39"/>
    <s v="Europe"/>
    <x v="4"/>
    <s v="Medium"/>
    <n v="4331160"/>
    <s v="INV00937"/>
    <n v="68633"/>
    <d v="2025-05-03T00:00:00"/>
    <n v="60"/>
    <n v="10"/>
    <n v="0.12809999999999999"/>
    <n v="4.87E-2"/>
    <n v="10"/>
    <s v="Yes"/>
    <s v="Yes"/>
    <n v="0.2"/>
    <n v="1445.2417479452054"/>
    <n v="91.573345205479441"/>
    <n v="1353.6684027397259"/>
    <n v="50"/>
    <x v="869"/>
    <n v="870"/>
  </r>
  <r>
    <s v="SUP108"/>
    <x v="101"/>
    <s v="Mexico"/>
    <x v="0"/>
    <s v="Large"/>
    <n v="13513506"/>
    <s v="INV01007"/>
    <n v="100853"/>
    <d v="2025-12-23T00:00:00"/>
    <n v="60"/>
    <n v="4"/>
    <n v="8.1799999999999998E-2"/>
    <n v="6.0199999999999997E-2"/>
    <n v="8"/>
    <s v="Yes"/>
    <s v="Yes"/>
    <n v="0.5"/>
    <n v="1356.1274630136986"/>
    <n v="133.07069808219177"/>
    <n v="1223.0567649315069"/>
    <n v="52"/>
    <x v="870"/>
    <n v="871"/>
  </r>
  <r>
    <s v="SUP064"/>
    <x v="28"/>
    <s v="Canada"/>
    <x v="4"/>
    <s v="Medium"/>
    <n v="1514188"/>
    <s v="INV00690"/>
    <n v="102327"/>
    <d v="2025-07-25T00:00:00"/>
    <n v="45"/>
    <n v="5"/>
    <n v="0.11600000000000001"/>
    <n v="6.3E-2"/>
    <n v="6"/>
    <s v="No"/>
    <s v="Yes"/>
    <n v="0.2"/>
    <n v="1463.4162739726028"/>
    <n v="105.97152328767122"/>
    <n v="1357.4447506849315"/>
    <n v="39"/>
    <x v="871"/>
    <n v="872"/>
  </r>
  <r>
    <s v="SUP108"/>
    <x v="101"/>
    <s v="Mexico"/>
    <x v="0"/>
    <s v="Large"/>
    <n v="13513506"/>
    <s v="INV01090"/>
    <n v="41401"/>
    <d v="2025-07-16T00:00:00"/>
    <n v="30"/>
    <n v="5"/>
    <n v="8.1799999999999998E-2"/>
    <n v="5.2699999999999997E-2"/>
    <n v="7"/>
    <s v="No"/>
    <s v="Yes"/>
    <n v="0.9"/>
    <n v="278.35083287671233"/>
    <n v="41.843366849315068"/>
    <n v="236.50746602739727"/>
    <n v="23"/>
    <x v="872"/>
    <n v="873"/>
  </r>
  <r>
    <s v="SUP126"/>
    <x v="53"/>
    <s v="Europe"/>
    <x v="2"/>
    <s v="Medium"/>
    <n v="4193232"/>
    <s v="INV00998"/>
    <n v="42587"/>
    <d v="2026-01-17T00:00:00"/>
    <n v="45"/>
    <n v="2"/>
    <n v="0.1235"/>
    <n v="5.0799999999999998E-2"/>
    <n v="5"/>
    <s v="Yes"/>
    <s v="Yes"/>
    <n v="0.35"/>
    <n v="648.43082876712322"/>
    <n v="29.635884931506844"/>
    <n v="618.79494383561632"/>
    <n v="40"/>
    <x v="873"/>
    <n v="874"/>
  </r>
  <r>
    <s v="SUP105"/>
    <x v="81"/>
    <s v="Canada"/>
    <x v="4"/>
    <s v="Medium"/>
    <n v="3772612"/>
    <s v="INV00512"/>
    <n v="30141"/>
    <d v="2025-10-19T00:00:00"/>
    <n v="45"/>
    <n v="7"/>
    <n v="0.1053"/>
    <n v="0.05"/>
    <n v="7"/>
    <s v="No"/>
    <s v="Yes"/>
    <n v="0.65"/>
    <n v="391.29624246575344"/>
    <n v="28.902328767123294"/>
    <n v="362.39391369863017"/>
    <n v="38"/>
    <x v="874"/>
    <n v="875"/>
  </r>
  <r>
    <s v="SUP148"/>
    <x v="105"/>
    <s v="Canada"/>
    <x v="0"/>
    <s v="Medium"/>
    <n v="6247349"/>
    <s v="INV00412"/>
    <n v="32869"/>
    <d v="2025-01-21T00:00:00"/>
    <n v="45"/>
    <n v="7"/>
    <n v="0.1241"/>
    <n v="5.8200000000000002E-2"/>
    <n v="6"/>
    <s v="No"/>
    <s v="Yes"/>
    <n v="0.5"/>
    <n v="502.89569999999998"/>
    <n v="31.446177534246576"/>
    <n v="471.44952246575338"/>
    <n v="39"/>
    <x v="875"/>
    <n v="876"/>
  </r>
  <r>
    <s v="SUP017"/>
    <x v="70"/>
    <s v="APAC"/>
    <x v="2"/>
    <s v="Medium"/>
    <n v="5041335"/>
    <s v="INV00982"/>
    <n v="94160"/>
    <d v="2025-05-22T00:00:00"/>
    <n v="90"/>
    <n v="2"/>
    <n v="0.1198"/>
    <n v="6.2399999999999997E-2"/>
    <n v="6"/>
    <s v="Yes"/>
    <s v="Yes"/>
    <n v="0.2"/>
    <n v="2781.4606027397258"/>
    <n v="96.584942465753414"/>
    <n v="2684.8756602739722"/>
    <n v="84"/>
    <x v="876"/>
    <n v="877"/>
  </r>
  <r>
    <s v="SUP091"/>
    <x v="64"/>
    <s v="Canada"/>
    <x v="4"/>
    <s v="Medium"/>
    <n v="3649528"/>
    <s v="INV00753"/>
    <n v="84182"/>
    <d v="2025-06-10T00:00:00"/>
    <n v="45"/>
    <n v="2"/>
    <n v="0.1283"/>
    <n v="6.4299999999999996E-2"/>
    <n v="8"/>
    <s v="No"/>
    <s v="Yes"/>
    <n v="0.2"/>
    <n v="1331.5747315068493"/>
    <n v="118.63896109589039"/>
    <n v="1212.9357704109589"/>
    <n v="37"/>
    <x v="877"/>
    <n v="878"/>
  </r>
  <r>
    <s v="SUP005"/>
    <x v="13"/>
    <s v="US"/>
    <x v="2"/>
    <s v="Small"/>
    <n v="701545"/>
    <s v="INV01399"/>
    <n v="45795"/>
    <d v="2025-03-04T00:00:00"/>
    <n v="45"/>
    <n v="7"/>
    <n v="0.17699999999999999"/>
    <n v="5.96E-2"/>
    <n v="8"/>
    <s v="No"/>
    <s v="Yes"/>
    <n v="0.2"/>
    <n v="999.3347260273971"/>
    <n v="59.822071232876716"/>
    <n v="939.51265479452036"/>
    <n v="37"/>
    <x v="878"/>
    <n v="879"/>
  </r>
  <r>
    <s v="SUP079"/>
    <x v="55"/>
    <s v="Canada"/>
    <x v="1"/>
    <s v="Large"/>
    <n v="9703738"/>
    <s v="INV01428"/>
    <n v="44094"/>
    <d v="2025-08-29T00:00:00"/>
    <n v="60"/>
    <n v="2"/>
    <n v="7.5499999999999998E-2"/>
    <n v="4.5100000000000001E-2"/>
    <n v="5"/>
    <s v="No"/>
    <s v="Yes"/>
    <n v="0.8"/>
    <n v="547.24882191780819"/>
    <n v="27.241635616438355"/>
    <n v="520.00718630136987"/>
    <n v="55"/>
    <x v="879"/>
    <n v="880"/>
  </r>
  <r>
    <s v="SUP024"/>
    <x v="15"/>
    <s v="US"/>
    <x v="3"/>
    <s v="Small"/>
    <n v="1439833"/>
    <s v="INV00450"/>
    <n v="46787"/>
    <d v="2025-02-10T00:00:00"/>
    <n v="45"/>
    <n v="3"/>
    <n v="0.17630000000000001"/>
    <n v="6.1699999999999998E-2"/>
    <n v="10"/>
    <s v="No"/>
    <s v="Yes"/>
    <n v="0.2"/>
    <n v="1016.9442863013699"/>
    <n v="79.08925753424657"/>
    <n v="937.85502876712326"/>
    <n v="35"/>
    <x v="880"/>
    <n v="881"/>
  </r>
  <r>
    <s v="SUP087"/>
    <x v="39"/>
    <s v="Europe"/>
    <x v="4"/>
    <s v="Medium"/>
    <n v="4331160"/>
    <s v="INV01215"/>
    <n v="44955"/>
    <d v="2025-02-14T00:00:00"/>
    <n v="45"/>
    <n v="4"/>
    <n v="0.12809999999999999"/>
    <n v="6.0699999999999997E-2"/>
    <n v="10"/>
    <s v="No"/>
    <s v="Yes"/>
    <n v="0.35"/>
    <n v="709.98108904109586"/>
    <n v="74.760780821917791"/>
    <n v="635.22030821917804"/>
    <n v="35"/>
    <x v="881"/>
    <n v="882"/>
  </r>
  <r>
    <s v="SUP146"/>
    <x v="46"/>
    <s v="US"/>
    <x v="0"/>
    <s v="Large"/>
    <n v="10372464"/>
    <s v="INV00967"/>
    <n v="51351"/>
    <d v="2025-05-26T00:00:00"/>
    <n v="60"/>
    <n v="3"/>
    <n v="8.77E-2"/>
    <n v="5.6099999999999997E-2"/>
    <n v="6"/>
    <s v="No"/>
    <s v="Yes"/>
    <n v="0.65"/>
    <n v="740.2985260273972"/>
    <n v="47.355470136986298"/>
    <n v="692.94305589041096"/>
    <n v="54"/>
    <x v="882"/>
    <n v="883"/>
  </r>
  <r>
    <s v="SUP003"/>
    <x v="16"/>
    <s v="APAC"/>
    <x v="2"/>
    <s v="Small"/>
    <n v="1309806"/>
    <s v="INV01181"/>
    <n v="53048"/>
    <d v="2025-07-11T00:00:00"/>
    <n v="60"/>
    <n v="2"/>
    <n v="0.15210000000000001"/>
    <n v="5.2900000000000003E-2"/>
    <n v="8"/>
    <s v="No"/>
    <s v="Yes"/>
    <n v="0.2"/>
    <n v="1326.3453369863014"/>
    <n v="61.506612602739729"/>
    <n v="1264.8387243835616"/>
    <n v="52"/>
    <x v="883"/>
    <n v="884"/>
  </r>
  <r>
    <s v="SUP103"/>
    <x v="79"/>
    <s v="Mexico"/>
    <x v="3"/>
    <s v="Medium"/>
    <n v="2280589"/>
    <s v="INV00729"/>
    <n v="100880"/>
    <d v="2026-01-25T00:00:00"/>
    <n v="30"/>
    <n v="3"/>
    <n v="0.1047"/>
    <n v="5.2699999999999997E-2"/>
    <n v="7"/>
    <s v="Yes"/>
    <s v="Yes"/>
    <n v="0.2"/>
    <n v="868.12076712328769"/>
    <n v="101.95789589041095"/>
    <n v="766.1628712328768"/>
    <n v="23"/>
    <x v="884"/>
    <n v="885"/>
  </r>
  <r>
    <s v="SUP097"/>
    <x v="67"/>
    <s v="APAC"/>
    <x v="4"/>
    <s v="Medium"/>
    <n v="6014522"/>
    <s v="INV00090"/>
    <n v="28074"/>
    <d v="2025-12-08T00:00:00"/>
    <n v="45"/>
    <n v="2"/>
    <n v="0.12870000000000001"/>
    <n v="5.3999999999999999E-2"/>
    <n v="8"/>
    <s v="No"/>
    <s v="Yes"/>
    <n v="0.5"/>
    <n v="445.45361917808219"/>
    <n v="33.227309589041099"/>
    <n v="412.22630958904108"/>
    <n v="37"/>
    <x v="885"/>
    <n v="886"/>
  </r>
  <r>
    <s v="SUP113"/>
    <x v="81"/>
    <s v="APAC"/>
    <x v="2"/>
    <s v="Large"/>
    <n v="17195029"/>
    <s v="INV00416"/>
    <n v="89028"/>
    <d v="2025-06-30T00:00:00"/>
    <n v="60"/>
    <n v="2"/>
    <n v="7.3400000000000007E-2"/>
    <n v="5.5300000000000002E-2"/>
    <n v="8"/>
    <s v="No"/>
    <s v="Yes"/>
    <n v="0.65"/>
    <n v="1074.189895890411"/>
    <n v="107.90681424657535"/>
    <n v="966.28308164383566"/>
    <n v="52"/>
    <x v="886"/>
    <n v="887"/>
  </r>
  <r>
    <s v="SUP034"/>
    <x v="15"/>
    <s v="APAC"/>
    <x v="0"/>
    <s v="Medium"/>
    <n v="3836607"/>
    <s v="INV00594"/>
    <n v="20658"/>
    <d v="2025-05-01T00:00:00"/>
    <n v="60"/>
    <n v="10"/>
    <n v="0.11310000000000001"/>
    <n v="5.6800000000000003E-2"/>
    <n v="8"/>
    <s v="No"/>
    <s v="Yes"/>
    <n v="0.9"/>
    <n v="384.0690082191781"/>
    <n v="25.717795068493153"/>
    <n v="358.35121315068494"/>
    <n v="52"/>
    <x v="887"/>
    <n v="888"/>
  </r>
  <r>
    <s v="SUP027"/>
    <x v="99"/>
    <s v="US"/>
    <x v="1"/>
    <s v="Large"/>
    <n v="19529913"/>
    <s v="INV01323"/>
    <n v="65714"/>
    <d v="2025-03-08T00:00:00"/>
    <n v="45"/>
    <n v="3"/>
    <n v="8.7499999999999994E-2"/>
    <n v="5.57E-2"/>
    <n v="5"/>
    <s v="No"/>
    <s v="Yes"/>
    <n v="0.5"/>
    <n v="708.90102739726012"/>
    <n v="50.140682191780819"/>
    <n v="658.76034520547933"/>
    <n v="40"/>
    <x v="888"/>
    <n v="889"/>
  </r>
  <r>
    <s v="SUP086"/>
    <x v="45"/>
    <s v="Mexico"/>
    <x v="1"/>
    <s v="Small"/>
    <n v="1218251"/>
    <s v="INV00889"/>
    <n v="87882"/>
    <d v="2026-02-05T00:00:00"/>
    <n v="45"/>
    <n v="2"/>
    <n v="0.1227"/>
    <n v="6.3299999999999995E-2"/>
    <n v="8"/>
    <s v="No"/>
    <s v="Yes"/>
    <n v="0.2"/>
    <n v="1329.4259260273973"/>
    <n v="121.92724602739726"/>
    <n v="1207.4986799999999"/>
    <n v="37"/>
    <x v="889"/>
    <n v="890"/>
  </r>
  <r>
    <s v="SUP145"/>
    <x v="32"/>
    <s v="US"/>
    <x v="2"/>
    <s v="Medium"/>
    <n v="3469396"/>
    <s v="INV00335"/>
    <n v="68233"/>
    <d v="2025-06-14T00:00:00"/>
    <n v="90"/>
    <n v="5"/>
    <n v="0.1216"/>
    <n v="4.5100000000000001E-2"/>
    <n v="10"/>
    <s v="Yes"/>
    <s v="Yes"/>
    <n v="0.2"/>
    <n v="2045.8683616438354"/>
    <n v="84.309816438356165"/>
    <n v="1961.5585452054793"/>
    <n v="80"/>
    <x v="890"/>
    <n v="891"/>
  </r>
  <r>
    <s v="SUP030"/>
    <x v="78"/>
    <s v="Canada"/>
    <x v="2"/>
    <s v="Small"/>
    <n v="1267987"/>
    <s v="INV00914"/>
    <n v="67708"/>
    <d v="2025-06-01T00:00:00"/>
    <n v="90"/>
    <n v="7"/>
    <n v="0.125"/>
    <n v="4.8099999999999997E-2"/>
    <n v="7"/>
    <s v="No"/>
    <s v="Yes"/>
    <n v="0.2"/>
    <n v="2086.8904109589039"/>
    <n v="62.45831123287671"/>
    <n v="2024.4320997260272"/>
    <n v="83"/>
    <x v="891"/>
    <n v="892"/>
  </r>
  <r>
    <s v="SUP099"/>
    <x v="40"/>
    <s v="US"/>
    <x v="2"/>
    <s v="Medium"/>
    <n v="6280246"/>
    <s v="INV00848"/>
    <n v="27842"/>
    <d v="2025-06-05T00:00:00"/>
    <n v="60"/>
    <n v="4"/>
    <n v="0.1205"/>
    <n v="4.58E-2"/>
    <n v="6"/>
    <s v="Yes"/>
    <s v="Yes"/>
    <n v="0.5"/>
    <n v="551.5004383561643"/>
    <n v="20.961593424657533"/>
    <n v="530.53884493150679"/>
    <n v="54"/>
    <x v="892"/>
    <n v="893"/>
  </r>
  <r>
    <s v="SUP036"/>
    <x v="21"/>
    <s v="Europe"/>
    <x v="0"/>
    <s v="Medium"/>
    <n v="3293043"/>
    <s v="INV00775"/>
    <n v="40254"/>
    <d v="2025-01-15T00:00:00"/>
    <n v="90"/>
    <n v="4"/>
    <n v="0.13320000000000001"/>
    <n v="5.9499999999999997E-2"/>
    <n v="6"/>
    <s v="No"/>
    <s v="Yes"/>
    <n v="0.35"/>
    <n v="1322.0957589041095"/>
    <n v="39.371720547945202"/>
    <n v="1282.7240383561643"/>
    <n v="84"/>
    <x v="893"/>
    <n v="894"/>
  </r>
  <r>
    <s v="SUP146"/>
    <x v="46"/>
    <s v="US"/>
    <x v="0"/>
    <s v="Large"/>
    <n v="10372464"/>
    <s v="INV01187"/>
    <n v="76238"/>
    <d v="2025-12-31T00:00:00"/>
    <n v="90"/>
    <n v="4"/>
    <n v="8.77E-2"/>
    <n v="6.0499999999999998E-2"/>
    <n v="8"/>
    <s v="Yes"/>
    <s v="Yes"/>
    <n v="0.5"/>
    <n v="1648.6206410958905"/>
    <n v="101.09367671232876"/>
    <n v="1547.5269643835618"/>
    <n v="82"/>
    <x v="894"/>
    <n v="895"/>
  </r>
  <r>
    <s v="SUP034"/>
    <x v="15"/>
    <s v="APAC"/>
    <x v="0"/>
    <s v="Medium"/>
    <n v="3836607"/>
    <s v="INV00195"/>
    <n v="21064"/>
    <d v="2025-03-20T00:00:00"/>
    <n v="60"/>
    <n v="5"/>
    <n v="0.11310000000000001"/>
    <n v="5.8500000000000003E-2"/>
    <n v="6"/>
    <s v="No"/>
    <s v="Yes"/>
    <n v="0.9"/>
    <n v="391.6172712328767"/>
    <n v="20.256065753424657"/>
    <n v="371.36120547945205"/>
    <n v="54"/>
    <x v="895"/>
    <n v="896"/>
  </r>
  <r>
    <s v="SUP140"/>
    <x v="30"/>
    <s v="Europe"/>
    <x v="1"/>
    <s v="Small"/>
    <n v="1241903"/>
    <s v="INV01259"/>
    <n v="27465"/>
    <d v="2025-02-17T00:00:00"/>
    <n v="90"/>
    <n v="4"/>
    <n v="0.15939999999999999"/>
    <n v="5.1999999999999998E-2"/>
    <n v="7"/>
    <s v="No"/>
    <s v="Yes"/>
    <n v="0.35"/>
    <n v="1079.4873698630136"/>
    <n v="27.389753424657531"/>
    <n v="1052.097616438356"/>
    <n v="83"/>
    <x v="896"/>
    <n v="897"/>
  </r>
  <r>
    <s v="SUP079"/>
    <x v="55"/>
    <s v="Canada"/>
    <x v="1"/>
    <s v="Large"/>
    <n v="9703738"/>
    <s v="INV00674"/>
    <n v="104974"/>
    <d v="2026-01-21T00:00:00"/>
    <n v="60"/>
    <n v="3"/>
    <n v="7.5499999999999998E-2"/>
    <n v="6.4600000000000005E-2"/>
    <n v="6"/>
    <s v="No"/>
    <s v="Yes"/>
    <n v="0.9"/>
    <n v="1302.8279999999997"/>
    <n v="111.47376"/>
    <n v="1191.3542399999997"/>
    <n v="54"/>
    <x v="897"/>
    <n v="898"/>
  </r>
  <r>
    <s v="SUP131"/>
    <x v="68"/>
    <s v="US"/>
    <x v="0"/>
    <s v="Medium"/>
    <n v="3916164"/>
    <s v="INV00463"/>
    <n v="38077"/>
    <d v="2025-12-11T00:00:00"/>
    <n v="60"/>
    <n v="10"/>
    <n v="0.1119"/>
    <n v="5.8000000000000003E-2"/>
    <n v="6"/>
    <s v="No"/>
    <s v="Yes"/>
    <n v="0.5"/>
    <n v="700.40815890410965"/>
    <n v="36.303550684931501"/>
    <n v="664.1046082191782"/>
    <n v="54"/>
    <x v="898"/>
    <n v="899"/>
  </r>
  <r>
    <s v="SUP115"/>
    <x v="0"/>
    <s v="APAC"/>
    <x v="0"/>
    <s v="Small"/>
    <n v="1484226"/>
    <s v="INV00843"/>
    <n v="24843"/>
    <d v="2025-09-01T00:00:00"/>
    <n v="45"/>
    <n v="5"/>
    <n v="0.17929999999999999"/>
    <n v="6.1600000000000002E-2"/>
    <n v="5"/>
    <s v="Yes"/>
    <s v="Yes"/>
    <n v="0.35"/>
    <n v="549.16642602739716"/>
    <n v="20.963408219178081"/>
    <n v="528.2030178082191"/>
    <n v="40"/>
    <x v="899"/>
    <n v="900"/>
  </r>
  <r>
    <s v="SUP084"/>
    <x v="18"/>
    <s v="APAC"/>
    <x v="3"/>
    <s v="Small"/>
    <n v="1097913"/>
    <s v="INV01311"/>
    <n v="48190"/>
    <d v="2025-08-10T00:00:00"/>
    <n v="60"/>
    <n v="10"/>
    <n v="0.16070000000000001"/>
    <n v="5.5300000000000002E-2"/>
    <n v="5"/>
    <s v="No"/>
    <s v="Yes"/>
    <n v="0.2"/>
    <n v="1273.0081643835617"/>
    <n v="36.505575342465754"/>
    <n v="1236.5025890410959"/>
    <n v="55"/>
    <x v="900"/>
    <n v="901"/>
  </r>
  <r>
    <s v="SUP107"/>
    <x v="59"/>
    <s v="APAC"/>
    <x v="4"/>
    <s v="Medium"/>
    <n v="3819447"/>
    <s v="INV01347"/>
    <n v="20788"/>
    <d v="2025-06-19T00:00:00"/>
    <n v="90"/>
    <n v="2"/>
    <n v="0.12620000000000001"/>
    <n v="5.1200000000000002E-2"/>
    <n v="6"/>
    <s v="Yes"/>
    <s v="Yes"/>
    <n v="0.65"/>
    <n v="646.87699726027392"/>
    <n v="17.49609205479452"/>
    <n v="629.38090520547939"/>
    <n v="84"/>
    <x v="901"/>
    <n v="902"/>
  </r>
  <r>
    <s v="SUP120"/>
    <x v="19"/>
    <s v="APAC"/>
    <x v="3"/>
    <s v="Large"/>
    <n v="9396117"/>
    <s v="INV00621"/>
    <n v="46422"/>
    <d v="2025-12-16T00:00:00"/>
    <n v="45"/>
    <n v="5"/>
    <n v="7.2400000000000006E-2"/>
    <n v="4.5199999999999997E-2"/>
    <n v="8"/>
    <s v="No"/>
    <s v="Yes"/>
    <n v="0.8"/>
    <n v="414.36404383561649"/>
    <n v="45.989575890410954"/>
    <n v="368.37446794520554"/>
    <n v="37"/>
    <x v="902"/>
    <n v="903"/>
  </r>
  <r>
    <s v="SUP062"/>
    <x v="89"/>
    <s v="Mexico"/>
    <x v="4"/>
    <s v="Medium"/>
    <n v="3726894"/>
    <s v="INV00217"/>
    <n v="106238"/>
    <d v="2025-06-02T00:00:00"/>
    <n v="60"/>
    <n v="3"/>
    <n v="9.1899999999999996E-2"/>
    <n v="6.4799999999999996E-2"/>
    <n v="5"/>
    <s v="No"/>
    <s v="Yes"/>
    <n v="0.35"/>
    <n v="1604.9214575342464"/>
    <n v="94.304416438356157"/>
    <n v="1510.6170410958903"/>
    <n v="55"/>
    <x v="903"/>
    <n v="904"/>
  </r>
  <r>
    <s v="SUP013"/>
    <x v="7"/>
    <s v="Europe"/>
    <x v="2"/>
    <s v="Small"/>
    <n v="1439462"/>
    <s v="INV00810"/>
    <n v="23284"/>
    <d v="2026-01-14T00:00:00"/>
    <n v="60"/>
    <n v="5"/>
    <n v="0.17130000000000001"/>
    <n v="4.8000000000000001E-2"/>
    <n v="8"/>
    <s v="Yes"/>
    <s v="Yes"/>
    <n v="0.35"/>
    <n v="655.65192328767125"/>
    <n v="24.49604383561644"/>
    <n v="631.15587945205482"/>
    <n v="52"/>
    <x v="904"/>
    <n v="905"/>
  </r>
  <r>
    <s v="SUP121"/>
    <x v="46"/>
    <s v="Europe"/>
    <x v="4"/>
    <s v="Large"/>
    <n v="21735545"/>
    <s v="INV00835"/>
    <n v="57252"/>
    <d v="2025-06-21T00:00:00"/>
    <n v="90"/>
    <n v="10"/>
    <n v="7.4999999999999997E-2"/>
    <n v="5.3100000000000001E-2"/>
    <n v="6"/>
    <s v="No"/>
    <s v="Yes"/>
    <n v="0.8"/>
    <n v="1058.7698630136986"/>
    <n v="49.973937534246573"/>
    <n v="1008.795925479452"/>
    <n v="84"/>
    <x v="905"/>
    <n v="906"/>
  </r>
  <r>
    <s v="SUP027"/>
    <x v="99"/>
    <s v="US"/>
    <x v="1"/>
    <s v="Large"/>
    <n v="19529913"/>
    <s v="INV00469"/>
    <n v="74021"/>
    <d v="2025-11-13T00:00:00"/>
    <n v="60"/>
    <n v="2"/>
    <n v="8.7499999999999994E-2"/>
    <n v="6.0400000000000002E-2"/>
    <n v="10"/>
    <s v="No"/>
    <s v="Yes"/>
    <n v="0.5"/>
    <n v="1064.685616438356"/>
    <n v="122.48954520547946"/>
    <n v="942.19607123287653"/>
    <n v="50"/>
    <x v="906"/>
    <n v="907"/>
  </r>
  <r>
    <s v="SUP072"/>
    <x v="44"/>
    <s v="Europe"/>
    <x v="2"/>
    <s v="Medium"/>
    <n v="6782855"/>
    <s v="INV00686"/>
    <n v="28577"/>
    <d v="2025-03-17T00:00:00"/>
    <n v="60"/>
    <n v="4"/>
    <n v="0.1188"/>
    <n v="4.87E-2"/>
    <n v="10"/>
    <s v="No"/>
    <s v="Yes"/>
    <n v="0.5"/>
    <n v="558.07357808219172"/>
    <n v="38.128764383561645"/>
    <n v="519.94481369863001"/>
    <n v="50"/>
    <x v="907"/>
    <n v="908"/>
  </r>
  <r>
    <s v="SUP125"/>
    <x v="83"/>
    <s v="Europe"/>
    <x v="4"/>
    <s v="Large"/>
    <n v="21625874"/>
    <s v="INV00926"/>
    <n v="51274"/>
    <d v="2025-10-18T00:00:00"/>
    <n v="60"/>
    <n v="2"/>
    <n v="9.5399999999999999E-2"/>
    <n v="5.6399999999999999E-2"/>
    <n v="5"/>
    <s v="No"/>
    <s v="Yes"/>
    <n v="0.5"/>
    <n v="804.08870136986297"/>
    <n v="39.614432876712328"/>
    <n v="764.4742684931507"/>
    <n v="55"/>
    <x v="908"/>
    <n v="909"/>
  </r>
  <r>
    <s v="SUP037"/>
    <x v="65"/>
    <s v="Mexico"/>
    <x v="2"/>
    <s v="Large"/>
    <n v="15898738"/>
    <s v="INV00734"/>
    <n v="98517"/>
    <d v="2025-07-20T00:00:00"/>
    <n v="60"/>
    <n v="7"/>
    <n v="0.1071"/>
    <n v="5.6399999999999999E-2"/>
    <n v="8"/>
    <s v="No"/>
    <s v="Yes"/>
    <n v="0.2"/>
    <n v="1734.4390191780822"/>
    <n v="121.78320657534246"/>
    <n v="1612.6558126027396"/>
    <n v="52"/>
    <x v="909"/>
    <n v="910"/>
  </r>
  <r>
    <s v="SUP025"/>
    <x v="96"/>
    <s v="Mexico"/>
    <x v="3"/>
    <s v="Medium"/>
    <n v="2577026"/>
    <s v="INV01295"/>
    <n v="71515"/>
    <d v="2025-03-06T00:00:00"/>
    <n v="30"/>
    <n v="2"/>
    <n v="0.123"/>
    <n v="5.3400000000000003E-2"/>
    <n v="10"/>
    <s v="No"/>
    <s v="Yes"/>
    <n v="0.2"/>
    <n v="722.98726027397254"/>
    <n v="104.62742465753425"/>
    <n v="618.35983561643832"/>
    <n v="20"/>
    <x v="910"/>
    <n v="911"/>
  </r>
  <r>
    <s v="SUP091"/>
    <x v="64"/>
    <s v="Canada"/>
    <x v="4"/>
    <s v="Medium"/>
    <n v="3649528"/>
    <s v="INV00703"/>
    <n v="27674"/>
    <d v="2025-08-25T00:00:00"/>
    <n v="60"/>
    <n v="10"/>
    <n v="0.1283"/>
    <n v="5.6500000000000002E-2"/>
    <n v="7"/>
    <s v="Yes"/>
    <s v="Yes"/>
    <n v="0.5"/>
    <n v="583.65603287671229"/>
    <n v="29.986484931506855"/>
    <n v="553.66954794520541"/>
    <n v="53"/>
    <x v="911"/>
    <n v="912"/>
  </r>
  <r>
    <s v="SUP019"/>
    <x v="73"/>
    <s v="Europe"/>
    <x v="0"/>
    <s v="Medium"/>
    <n v="4353599"/>
    <s v="INV01125"/>
    <n v="30408"/>
    <d v="2025-12-15T00:00:00"/>
    <n v="90"/>
    <n v="7"/>
    <n v="9.5600000000000004E-2"/>
    <n v="5.4800000000000001E-2"/>
    <n v="7"/>
    <s v="No"/>
    <s v="Yes"/>
    <n v="0.8"/>
    <n v="716.795704109589"/>
    <n v="31.957558356164387"/>
    <n v="684.83814575342456"/>
    <n v="83"/>
    <x v="912"/>
    <n v="913"/>
  </r>
  <r>
    <s v="SUP086"/>
    <x v="45"/>
    <s v="Mexico"/>
    <x v="1"/>
    <s v="Small"/>
    <n v="1218251"/>
    <s v="INV01266"/>
    <n v="38680"/>
    <d v="2025-01-19T00:00:00"/>
    <n v="90"/>
    <n v="7"/>
    <n v="0.1227"/>
    <n v="4.9599999999999998E-2"/>
    <n v="10"/>
    <s v="Yes"/>
    <s v="Yes"/>
    <n v="0.35"/>
    <n v="1170.2554520547944"/>
    <n v="52.56241095890411"/>
    <n v="1117.6930410958903"/>
    <n v="80"/>
    <x v="913"/>
    <n v="914"/>
  </r>
  <r>
    <s v="SUP072"/>
    <x v="44"/>
    <s v="Europe"/>
    <x v="2"/>
    <s v="Medium"/>
    <n v="6782855"/>
    <s v="INV01383"/>
    <n v="51397"/>
    <d v="2025-03-08T00:00:00"/>
    <n v="90"/>
    <n v="10"/>
    <n v="0.1188"/>
    <n v="6.3899999999999998E-2"/>
    <n v="6"/>
    <s v="No"/>
    <s v="Yes"/>
    <n v="0.35"/>
    <n v="1505.5800657534246"/>
    <n v="53.987972054794511"/>
    <n v="1451.5920936986302"/>
    <n v="84"/>
    <x v="914"/>
    <n v="915"/>
  </r>
  <r>
    <s v="SUP125"/>
    <x v="83"/>
    <s v="Europe"/>
    <x v="4"/>
    <s v="Large"/>
    <n v="21625874"/>
    <s v="INV00857"/>
    <n v="35559"/>
    <d v="2025-08-16T00:00:00"/>
    <n v="90"/>
    <n v="4"/>
    <n v="9.5399999999999999E-2"/>
    <n v="6.0699999999999997E-2"/>
    <n v="6"/>
    <s v="No"/>
    <s v="Yes"/>
    <n v="0.8"/>
    <n v="836.46458630136976"/>
    <n v="35.481062465753418"/>
    <n v="800.98352383561632"/>
    <n v="84"/>
    <x v="915"/>
    <n v="916"/>
  </r>
  <r>
    <s v="SUP044"/>
    <x v="9"/>
    <s v="US"/>
    <x v="2"/>
    <s v="Small"/>
    <n v="879139"/>
    <s v="INV00292"/>
    <n v="21661"/>
    <d v="2025-03-29T00:00:00"/>
    <n v="60"/>
    <n v="2"/>
    <n v="0.14199999999999999"/>
    <n v="5.0900000000000001E-2"/>
    <n v="7"/>
    <s v="No"/>
    <s v="Yes"/>
    <n v="0.5"/>
    <n v="505.62115068493142"/>
    <n v="21.14469671232877"/>
    <n v="484.47645397260266"/>
    <n v="53"/>
    <x v="916"/>
    <n v="917"/>
  </r>
  <r>
    <s v="SUP029"/>
    <x v="34"/>
    <s v="US"/>
    <x v="3"/>
    <s v="Small"/>
    <n v="373467"/>
    <s v="INV01394"/>
    <n v="72938"/>
    <d v="2025-03-24T00:00:00"/>
    <n v="60"/>
    <n v="4"/>
    <n v="0.126"/>
    <n v="5.8700000000000002E-2"/>
    <n v="5"/>
    <s v="No"/>
    <s v="Yes"/>
    <n v="0.2"/>
    <n v="1510.7158356164382"/>
    <n v="58.650145205479454"/>
    <n v="1452.0656904109587"/>
    <n v="55"/>
    <x v="917"/>
    <n v="918"/>
  </r>
  <r>
    <s v="SUP002"/>
    <x v="90"/>
    <s v="US"/>
    <x v="0"/>
    <s v="Medium"/>
    <n v="6074867"/>
    <s v="INV00235"/>
    <n v="33511"/>
    <d v="2025-04-22T00:00:00"/>
    <n v="60"/>
    <n v="10"/>
    <n v="9.4299999999999995E-2"/>
    <n v="4.9299999999999997E-2"/>
    <n v="6"/>
    <s v="No"/>
    <s v="Yes"/>
    <n v="0.65"/>
    <n v="519.46640547945196"/>
    <n v="27.157681643835609"/>
    <n v="492.30872383561638"/>
    <n v="54"/>
    <x v="918"/>
    <n v="919"/>
  </r>
  <r>
    <s v="SUP006"/>
    <x v="4"/>
    <s v="Europe"/>
    <x v="3"/>
    <s v="Small"/>
    <n v="971327"/>
    <s v="INV01246"/>
    <n v="30423"/>
    <d v="2025-12-16T00:00:00"/>
    <n v="90"/>
    <n v="4"/>
    <n v="0.15229999999999999"/>
    <n v="6.0499999999999998E-2"/>
    <n v="10"/>
    <s v="No"/>
    <s v="Yes"/>
    <n v="0.35"/>
    <n v="1142.4878383561643"/>
    <n v="50.427164383561639"/>
    <n v="1092.0606739726027"/>
    <n v="80"/>
    <x v="919"/>
    <n v="920"/>
  </r>
  <r>
    <s v="SUP029"/>
    <x v="34"/>
    <s v="US"/>
    <x v="3"/>
    <s v="Small"/>
    <n v="373467"/>
    <s v="INV01314"/>
    <n v="73618"/>
    <d v="2025-09-22T00:00:00"/>
    <n v="45"/>
    <n v="3"/>
    <n v="0.126"/>
    <n v="5.9700000000000003E-2"/>
    <n v="7"/>
    <s v="Yes"/>
    <s v="Yes"/>
    <n v="0.2"/>
    <n v="1143.6001643835616"/>
    <n v="84.287567671232878"/>
    <n v="1059.3125967123287"/>
    <n v="38"/>
    <x v="920"/>
    <n v="921"/>
  </r>
  <r>
    <s v="SUP105"/>
    <x v="81"/>
    <s v="Canada"/>
    <x v="4"/>
    <s v="Medium"/>
    <n v="3772612"/>
    <s v="INV01319"/>
    <n v="67687"/>
    <d v="2026-02-01T00:00:00"/>
    <n v="45"/>
    <n v="5"/>
    <n v="0.1053"/>
    <n v="6.4100000000000004E-2"/>
    <n v="5"/>
    <s v="No"/>
    <s v="Yes"/>
    <n v="0.35"/>
    <n v="878.72561506849308"/>
    <n v="59.434749315068494"/>
    <n v="819.29086575342455"/>
    <n v="40"/>
    <x v="921"/>
    <n v="922"/>
  </r>
  <r>
    <s v="SUP020"/>
    <x v="75"/>
    <s v="APAC"/>
    <x v="0"/>
    <s v="Large"/>
    <n v="15837870"/>
    <s v="INV00853"/>
    <n v="23706"/>
    <d v="2025-01-24T00:00:00"/>
    <n v="60"/>
    <n v="10"/>
    <n v="0.1089"/>
    <n v="5.7500000000000002E-2"/>
    <n v="8"/>
    <s v="Yes"/>
    <s v="Yes"/>
    <n v="0.8"/>
    <n v="424.3698739726027"/>
    <n v="29.876054794520549"/>
    <n v="394.49381917808216"/>
    <n v="52"/>
    <x v="922"/>
    <n v="923"/>
  </r>
  <r>
    <s v="SUP110"/>
    <x v="82"/>
    <s v="Europe"/>
    <x v="2"/>
    <s v="Medium"/>
    <n v="5617789"/>
    <s v="INV01388"/>
    <n v="61321"/>
    <d v="2025-07-24T00:00:00"/>
    <n v="60"/>
    <n v="10"/>
    <n v="9.5100000000000004E-2"/>
    <n v="4.99E-2"/>
    <n v="5"/>
    <s v="No"/>
    <s v="Yes"/>
    <n v="0.35"/>
    <n v="958.62363287671235"/>
    <n v="41.916683561643829"/>
    <n v="916.70694931506853"/>
    <n v="55"/>
    <x v="923"/>
    <n v="924"/>
  </r>
  <r>
    <s v="SUP045"/>
    <x v="41"/>
    <s v="Canada"/>
    <x v="3"/>
    <s v="Medium"/>
    <n v="6222733"/>
    <s v="INV00049"/>
    <n v="51691"/>
    <d v="2025-01-30T00:00:00"/>
    <n v="60"/>
    <n v="7"/>
    <n v="0.13980000000000001"/>
    <n v="4.6100000000000002E-2"/>
    <n v="10"/>
    <s v="Yes"/>
    <s v="Yes"/>
    <n v="0.2"/>
    <n v="1187.9016657534246"/>
    <n v="65.28644109589041"/>
    <n v="1122.6152246575341"/>
    <n v="50"/>
    <x v="924"/>
    <n v="925"/>
  </r>
  <r>
    <s v="SUP028"/>
    <x v="16"/>
    <s v="APAC"/>
    <x v="1"/>
    <s v="Small"/>
    <n v="959016"/>
    <s v="INV01283"/>
    <n v="38744"/>
    <d v="2025-03-15T00:00:00"/>
    <n v="60"/>
    <n v="4"/>
    <n v="0.1115"/>
    <n v="6.1600000000000002E-2"/>
    <n v="8"/>
    <s v="Yes"/>
    <s v="Yes"/>
    <n v="0.5"/>
    <n v="710.12975342465757"/>
    <n v="52.309707397260276"/>
    <n v="657.82004602739732"/>
    <n v="52"/>
    <x v="925"/>
    <n v="926"/>
  </r>
  <r>
    <s v="SUP111"/>
    <x v="23"/>
    <s v="US"/>
    <x v="0"/>
    <s v="Medium"/>
    <n v="3046555"/>
    <s v="INV00630"/>
    <n v="20177"/>
    <d v="2025-02-05T00:00:00"/>
    <n v="60"/>
    <n v="4"/>
    <n v="0.13830000000000001"/>
    <n v="6.4899999999999999E-2"/>
    <n v="7"/>
    <s v="No"/>
    <s v="Yes"/>
    <n v="0.65"/>
    <n v="458.7088931506849"/>
    <n v="25.113455068493153"/>
    <n v="433.59543808219178"/>
    <n v="53"/>
    <x v="926"/>
    <n v="927"/>
  </r>
  <r>
    <s v="SUP132"/>
    <x v="62"/>
    <s v="US"/>
    <x v="3"/>
    <s v="Large"/>
    <n v="15029491"/>
    <s v="INV01128"/>
    <n v="32258"/>
    <d v="2025-08-25T00:00:00"/>
    <n v="90"/>
    <n v="4"/>
    <n v="9.8400000000000001E-2"/>
    <n v="5.2499999999999998E-2"/>
    <n v="10"/>
    <s v="No"/>
    <s v="Yes"/>
    <n v="0.65"/>
    <n v="782.67629589041087"/>
    <n v="46.398493150684928"/>
    <n v="736.27780273972598"/>
    <n v="80"/>
    <x v="927"/>
    <n v="928"/>
  </r>
  <r>
    <s v="SUP024"/>
    <x v="15"/>
    <s v="US"/>
    <x v="3"/>
    <s v="Small"/>
    <n v="1439833"/>
    <s v="INV00410"/>
    <n v="41269"/>
    <d v="2025-07-23T00:00:00"/>
    <n v="90"/>
    <n v="7"/>
    <n v="0.17630000000000001"/>
    <n v="5.9700000000000003E-2"/>
    <n v="7"/>
    <s v="Yes"/>
    <s v="Yes"/>
    <n v="0.2"/>
    <n v="1794.0143095890412"/>
    <n v="47.25017835616439"/>
    <n v="1746.7641312328767"/>
    <n v="83"/>
    <x v="928"/>
    <n v="929"/>
  </r>
  <r>
    <s v="SUP038"/>
    <x v="76"/>
    <s v="Canada"/>
    <x v="4"/>
    <s v="Medium"/>
    <n v="6162123"/>
    <s v="INV00673"/>
    <n v="62194"/>
    <d v="2025-10-15T00:00:00"/>
    <n v="60"/>
    <n v="7"/>
    <n v="0.1231"/>
    <n v="4.58E-2"/>
    <n v="7"/>
    <s v="Yes"/>
    <s v="Yes"/>
    <n v="0.2"/>
    <n v="1258.5339287671231"/>
    <n v="54.628483287671237"/>
    <n v="1203.9054454794518"/>
    <n v="53"/>
    <x v="929"/>
    <n v="930"/>
  </r>
  <r>
    <s v="SUP096"/>
    <x v="73"/>
    <s v="APAC"/>
    <x v="4"/>
    <s v="Large"/>
    <n v="22426293"/>
    <s v="INV00378"/>
    <n v="71322"/>
    <d v="2025-09-19T00:00:00"/>
    <n v="45"/>
    <n v="10"/>
    <n v="9.8299999999999998E-2"/>
    <n v="5.9799999999999999E-2"/>
    <n v="6"/>
    <s v="No"/>
    <s v="Yes"/>
    <n v="0.35"/>
    <n v="864.36401917808212"/>
    <n v="70.110503013698619"/>
    <n v="794.25351616438354"/>
    <n v="39"/>
    <x v="930"/>
    <n v="931"/>
  </r>
  <r>
    <s v="SUP104"/>
    <x v="33"/>
    <s v="Mexico"/>
    <x v="4"/>
    <s v="Small"/>
    <n v="1410716"/>
    <s v="INV01480"/>
    <n v="28688"/>
    <d v="2025-06-05T00:00:00"/>
    <n v="60"/>
    <n v="2"/>
    <n v="0.1472"/>
    <n v="5.1499999999999997E-2"/>
    <n v="7"/>
    <s v="No"/>
    <s v="Yes"/>
    <n v="0.35"/>
    <n v="694.17100273972596"/>
    <n v="28.334312328767126"/>
    <n v="665.83669041095879"/>
    <n v="53"/>
    <x v="931"/>
    <n v="932"/>
  </r>
  <r>
    <s v="SUP052"/>
    <x v="12"/>
    <s v="US"/>
    <x v="0"/>
    <s v="Medium"/>
    <n v="6127831"/>
    <s v="INV00795"/>
    <n v="14688"/>
    <d v="2025-03-20T00:00:00"/>
    <n v="90"/>
    <n v="3"/>
    <n v="0.12529999999999999"/>
    <n v="5.28E-2"/>
    <n v="8"/>
    <s v="No"/>
    <s v="Yes"/>
    <n v="0.9"/>
    <n v="453.79883835616431"/>
    <n v="16.997838904109589"/>
    <n v="436.80099945205473"/>
    <n v="82"/>
    <x v="932"/>
    <n v="933"/>
  </r>
  <r>
    <s v="SUP145"/>
    <x v="32"/>
    <s v="US"/>
    <x v="2"/>
    <s v="Medium"/>
    <n v="3469396"/>
    <s v="INV00774"/>
    <n v="38626"/>
    <d v="2025-11-04T00:00:00"/>
    <n v="45"/>
    <n v="4"/>
    <n v="0.1216"/>
    <n v="5.0799999999999998E-2"/>
    <n v="8"/>
    <s v="No"/>
    <s v="Yes"/>
    <n v="0.35"/>
    <n v="579.0725260273972"/>
    <n v="43.007140821917808"/>
    <n v="536.0653852054794"/>
    <n v="37"/>
    <x v="933"/>
    <n v="934"/>
  </r>
  <r>
    <s v="SUP105"/>
    <x v="81"/>
    <s v="Canada"/>
    <x v="4"/>
    <s v="Medium"/>
    <n v="3772612"/>
    <s v="INV00647"/>
    <n v="17975"/>
    <d v="2025-07-09T00:00:00"/>
    <n v="60"/>
    <n v="4"/>
    <n v="0.1053"/>
    <n v="4.6300000000000001E-2"/>
    <n v="7"/>
    <s v="Yes"/>
    <s v="Yes"/>
    <n v="0.9"/>
    <n v="311.13986301369863"/>
    <n v="15.960815068493153"/>
    <n v="295.17904794520547"/>
    <n v="53"/>
    <x v="934"/>
    <n v="935"/>
  </r>
  <r>
    <s v="SUP063"/>
    <x v="88"/>
    <s v="Mexico"/>
    <x v="0"/>
    <s v="Medium"/>
    <n v="5790128"/>
    <s v="INV01317"/>
    <n v="35601"/>
    <d v="2025-07-02T00:00:00"/>
    <n v="90"/>
    <n v="3"/>
    <n v="9.5799999999999996E-2"/>
    <n v="6.25E-2"/>
    <n v="8"/>
    <s v="No"/>
    <s v="Yes"/>
    <n v="0.8"/>
    <n v="840.96389589041098"/>
    <n v="48.768493150684932"/>
    <n v="792.19540273972609"/>
    <n v="82"/>
    <x v="935"/>
    <n v="936"/>
  </r>
  <r>
    <s v="SUP058"/>
    <x v="63"/>
    <s v="Canada"/>
    <x v="1"/>
    <s v="Medium"/>
    <n v="2406772"/>
    <s v="INV00908"/>
    <n v="81803"/>
    <d v="2026-01-26T00:00:00"/>
    <n v="60"/>
    <n v="4"/>
    <n v="0.1091"/>
    <n v="5.1400000000000001E-2"/>
    <n v="8"/>
    <s v="No"/>
    <s v="Yes"/>
    <n v="0.2"/>
    <n v="1467.0751726027397"/>
    <n v="92.15724273972603"/>
    <n v="1374.9179298630138"/>
    <n v="52"/>
    <x v="936"/>
    <n v="937"/>
  </r>
  <r>
    <s v="SUP012"/>
    <x v="34"/>
    <s v="Europe"/>
    <x v="4"/>
    <s v="Medium"/>
    <n v="1969242"/>
    <s v="INV01129"/>
    <n v="99706"/>
    <d v="2025-04-03T00:00:00"/>
    <n v="30"/>
    <n v="5"/>
    <n v="0.10150000000000001"/>
    <n v="5.4399999999999997E-2"/>
    <n v="10"/>
    <s v="No"/>
    <s v="Yes"/>
    <n v="0.2"/>
    <n v="831.79389041095897"/>
    <n v="148.60291506849313"/>
    <n v="683.19097534246589"/>
    <n v="20"/>
    <x v="937"/>
    <n v="938"/>
  </r>
  <r>
    <s v="SUP015"/>
    <x v="61"/>
    <s v="Mexico"/>
    <x v="1"/>
    <s v="Small"/>
    <n v="1475965"/>
    <s v="INV00663"/>
    <n v="34273"/>
    <d v="2025-10-30T00:00:00"/>
    <n v="60"/>
    <n v="7"/>
    <n v="0.14000000000000001"/>
    <n v="6.2100000000000002E-2"/>
    <n v="5"/>
    <s v="No"/>
    <s v="Yes"/>
    <n v="0.35"/>
    <n v="788.74849315068491"/>
    <n v="29.155524657534247"/>
    <n v="759.59296849315069"/>
    <n v="55"/>
    <x v="938"/>
    <n v="939"/>
  </r>
  <r>
    <s v="SUP092"/>
    <x v="61"/>
    <s v="Europe"/>
    <x v="1"/>
    <s v="Small"/>
    <n v="303851"/>
    <s v="INV01227"/>
    <n v="41300"/>
    <d v="2026-02-17T00:00:00"/>
    <n v="90"/>
    <n v="10"/>
    <n v="0.17499999999999999"/>
    <n v="6.2E-2"/>
    <n v="7"/>
    <s v="No"/>
    <s v="Yes"/>
    <n v="0.2"/>
    <n v="1782.1232876712324"/>
    <n v="49.10739726027397"/>
    <n v="1733.0158904109585"/>
    <n v="83"/>
    <x v="939"/>
    <n v="940"/>
  </r>
  <r>
    <s v="SUP071"/>
    <x v="72"/>
    <s v="APAC"/>
    <x v="0"/>
    <s v="Large"/>
    <n v="11944379"/>
    <s v="INV00437"/>
    <n v="41067"/>
    <d v="2025-09-24T00:00:00"/>
    <n v="60"/>
    <n v="7"/>
    <n v="7.0999999999999994E-2"/>
    <n v="4.58E-2"/>
    <n v="8"/>
    <s v="No"/>
    <s v="Yes"/>
    <n v="0.9"/>
    <n v="479.30252054794511"/>
    <n v="41.22451726027397"/>
    <n v="438.07800328767115"/>
    <n v="52"/>
    <x v="940"/>
    <n v="941"/>
  </r>
  <r>
    <s v="SUP090"/>
    <x v="10"/>
    <s v="APAC"/>
    <x v="1"/>
    <s v="Medium"/>
    <n v="3501061"/>
    <s v="INV00797"/>
    <n v="24597"/>
    <d v="2025-11-04T00:00:00"/>
    <n v="60"/>
    <n v="7"/>
    <n v="9.6299999999999997E-2"/>
    <n v="4.9000000000000002E-2"/>
    <n v="8"/>
    <s v="No"/>
    <s v="Yes"/>
    <n v="0.8"/>
    <n v="389.37387945205478"/>
    <n v="26.416504109589045"/>
    <n v="362.95737534246575"/>
    <n v="52"/>
    <x v="941"/>
    <n v="942"/>
  </r>
  <r>
    <s v="SUP072"/>
    <x v="44"/>
    <s v="Europe"/>
    <x v="2"/>
    <s v="Medium"/>
    <n v="6782855"/>
    <s v="INV00077"/>
    <n v="17811"/>
    <d v="2025-09-03T00:00:00"/>
    <n v="60"/>
    <n v="4"/>
    <n v="0.1188"/>
    <n v="6.13E-2"/>
    <n v="6"/>
    <s v="No"/>
    <s v="Yes"/>
    <n v="0.9"/>
    <n v="347.82687123287673"/>
    <n v="17.947632328767121"/>
    <n v="329.87923890410963"/>
    <n v="54"/>
    <x v="942"/>
    <n v="943"/>
  </r>
  <r>
    <s v="SUP023"/>
    <x v="19"/>
    <s v="Canada"/>
    <x v="0"/>
    <s v="Medium"/>
    <n v="2438415"/>
    <s v="INV00933"/>
    <n v="32811"/>
    <d v="2025-01-04T00:00:00"/>
    <n v="60"/>
    <n v="4"/>
    <n v="0.13650000000000001"/>
    <n v="5.67E-2"/>
    <n v="10"/>
    <s v="No"/>
    <s v="Yes"/>
    <n v="0.35"/>
    <n v="736.22490410958903"/>
    <n v="50.969416438356163"/>
    <n v="685.25548767123291"/>
    <n v="50"/>
    <x v="943"/>
    <n v="944"/>
  </r>
  <r>
    <s v="SUP138"/>
    <x v="59"/>
    <s v="Europe"/>
    <x v="2"/>
    <s v="Medium"/>
    <n v="4395110"/>
    <s v="INV00708"/>
    <n v="48885"/>
    <d v="2025-04-07T00:00:00"/>
    <n v="60"/>
    <n v="5"/>
    <n v="0.1066"/>
    <n v="5.3199999999999997E-2"/>
    <n v="6"/>
    <s v="Yes"/>
    <s v="Yes"/>
    <n v="0.35"/>
    <n v="856.62591780821901"/>
    <n v="42.750936986301362"/>
    <n v="813.87498082191769"/>
    <n v="54"/>
    <x v="944"/>
    <n v="945"/>
  </r>
  <r>
    <s v="SUP033"/>
    <x v="50"/>
    <s v="Europe"/>
    <x v="1"/>
    <s v="Medium"/>
    <n v="2416616"/>
    <s v="INV00950"/>
    <n v="83002"/>
    <d v="2025-07-25T00:00:00"/>
    <n v="60"/>
    <n v="5"/>
    <n v="0.1024"/>
    <n v="4.7399999999999998E-2"/>
    <n v="6"/>
    <s v="Yes"/>
    <s v="Yes"/>
    <n v="0.2"/>
    <n v="1397.1624328767123"/>
    <n v="64.673339178082173"/>
    <n v="1332.4890936986301"/>
    <n v="54"/>
    <x v="945"/>
    <n v="946"/>
  </r>
  <r>
    <s v="SUP002"/>
    <x v="90"/>
    <s v="US"/>
    <x v="0"/>
    <s v="Medium"/>
    <n v="6074867"/>
    <s v="INV00433"/>
    <n v="35425"/>
    <d v="2026-01-12T00:00:00"/>
    <n v="60"/>
    <n v="7"/>
    <n v="9.4299999999999995E-2"/>
    <n v="5.4699999999999999E-2"/>
    <n v="7"/>
    <s v="No"/>
    <s v="Yes"/>
    <n v="0.65"/>
    <n v="549.13602739726025"/>
    <n v="37.162280821917811"/>
    <n v="511.97374657534243"/>
    <n v="53"/>
    <x v="946"/>
    <n v="947"/>
  </r>
  <r>
    <s v="SUP071"/>
    <x v="72"/>
    <s v="APAC"/>
    <x v="0"/>
    <s v="Large"/>
    <n v="11944379"/>
    <s v="INV01068"/>
    <n v="74154"/>
    <d v="2025-12-31T00:00:00"/>
    <n v="90"/>
    <n v="3"/>
    <n v="7.0999999999999994E-2"/>
    <n v="5.57E-2"/>
    <n v="6"/>
    <s v="Yes"/>
    <s v="Yes"/>
    <n v="0.8"/>
    <n v="1298.2029041095889"/>
    <n v="67.896621369863013"/>
    <n v="1230.3062827397259"/>
    <n v="84"/>
    <x v="947"/>
    <n v="948"/>
  </r>
  <r>
    <s v="SUP121"/>
    <x v="46"/>
    <s v="Europe"/>
    <x v="4"/>
    <s v="Large"/>
    <n v="21735545"/>
    <s v="INV00242"/>
    <n v="64163"/>
    <d v="2025-10-02T00:00:00"/>
    <n v="60"/>
    <n v="10"/>
    <n v="7.4999999999999997E-2"/>
    <n v="5.9299999999999999E-2"/>
    <n v="8"/>
    <s v="No"/>
    <s v="Yes"/>
    <n v="0.9"/>
    <n v="791.05068493150668"/>
    <n v="83.394321095890405"/>
    <n v="707.65636383561628"/>
    <n v="52"/>
    <x v="948"/>
    <n v="949"/>
  </r>
  <r>
    <s v="SUP042"/>
    <x v="93"/>
    <s v="Europe"/>
    <x v="3"/>
    <s v="Large"/>
    <n v="15261617"/>
    <s v="INV01194"/>
    <n v="27509"/>
    <d v="2025-06-20T00:00:00"/>
    <n v="90"/>
    <n v="2"/>
    <n v="9.3200000000000005E-2"/>
    <n v="5.21E-2"/>
    <n v="6"/>
    <s v="Yes"/>
    <s v="Yes"/>
    <n v="0.8"/>
    <n v="632.1794301369863"/>
    <n v="23.559762739726025"/>
    <n v="608.61966739726029"/>
    <n v="84"/>
    <x v="949"/>
    <n v="950"/>
  </r>
  <r>
    <s v="SUP145"/>
    <x v="32"/>
    <s v="US"/>
    <x v="2"/>
    <s v="Medium"/>
    <n v="3469396"/>
    <s v="INV00133"/>
    <n v="26764"/>
    <d v="2026-02-09T00:00:00"/>
    <n v="60"/>
    <n v="10"/>
    <n v="0.1216"/>
    <n v="5.4199999999999998E-2"/>
    <n v="7"/>
    <s v="No"/>
    <s v="Yes"/>
    <n v="0.5"/>
    <n v="534.98669589041094"/>
    <n v="27.81989479452055"/>
    <n v="507.16680109589038"/>
    <n v="53"/>
    <x v="950"/>
    <n v="951"/>
  </r>
  <r>
    <s v="SUP012"/>
    <x v="34"/>
    <s v="Europe"/>
    <x v="4"/>
    <s v="Medium"/>
    <n v="1969242"/>
    <s v="INV00751"/>
    <n v="26884"/>
    <d v="2025-08-05T00:00:00"/>
    <n v="45"/>
    <n v="2"/>
    <n v="0.10150000000000001"/>
    <n v="4.99E-2"/>
    <n v="7"/>
    <s v="No"/>
    <s v="Yes"/>
    <n v="0.65"/>
    <n v="336.41827397260272"/>
    <n v="25.727619726027399"/>
    <n v="310.69065424657532"/>
    <n v="38"/>
    <x v="951"/>
    <n v="952"/>
  </r>
  <r>
    <s v="SUP039"/>
    <x v="12"/>
    <s v="Mexico"/>
    <x v="0"/>
    <s v="Small"/>
    <n v="372648"/>
    <s v="INV00006"/>
    <n v="17167"/>
    <d v="2025-06-17T00:00:00"/>
    <n v="60"/>
    <n v="5"/>
    <n v="0.15049999999999999"/>
    <n v="4.5699999999999998E-2"/>
    <n v="7"/>
    <s v="No"/>
    <s v="Yes"/>
    <n v="0.5"/>
    <n v="424.70687671232872"/>
    <n v="15.045817260273973"/>
    <n v="409.66105945205476"/>
    <n v="53"/>
    <x v="952"/>
    <n v="953"/>
  </r>
  <r>
    <s v="SUP029"/>
    <x v="34"/>
    <s v="US"/>
    <x v="3"/>
    <s v="Small"/>
    <n v="373467"/>
    <s v="INV00029"/>
    <n v="29054"/>
    <d v="2025-12-07T00:00:00"/>
    <n v="60"/>
    <n v="7"/>
    <n v="0.126"/>
    <n v="6.4100000000000004E-2"/>
    <n v="10"/>
    <s v="No"/>
    <s v="Yes"/>
    <n v="0.5"/>
    <n v="601.77599999999995"/>
    <n v="51.023600000000002"/>
    <n v="550.75239999999997"/>
    <n v="50"/>
    <x v="953"/>
    <n v="954"/>
  </r>
  <r>
    <s v="SUP058"/>
    <x v="63"/>
    <s v="Canada"/>
    <x v="1"/>
    <s v="Medium"/>
    <n v="2406772"/>
    <s v="INV00071"/>
    <n v="83932"/>
    <d v="2025-01-25T00:00:00"/>
    <n v="90"/>
    <n v="7"/>
    <n v="0.1091"/>
    <n v="5.5599999999999997E-2"/>
    <n v="5"/>
    <s v="No"/>
    <s v="Yes"/>
    <n v="0.2"/>
    <n v="2257.8857753424659"/>
    <n v="63.926290410958899"/>
    <n v="2193.9594849315072"/>
    <n v="85"/>
    <x v="954"/>
    <n v="955"/>
  </r>
  <r>
    <s v="SUP149"/>
    <x v="72"/>
    <s v="APAC"/>
    <x v="1"/>
    <s v="Medium"/>
    <n v="4709015"/>
    <s v="INV00174"/>
    <n v="22566"/>
    <d v="2025-01-29T00:00:00"/>
    <n v="60"/>
    <n v="10"/>
    <n v="0.121"/>
    <n v="6.0199999999999997E-2"/>
    <n v="5"/>
    <s v="No"/>
    <s v="Yes"/>
    <n v="0.65"/>
    <n v="448.84701369863006"/>
    <n v="18.609221917808217"/>
    <n v="430.23779178082185"/>
    <n v="55"/>
    <x v="955"/>
    <n v="956"/>
  </r>
  <r>
    <s v="SUP050"/>
    <x v="52"/>
    <s v="US"/>
    <x v="2"/>
    <s v="Medium"/>
    <n v="3714458"/>
    <s v="INV00803"/>
    <n v="77987"/>
    <d v="2025-02-12T00:00:00"/>
    <n v="30"/>
    <n v="10"/>
    <n v="0.1153"/>
    <n v="5.8200000000000002E-2"/>
    <n v="6"/>
    <s v="No"/>
    <s v="Yes"/>
    <n v="0.2"/>
    <n v="739.06036438356148"/>
    <n v="74.611124383561631"/>
    <n v="664.4492399999998"/>
    <n v="24"/>
    <x v="956"/>
    <n v="957"/>
  </r>
  <r>
    <s v="SUP064"/>
    <x v="28"/>
    <s v="Canada"/>
    <x v="4"/>
    <s v="Medium"/>
    <n v="1514188"/>
    <s v="INV01071"/>
    <n v="17956"/>
    <d v="2025-09-30T00:00:00"/>
    <n v="90"/>
    <n v="2"/>
    <n v="0.11600000000000001"/>
    <n v="6.0900000000000003E-2"/>
    <n v="6"/>
    <s v="No"/>
    <s v="Yes"/>
    <n v="0.9"/>
    <n v="513.590794520548"/>
    <n v="17.975677808219178"/>
    <n v="495.61511671232881"/>
    <n v="84"/>
    <x v="957"/>
    <n v="958"/>
  </r>
  <r>
    <s v="SUP148"/>
    <x v="105"/>
    <s v="Canada"/>
    <x v="0"/>
    <s v="Medium"/>
    <n v="6247349"/>
    <s v="INV01196"/>
    <n v="64781"/>
    <d v="2025-11-27T00:00:00"/>
    <n v="45"/>
    <n v="4"/>
    <n v="0.1241"/>
    <n v="5.5599999999999997E-2"/>
    <n v="8"/>
    <s v="No"/>
    <s v="Yes"/>
    <n v="0.2"/>
    <n v="991.14930000000004"/>
    <n v="78.944078904109588"/>
    <n v="912.20522109589047"/>
    <n v="37"/>
    <x v="958"/>
    <n v="959"/>
  </r>
  <r>
    <s v="SUP069"/>
    <x v="58"/>
    <s v="US"/>
    <x v="4"/>
    <s v="Medium"/>
    <n v="3292658"/>
    <s v="INV01409"/>
    <n v="35758"/>
    <d v="2025-05-21T00:00:00"/>
    <n v="60"/>
    <n v="4"/>
    <n v="0.11559999999999999"/>
    <n v="4.5100000000000001E-2"/>
    <n v="6"/>
    <s v="Yes"/>
    <s v="Yes"/>
    <n v="0.35"/>
    <n v="679.49996712328755"/>
    <n v="26.509903561643831"/>
    <n v="652.99006356164375"/>
    <n v="54"/>
    <x v="959"/>
    <n v="960"/>
  </r>
  <r>
    <s v="SUP147"/>
    <x v="51"/>
    <s v="Canada"/>
    <x v="1"/>
    <s v="Small"/>
    <n v="367690"/>
    <s v="INV00044"/>
    <n v="64487"/>
    <d v="2025-09-19T00:00:00"/>
    <n v="60"/>
    <n v="5"/>
    <n v="0.1305"/>
    <n v="6.2399999999999997E-2"/>
    <n v="7"/>
    <s v="Yes"/>
    <s v="Yes"/>
    <n v="0.2"/>
    <n v="1383.3786575342465"/>
    <n v="77.172387945205472"/>
    <n v="1306.2062695890411"/>
    <n v="53"/>
    <x v="960"/>
    <n v="961"/>
  </r>
  <r>
    <s v="SUP053"/>
    <x v="86"/>
    <s v="Canada"/>
    <x v="2"/>
    <s v="Large"/>
    <n v="12001432"/>
    <s v="INV01108"/>
    <n v="33017"/>
    <d v="2025-09-14T00:00:00"/>
    <n v="30"/>
    <n v="5"/>
    <n v="9.1800000000000007E-2"/>
    <n v="5.8599999999999999E-2"/>
    <n v="8"/>
    <s v="No"/>
    <s v="Yes"/>
    <n v="0.8"/>
    <n v="249.12004931506851"/>
    <n v="42.406492054794519"/>
    <n v="206.713557260274"/>
    <n v="22"/>
    <x v="961"/>
    <n v="962"/>
  </r>
  <r>
    <s v="SUP032"/>
    <x v="36"/>
    <s v="US"/>
    <x v="2"/>
    <s v="Medium"/>
    <n v="1954421"/>
    <s v="INV00018"/>
    <n v="14799"/>
    <d v="2025-04-17T00:00:00"/>
    <n v="30"/>
    <n v="4"/>
    <n v="0.1237"/>
    <n v="4.99E-2"/>
    <n v="6"/>
    <s v="No"/>
    <s v="Yes"/>
    <n v="0.8"/>
    <n v="150.46325753424657"/>
    <n v="12.139234520547944"/>
    <n v="138.32402301369862"/>
    <n v="24"/>
    <x v="962"/>
    <n v="963"/>
  </r>
  <r>
    <s v="SUP025"/>
    <x v="96"/>
    <s v="Mexico"/>
    <x v="3"/>
    <s v="Medium"/>
    <n v="2577026"/>
    <s v="INV01104"/>
    <n v="15453"/>
    <d v="2025-03-22T00:00:00"/>
    <n v="60"/>
    <n v="5"/>
    <n v="0.123"/>
    <n v="5.2400000000000002E-2"/>
    <n v="5"/>
    <s v="No"/>
    <s v="Yes"/>
    <n v="0.8"/>
    <n v="312.44695890410958"/>
    <n v="11.092290410958904"/>
    <n v="301.35466849315065"/>
    <n v="55"/>
    <x v="963"/>
    <n v="964"/>
  </r>
  <r>
    <s v="SUP125"/>
    <x v="83"/>
    <s v="Europe"/>
    <x v="4"/>
    <s v="Large"/>
    <n v="21625874"/>
    <s v="INV01301"/>
    <n v="61725"/>
    <d v="2025-06-02T00:00:00"/>
    <n v="60"/>
    <n v="3"/>
    <n v="9.5399999999999999E-2"/>
    <n v="5.5199999999999999E-2"/>
    <n v="10"/>
    <s v="No"/>
    <s v="Yes"/>
    <n v="0.35"/>
    <n v="967.9832876712328"/>
    <n v="93.348493150684916"/>
    <n v="874.63479452054787"/>
    <n v="50"/>
    <x v="964"/>
    <n v="965"/>
  </r>
  <r>
    <s v="SUP058"/>
    <x v="63"/>
    <s v="Canada"/>
    <x v="1"/>
    <s v="Medium"/>
    <n v="2406772"/>
    <s v="INV00177"/>
    <n v="48749"/>
    <d v="2025-10-28T00:00:00"/>
    <n v="90"/>
    <n v="7"/>
    <n v="0.1091"/>
    <n v="5.8200000000000002E-2"/>
    <n v="6"/>
    <s v="No"/>
    <s v="Yes"/>
    <n v="0.35"/>
    <n v="1311.4148794520547"/>
    <n v="46.638769315068487"/>
    <n v="1264.7761101369863"/>
    <n v="84"/>
    <x v="965"/>
    <n v="966"/>
  </r>
  <r>
    <s v="SUP056"/>
    <x v="58"/>
    <s v="Europe"/>
    <x v="0"/>
    <s v="Large"/>
    <n v="14943587"/>
    <s v="INV00253"/>
    <n v="47554"/>
    <d v="2026-02-16T00:00:00"/>
    <n v="60"/>
    <n v="7"/>
    <n v="0.1046"/>
    <n v="5.2499999999999998E-2"/>
    <n v="10"/>
    <s v="No"/>
    <s v="Yes"/>
    <n v="0.35"/>
    <n v="817.66823013698627"/>
    <n v="68.399589041095894"/>
    <n v="749.26864109589042"/>
    <n v="50"/>
    <x v="966"/>
    <n v="967"/>
  </r>
  <r>
    <s v="SUP082"/>
    <x v="70"/>
    <s v="APAC"/>
    <x v="3"/>
    <s v="Medium"/>
    <n v="4450767"/>
    <s v="INV00104"/>
    <n v="85616"/>
    <d v="2025-05-29T00:00:00"/>
    <n v="45"/>
    <n v="3"/>
    <n v="0.10489999999999999"/>
    <n v="5.4300000000000001E-2"/>
    <n v="7"/>
    <s v="No"/>
    <s v="Yes"/>
    <n v="0.2"/>
    <n v="1107.2611726027396"/>
    <n v="89.157922191780827"/>
    <n v="1018.1032504109588"/>
    <n v="38"/>
    <x v="967"/>
    <n v="968"/>
  </r>
  <r>
    <s v="SUP142"/>
    <x v="91"/>
    <s v="Canada"/>
    <x v="0"/>
    <s v="Small"/>
    <n v="1208247"/>
    <s v="INV01112"/>
    <n v="67603"/>
    <d v="2025-05-03T00:00:00"/>
    <n v="45"/>
    <n v="2"/>
    <n v="0.1111"/>
    <n v="4.7100000000000003E-2"/>
    <n v="7"/>
    <s v="No"/>
    <s v="Yes"/>
    <n v="0.2"/>
    <n v="925.97588630136977"/>
    <n v="61.06495643835617"/>
    <n v="864.91092986301362"/>
    <n v="38"/>
    <x v="968"/>
    <n v="969"/>
  </r>
  <r>
    <s v="SUP100"/>
    <x v="80"/>
    <s v="Mexico"/>
    <x v="4"/>
    <s v="Large"/>
    <n v="13101534"/>
    <s v="INV00614"/>
    <n v="87085"/>
    <d v="2025-09-16T00:00:00"/>
    <n v="30"/>
    <n v="4"/>
    <n v="8.9499999999999996E-2"/>
    <n v="6.1199999999999997E-2"/>
    <n v="10"/>
    <s v="Yes"/>
    <s v="Yes"/>
    <n v="0.35"/>
    <n v="640.6115753424657"/>
    <n v="146.01649315068491"/>
    <n v="494.59508219178076"/>
    <n v="20"/>
    <x v="969"/>
    <n v="970"/>
  </r>
  <r>
    <s v="SUP053"/>
    <x v="86"/>
    <s v="Canada"/>
    <x v="2"/>
    <s v="Large"/>
    <n v="12001432"/>
    <s v="INV00815"/>
    <n v="66675"/>
    <d v="2025-05-28T00:00:00"/>
    <n v="90"/>
    <n v="2"/>
    <n v="9.1800000000000007E-2"/>
    <n v="5.4899999999999997E-2"/>
    <n v="7"/>
    <s v="No"/>
    <s v="Yes"/>
    <n v="0.35"/>
    <n v="1509.2297260273972"/>
    <n v="70.200554794520556"/>
    <n v="1439.0291712328767"/>
    <n v="83"/>
    <x v="970"/>
    <n v="971"/>
  </r>
  <r>
    <s v="SUP101"/>
    <x v="85"/>
    <s v="US"/>
    <x v="1"/>
    <s v="Large"/>
    <n v="16270036"/>
    <s v="INV00425"/>
    <n v="29329"/>
    <d v="2025-02-19T00:00:00"/>
    <n v="45"/>
    <n v="3"/>
    <n v="9.2200000000000004E-2"/>
    <n v="5.5500000000000001E-2"/>
    <n v="10"/>
    <s v="No"/>
    <s v="Yes"/>
    <n v="0.8"/>
    <n v="333.38635890410956"/>
    <n v="44.596150684931509"/>
    <n v="288.79020821917806"/>
    <n v="35"/>
    <x v="971"/>
    <n v="972"/>
  </r>
  <r>
    <s v="SUP047"/>
    <x v="35"/>
    <s v="US"/>
    <x v="3"/>
    <s v="Medium"/>
    <n v="6056843"/>
    <s v="INV01304"/>
    <n v="68431"/>
    <d v="2025-05-28T00:00:00"/>
    <n v="60"/>
    <n v="7"/>
    <n v="0.12520000000000001"/>
    <n v="6.2600000000000003E-2"/>
    <n v="7"/>
    <s v="Yes"/>
    <s v="Yes"/>
    <n v="0.2"/>
    <n v="1408.3662246575341"/>
    <n v="82.154696438356169"/>
    <n v="1326.2115282191778"/>
    <n v="53"/>
    <x v="972"/>
    <n v="973"/>
  </r>
  <r>
    <s v="SUP047"/>
    <x v="35"/>
    <s v="US"/>
    <x v="3"/>
    <s v="Medium"/>
    <n v="6056843"/>
    <s v="INV00290"/>
    <n v="18310"/>
    <d v="2025-06-29T00:00:00"/>
    <n v="60"/>
    <n v="10"/>
    <n v="0.12520000000000001"/>
    <n v="5.3400000000000003E-2"/>
    <n v="6"/>
    <s v="No"/>
    <s v="Yes"/>
    <n v="0.65"/>
    <n v="376.83484931506854"/>
    <n v="16.072668493150683"/>
    <n v="360.76218082191787"/>
    <n v="54"/>
    <x v="973"/>
    <n v="974"/>
  </r>
  <r>
    <s v="SUP120"/>
    <x v="19"/>
    <s v="APAC"/>
    <x v="3"/>
    <s v="Large"/>
    <n v="9396117"/>
    <s v="INV00327"/>
    <n v="101957"/>
    <d v="2025-10-13T00:00:00"/>
    <n v="60"/>
    <n v="5"/>
    <n v="7.2400000000000006E-2"/>
    <n v="6.3100000000000003E-2"/>
    <n v="7"/>
    <s v="No"/>
    <s v="Yes"/>
    <n v="0.9"/>
    <n v="1213.4279671232878"/>
    <n v="123.38193671232878"/>
    <n v="1090.046030410959"/>
    <n v="53"/>
    <x v="974"/>
    <n v="975"/>
  </r>
  <r>
    <s v="SUP144"/>
    <x v="97"/>
    <s v="APAC"/>
    <x v="0"/>
    <s v="Large"/>
    <n v="24905394"/>
    <s v="INV01400"/>
    <n v="76175"/>
    <d v="2026-01-28T00:00:00"/>
    <n v="60"/>
    <n v="2"/>
    <n v="8.5199999999999998E-2"/>
    <n v="6.2799999999999995E-2"/>
    <n v="7"/>
    <s v="No"/>
    <s v="Yes"/>
    <n v="0.5"/>
    <n v="1066.8673972602739"/>
    <n v="91.74391780821918"/>
    <n v="975.12347945205477"/>
    <n v="53"/>
    <x v="975"/>
    <n v="976"/>
  </r>
  <r>
    <s v="SUP101"/>
    <x v="85"/>
    <s v="US"/>
    <x v="1"/>
    <s v="Large"/>
    <n v="16270036"/>
    <s v="INV00397"/>
    <n v="101899"/>
    <d v="2025-08-31T00:00:00"/>
    <n v="60"/>
    <n v="2"/>
    <n v="9.2200000000000004E-2"/>
    <n v="5.0599999999999999E-2"/>
    <n v="8"/>
    <s v="No"/>
    <s v="Yes"/>
    <n v="0.2"/>
    <n v="1544.3979945205481"/>
    <n v="113.01017863013698"/>
    <n v="1431.387815890411"/>
    <n v="52"/>
    <x v="976"/>
    <n v="977"/>
  </r>
  <r>
    <s v="SUP021"/>
    <x v="85"/>
    <s v="Canada"/>
    <x v="4"/>
    <s v="Large"/>
    <n v="17014146"/>
    <s v="INV00069"/>
    <n v="24987"/>
    <d v="2025-12-23T00:00:00"/>
    <n v="60"/>
    <n v="10"/>
    <n v="0.1037"/>
    <n v="5.1700000000000003E-2"/>
    <n v="6"/>
    <s v="Yes"/>
    <s v="Yes"/>
    <n v="0.65"/>
    <n v="425.94277808219175"/>
    <n v="21.235527123287667"/>
    <n v="404.70725095890407"/>
    <n v="54"/>
    <x v="977"/>
    <n v="978"/>
  </r>
  <r>
    <s v="SUP149"/>
    <x v="72"/>
    <s v="APAC"/>
    <x v="1"/>
    <s v="Medium"/>
    <n v="4709015"/>
    <s v="INV00393"/>
    <n v="69047"/>
    <d v="2025-02-14T00:00:00"/>
    <n v="60"/>
    <n v="2"/>
    <n v="0.121"/>
    <n v="5.9900000000000002E-2"/>
    <n v="6"/>
    <s v="Yes"/>
    <s v="Yes"/>
    <n v="0.2"/>
    <n v="1373.3732054794521"/>
    <n v="67.987648767123289"/>
    <n v="1305.3855567123287"/>
    <n v="54"/>
    <x v="978"/>
    <n v="979"/>
  </r>
  <r>
    <s v="SUP050"/>
    <x v="52"/>
    <s v="US"/>
    <x v="2"/>
    <s v="Medium"/>
    <n v="3714458"/>
    <s v="INV00236"/>
    <n v="23362"/>
    <d v="2025-06-11T00:00:00"/>
    <n v="90"/>
    <n v="3"/>
    <n v="0.1153"/>
    <n v="0.06"/>
    <n v="10"/>
    <s v="No"/>
    <s v="Yes"/>
    <n v="0.65"/>
    <n v="664.1848602739725"/>
    <n v="38.403287671232874"/>
    <n v="625.78157260273963"/>
    <n v="80"/>
    <x v="979"/>
    <n v="980"/>
  </r>
  <r>
    <s v="SUP034"/>
    <x v="15"/>
    <s v="APAC"/>
    <x v="0"/>
    <s v="Medium"/>
    <n v="3836607"/>
    <s v="INV00918"/>
    <n v="24898"/>
    <d v="2025-06-04T00:00:00"/>
    <n v="45"/>
    <n v="4"/>
    <n v="0.11310000000000001"/>
    <n v="4.58E-2"/>
    <n v="6"/>
    <s v="No"/>
    <s v="Yes"/>
    <n v="0.5"/>
    <n v="347.17361917808216"/>
    <n v="18.745124383561645"/>
    <n v="328.42849479452053"/>
    <n v="39"/>
    <x v="980"/>
    <n v="981"/>
  </r>
  <r>
    <s v="SUP082"/>
    <x v="70"/>
    <s v="APAC"/>
    <x v="3"/>
    <s v="Medium"/>
    <n v="4450767"/>
    <s v="INV00789"/>
    <n v="80945"/>
    <d v="2025-06-18T00:00:00"/>
    <n v="60"/>
    <n v="3"/>
    <n v="0.10489999999999999"/>
    <n v="5.33E-2"/>
    <n v="5"/>
    <s v="Yes"/>
    <s v="Yes"/>
    <n v="0.2"/>
    <n v="1395.8022739726025"/>
    <n v="59.100938356164377"/>
    <n v="1336.7013356164382"/>
    <n v="55"/>
    <x v="981"/>
    <n v="982"/>
  </r>
  <r>
    <s v="SUP033"/>
    <x v="50"/>
    <s v="Europe"/>
    <x v="1"/>
    <s v="Medium"/>
    <n v="2416616"/>
    <s v="INV01184"/>
    <n v="18880"/>
    <d v="2026-02-10T00:00:00"/>
    <n v="45"/>
    <n v="2"/>
    <n v="0.1024"/>
    <n v="4.7199999999999999E-2"/>
    <n v="7"/>
    <s v="Yes"/>
    <s v="Yes"/>
    <n v="0.8"/>
    <n v="238.35353424657535"/>
    <n v="17.090279452054794"/>
    <n v="221.26325479452055"/>
    <n v="38"/>
    <x v="982"/>
    <n v="983"/>
  </r>
  <r>
    <s v="SUP028"/>
    <x v="16"/>
    <s v="APAC"/>
    <x v="1"/>
    <s v="Small"/>
    <n v="959016"/>
    <s v="INV00315"/>
    <n v="19553"/>
    <d v="2025-09-16T00:00:00"/>
    <n v="45"/>
    <n v="5"/>
    <n v="0.1115"/>
    <n v="4.5999999999999999E-2"/>
    <n v="7"/>
    <s v="No"/>
    <s v="Yes"/>
    <n v="0.65"/>
    <n v="268.7867876712329"/>
    <n v="17.249495890410959"/>
    <n v="251.53729178082193"/>
    <n v="38"/>
    <x v="983"/>
    <n v="984"/>
  </r>
  <r>
    <s v="SUP007"/>
    <x v="100"/>
    <s v="APAC"/>
    <x v="1"/>
    <s v="Small"/>
    <n v="1043844"/>
    <s v="INV00608"/>
    <n v="65849"/>
    <d v="2025-10-25T00:00:00"/>
    <n v="90"/>
    <n v="7"/>
    <n v="0.11550000000000001"/>
    <n v="5.2299999999999999E-2"/>
    <n v="5"/>
    <s v="No"/>
    <s v="Yes"/>
    <n v="0.2"/>
    <n v="1875.3434383561644"/>
    <n v="47.176749315068491"/>
    <n v="1828.1666890410959"/>
    <n v="85"/>
    <x v="984"/>
    <n v="985"/>
  </r>
  <r>
    <s v="SUP083"/>
    <x v="45"/>
    <s v="Europe"/>
    <x v="0"/>
    <s v="Medium"/>
    <n v="3350013"/>
    <s v="INV01406"/>
    <n v="64525"/>
    <d v="2026-02-11T00:00:00"/>
    <n v="30"/>
    <n v="10"/>
    <n v="0.1144"/>
    <n v="5.0099999999999999E-2"/>
    <n v="5"/>
    <s v="No"/>
    <s v="Yes"/>
    <n v="0.2"/>
    <n v="606.71178082191773"/>
    <n v="44.283595890410957"/>
    <n v="562.42818493150673"/>
    <n v="25"/>
    <x v="985"/>
    <n v="986"/>
  </r>
  <r>
    <s v="SUP131"/>
    <x v="68"/>
    <s v="US"/>
    <x v="0"/>
    <s v="Medium"/>
    <n v="3916164"/>
    <s v="INV01401"/>
    <n v="15084"/>
    <d v="2025-01-19T00:00:00"/>
    <n v="60"/>
    <n v="3"/>
    <n v="0.1119"/>
    <n v="5.0900000000000001E-2"/>
    <n v="8"/>
    <s v="Yes"/>
    <s v="Yes"/>
    <n v="0.9"/>
    <n v="277.46294794520549"/>
    <n v="16.827958356164384"/>
    <n v="260.63498958904108"/>
    <n v="52"/>
    <x v="986"/>
    <n v="987"/>
  </r>
  <r>
    <s v="SUP141"/>
    <x v="92"/>
    <s v="US"/>
    <x v="2"/>
    <s v="Medium"/>
    <n v="1810544"/>
    <s v="INV01308"/>
    <n v="38626"/>
    <d v="2025-02-26T00:00:00"/>
    <n v="45"/>
    <n v="7"/>
    <n v="9.6299999999999997E-2"/>
    <n v="5.3499999999999999E-2"/>
    <n v="8"/>
    <s v="No"/>
    <s v="Yes"/>
    <n v="0.5"/>
    <n v="458.59115342465748"/>
    <n v="45.292953424657533"/>
    <n v="413.29819999999995"/>
    <n v="37"/>
    <x v="987"/>
    <n v="988"/>
  </r>
  <r>
    <s v="SUP114"/>
    <x v="77"/>
    <s v="Europe"/>
    <x v="2"/>
    <s v="Medium"/>
    <n v="6687670"/>
    <s v="INV00241"/>
    <n v="73736"/>
    <d v="2026-02-09T00:00:00"/>
    <n v="90"/>
    <n v="2"/>
    <n v="0.1013"/>
    <n v="4.53E-2"/>
    <n v="5"/>
    <s v="Yes"/>
    <s v="Yes"/>
    <n v="0.2"/>
    <n v="1841.7838684931505"/>
    <n v="45.756723287671228"/>
    <n v="1796.0271452054792"/>
    <n v="85"/>
    <x v="988"/>
    <n v="989"/>
  </r>
  <r>
    <s v="SUP013"/>
    <x v="7"/>
    <s v="Europe"/>
    <x v="2"/>
    <s v="Small"/>
    <n v="1439462"/>
    <s v="INV00638"/>
    <n v="38623"/>
    <d v="2025-11-19T00:00:00"/>
    <n v="45"/>
    <n v="2"/>
    <n v="0.17130000000000001"/>
    <n v="6.4399999999999999E-2"/>
    <n v="6"/>
    <s v="No"/>
    <s v="Yes"/>
    <n v="0.2"/>
    <n v="815.68601506849313"/>
    <n v="40.887471780821912"/>
    <n v="774.79854328767124"/>
    <n v="39"/>
    <x v="989"/>
    <n v="990"/>
  </r>
  <r>
    <s v="SUP017"/>
    <x v="70"/>
    <s v="APAC"/>
    <x v="2"/>
    <s v="Medium"/>
    <n v="5041335"/>
    <s v="INV00435"/>
    <n v="40109"/>
    <d v="2025-07-19T00:00:00"/>
    <n v="60"/>
    <n v="4"/>
    <n v="0.1198"/>
    <n v="6.0999999999999999E-2"/>
    <n v="10"/>
    <s v="No"/>
    <s v="Yes"/>
    <n v="0.35"/>
    <n v="789.87258082191784"/>
    <n v="67.031479452054782"/>
    <n v="722.84110136986305"/>
    <n v="50"/>
    <x v="990"/>
    <n v="991"/>
  </r>
  <r>
    <s v="SUP014"/>
    <x v="103"/>
    <s v="APAC"/>
    <x v="3"/>
    <s v="Large"/>
    <n v="22396514"/>
    <s v="INV00038"/>
    <n v="49125"/>
    <d v="2025-01-29T00:00:00"/>
    <n v="60"/>
    <n v="7"/>
    <n v="7.5700000000000003E-2"/>
    <n v="5.4699999999999999E-2"/>
    <n v="7"/>
    <s v="Yes"/>
    <s v="Yes"/>
    <n v="0.8"/>
    <n v="611.30342465753426"/>
    <n v="51.53414383561644"/>
    <n v="559.76928082191785"/>
    <n v="53"/>
    <x v="991"/>
    <n v="992"/>
  </r>
  <r>
    <s v="SUP088"/>
    <x v="12"/>
    <s v="Mexico"/>
    <x v="1"/>
    <s v="Large"/>
    <n v="22780879"/>
    <s v="INV00741"/>
    <n v="76010"/>
    <d v="2025-03-27T00:00:00"/>
    <n v="45"/>
    <n v="10"/>
    <n v="7.0800000000000002E-2"/>
    <n v="4.9099999999999998E-2"/>
    <n v="8"/>
    <s v="No"/>
    <s v="Yes"/>
    <n v="0.5"/>
    <n v="663.47358904109581"/>
    <n v="81.79925479452055"/>
    <n v="581.6743342465752"/>
    <n v="37"/>
    <x v="992"/>
    <n v="993"/>
  </r>
  <r>
    <s v="SUP053"/>
    <x v="86"/>
    <s v="Canada"/>
    <x v="2"/>
    <s v="Large"/>
    <n v="12001432"/>
    <s v="INV01292"/>
    <n v="75459"/>
    <d v="2025-10-03T00:00:00"/>
    <n v="60"/>
    <n v="5"/>
    <n v="9.1800000000000007E-2"/>
    <n v="6.0699999999999997E-2"/>
    <n v="6"/>
    <s v="No"/>
    <s v="Yes"/>
    <n v="0.35"/>
    <n v="1138.7073205479453"/>
    <n v="75.293610410958891"/>
    <n v="1063.4137101369863"/>
    <n v="54"/>
    <x v="993"/>
    <n v="994"/>
  </r>
  <r>
    <s v="SUP145"/>
    <x v="32"/>
    <s v="US"/>
    <x v="2"/>
    <s v="Medium"/>
    <n v="3469396"/>
    <s v="INV00184"/>
    <n v="53507"/>
    <d v="2025-03-09T00:00:00"/>
    <n v="60"/>
    <n v="2"/>
    <n v="0.1216"/>
    <n v="4.5100000000000001E-2"/>
    <n v="7"/>
    <s v="No"/>
    <s v="Yes"/>
    <n v="0.2"/>
    <n v="1069.5536219178082"/>
    <n v="46.279890136986303"/>
    <n v="1023.2737317808219"/>
    <n v="53"/>
    <x v="994"/>
    <n v="995"/>
  </r>
  <r>
    <s v="SUP133"/>
    <x v="42"/>
    <s v="US"/>
    <x v="1"/>
    <s v="Medium"/>
    <n v="3384926"/>
    <s v="INV00959"/>
    <n v="48454"/>
    <d v="2025-04-28T00:00:00"/>
    <n v="60"/>
    <n v="2"/>
    <n v="0.1396"/>
    <n v="5.5399999999999998E-2"/>
    <n v="8"/>
    <s v="No"/>
    <s v="Yes"/>
    <n v="0.2"/>
    <n v="1111.9197369863014"/>
    <n v="58.835103561643834"/>
    <n v="1053.0846334246576"/>
    <n v="52"/>
    <x v="995"/>
    <n v="996"/>
  </r>
  <r>
    <s v="SUP068"/>
    <x v="94"/>
    <s v="Europe"/>
    <x v="2"/>
    <s v="Large"/>
    <n v="17196352"/>
    <s v="INV00452"/>
    <n v="53342"/>
    <d v="2025-05-24T00:00:00"/>
    <n v="60"/>
    <n v="7"/>
    <n v="8.1500000000000003E-2"/>
    <n v="6.2399999999999997E-2"/>
    <n v="8"/>
    <s v="Yes"/>
    <s v="Yes"/>
    <n v="0.8"/>
    <n v="714.63665753424664"/>
    <n v="72.954318904109584"/>
    <n v="641.68233863013711"/>
    <n v="52"/>
    <x v="996"/>
    <n v="997"/>
  </r>
  <r>
    <s v="SUP073"/>
    <x v="9"/>
    <s v="Europe"/>
    <x v="1"/>
    <s v="Small"/>
    <n v="261628"/>
    <s v="INV00701"/>
    <n v="35510"/>
    <d v="2025-11-03T00:00:00"/>
    <n v="60"/>
    <n v="10"/>
    <n v="0.17249999999999999"/>
    <n v="5.79E-2"/>
    <n v="5"/>
    <s v="Yes"/>
    <s v="Yes"/>
    <n v="0.2"/>
    <n v="1006.9273972602738"/>
    <n v="28.164780821917805"/>
    <n v="978.76261643835596"/>
    <n v="55"/>
    <x v="997"/>
    <n v="998"/>
  </r>
  <r>
    <s v="SUP071"/>
    <x v="72"/>
    <s v="APAC"/>
    <x v="0"/>
    <s v="Large"/>
    <n v="11944379"/>
    <s v="INV00152"/>
    <n v="109064"/>
    <d v="2025-09-15T00:00:00"/>
    <n v="30"/>
    <n v="5"/>
    <n v="7.0999999999999994E-2"/>
    <n v="4.9700000000000001E-2"/>
    <n v="6"/>
    <s v="No"/>
    <s v="Yes"/>
    <n v="0.35"/>
    <n v="636.45567123287663"/>
    <n v="89.10379397260273"/>
    <n v="547.35187726027391"/>
    <n v="24"/>
    <x v="998"/>
    <n v="999"/>
  </r>
  <r>
    <s v="SUP003"/>
    <x v="16"/>
    <s v="APAC"/>
    <x v="2"/>
    <s v="Small"/>
    <n v="1309806"/>
    <s v="INV00521"/>
    <n v="44275"/>
    <d v="2025-12-10T00:00:00"/>
    <n v="45"/>
    <n v="4"/>
    <n v="0.15210000000000001"/>
    <n v="6.0499999999999998E-2"/>
    <n v="7"/>
    <s v="No"/>
    <s v="Yes"/>
    <n v="0.2"/>
    <n v="830.24722602739735"/>
    <n v="51.371130136986302"/>
    <n v="778.87609589041108"/>
    <n v="38"/>
    <x v="999"/>
    <n v="1000"/>
  </r>
  <r>
    <s v="SUP019"/>
    <x v="73"/>
    <s v="Europe"/>
    <x v="0"/>
    <s v="Medium"/>
    <n v="4353599"/>
    <s v="INV01274"/>
    <n v="29284"/>
    <d v="2025-06-01T00:00:00"/>
    <n v="90"/>
    <n v="4"/>
    <n v="9.5600000000000004E-2"/>
    <n v="6.0999999999999999E-2"/>
    <n v="7"/>
    <s v="Yes"/>
    <s v="Yes"/>
    <n v="0.8"/>
    <n v="690.30009863013697"/>
    <n v="34.258268493150688"/>
    <n v="656.04183013698628"/>
    <n v="83"/>
    <x v="1000"/>
    <n v="1001"/>
  </r>
  <r>
    <s v="SUP101"/>
    <x v="85"/>
    <s v="US"/>
    <x v="1"/>
    <s v="Large"/>
    <n v="16270036"/>
    <s v="INV00324"/>
    <n v="97998"/>
    <d v="2026-02-17T00:00:00"/>
    <n v="60"/>
    <n v="10"/>
    <n v="9.2200000000000004E-2"/>
    <n v="5.0999999999999997E-2"/>
    <n v="6"/>
    <s v="No"/>
    <s v="Yes"/>
    <n v="0.2"/>
    <n v="1485.273797260274"/>
    <n v="82.157227397260257"/>
    <n v="1403.1165698630139"/>
    <n v="54"/>
    <x v="1001"/>
    <n v="1002"/>
  </r>
  <r>
    <s v="SUP147"/>
    <x v="51"/>
    <s v="Canada"/>
    <x v="1"/>
    <s v="Small"/>
    <n v="367690"/>
    <s v="INV01339"/>
    <n v="12730"/>
    <d v="2025-05-01T00:00:00"/>
    <n v="45"/>
    <n v="3"/>
    <n v="0.1305"/>
    <n v="6.0100000000000001E-2"/>
    <n v="8"/>
    <s v="No"/>
    <s v="Yes"/>
    <n v="0.9"/>
    <n v="204.81349315068493"/>
    <n v="16.768723287671232"/>
    <n v="188.0447698630137"/>
    <n v="37"/>
    <x v="1002"/>
    <n v="1003"/>
  </r>
  <r>
    <s v="SUP049"/>
    <x v="60"/>
    <s v="Mexico"/>
    <x v="1"/>
    <s v="Medium"/>
    <n v="2803992"/>
    <s v="INV01162"/>
    <n v="21643"/>
    <d v="2026-02-18T00:00:00"/>
    <n v="60"/>
    <n v="10"/>
    <n v="0.1036"/>
    <n v="4.65E-2"/>
    <n v="8"/>
    <s v="No"/>
    <s v="Yes"/>
    <n v="0.65"/>
    <n v="368.58325479452049"/>
    <n v="22.058071232876713"/>
    <n v="346.52518356164376"/>
    <n v="52"/>
    <x v="1003"/>
    <n v="1004"/>
  </r>
  <r>
    <s v="SUP113"/>
    <x v="81"/>
    <s v="APAC"/>
    <x v="2"/>
    <s v="Large"/>
    <n v="17195029"/>
    <s v="INV01190"/>
    <n v="89401"/>
    <d v="2025-02-24T00:00:00"/>
    <n v="60"/>
    <n v="7"/>
    <n v="7.3400000000000007E-2"/>
    <n v="6.2199999999999998E-2"/>
    <n v="7"/>
    <s v="No"/>
    <s v="Yes"/>
    <n v="0.8"/>
    <n v="1078.6904219178082"/>
    <n v="106.6443709589041"/>
    <n v="972.04605095890406"/>
    <n v="53"/>
    <x v="1004"/>
    <n v="1005"/>
  </r>
  <r>
    <s v="SUP077"/>
    <x v="27"/>
    <s v="Europe"/>
    <x v="1"/>
    <s v="Medium"/>
    <n v="3573998"/>
    <s v="INV00358"/>
    <n v="32568"/>
    <d v="2025-06-19T00:00:00"/>
    <n v="60"/>
    <n v="5"/>
    <n v="0.13200000000000001"/>
    <n v="6.2E-2"/>
    <n v="6"/>
    <s v="Yes"/>
    <s v="Yes"/>
    <n v="0.35"/>
    <n v="706.6809863013699"/>
    <n v="33.192591780821914"/>
    <n v="673.48839452054801"/>
    <n v="54"/>
    <x v="1005"/>
    <n v="1006"/>
  </r>
  <r>
    <s v="SUP111"/>
    <x v="23"/>
    <s v="US"/>
    <x v="0"/>
    <s v="Medium"/>
    <n v="3046555"/>
    <s v="INV00100"/>
    <n v="15718"/>
    <d v="2025-11-13T00:00:00"/>
    <n v="30"/>
    <n v="10"/>
    <n v="0.13830000000000001"/>
    <n v="6.0400000000000002E-2"/>
    <n v="7"/>
    <s v="No"/>
    <s v="Yes"/>
    <n v="0.65"/>
    <n v="178.66844383561642"/>
    <n v="18.207042191780822"/>
    <n v="160.46140164383559"/>
    <n v="23"/>
    <x v="1006"/>
    <n v="1007"/>
  </r>
  <r>
    <s v="SUP088"/>
    <x v="12"/>
    <s v="Mexico"/>
    <x v="1"/>
    <s v="Large"/>
    <n v="22780879"/>
    <s v="INV01093"/>
    <n v="81531"/>
    <d v="2026-02-23T00:00:00"/>
    <n v="60"/>
    <n v="3"/>
    <n v="7.0800000000000002E-2"/>
    <n v="5.8599999999999999E-2"/>
    <n v="6"/>
    <s v="No"/>
    <s v="Yes"/>
    <n v="0.8"/>
    <n v="948.88681643835616"/>
    <n v="78.537807123287664"/>
    <n v="870.34900931506854"/>
    <n v="54"/>
    <x v="1007"/>
    <n v="1008"/>
  </r>
  <r>
    <s v="SUP093"/>
    <x v="48"/>
    <s v="APAC"/>
    <x v="0"/>
    <s v="Small"/>
    <n v="759292"/>
    <s v="INV00947"/>
    <n v="61465"/>
    <d v="2025-01-08T00:00:00"/>
    <n v="60"/>
    <n v="3"/>
    <n v="0.1171"/>
    <n v="5.2499999999999998E-2"/>
    <n v="6"/>
    <s v="Yes"/>
    <s v="Yes"/>
    <n v="0.2"/>
    <n v="1183.1591506849313"/>
    <n v="53.045136986301365"/>
    <n v="1130.1140136986301"/>
    <n v="54"/>
    <x v="1008"/>
    <n v="1009"/>
  </r>
  <r>
    <s v="SUP069"/>
    <x v="58"/>
    <s v="US"/>
    <x v="4"/>
    <s v="Medium"/>
    <n v="3292658"/>
    <s v="INV01392"/>
    <n v="36637"/>
    <d v="2025-05-26T00:00:00"/>
    <n v="30"/>
    <n v="4"/>
    <n v="0.11559999999999999"/>
    <n v="5.3699999999999998E-2"/>
    <n v="7"/>
    <s v="No"/>
    <s v="Yes"/>
    <n v="0.35"/>
    <n v="348.10168767123281"/>
    <n v="37.731091232876715"/>
    <n v="310.37059643835607"/>
    <n v="23"/>
    <x v="1009"/>
    <n v="1010"/>
  </r>
  <r>
    <s v="SUP041"/>
    <x v="3"/>
    <s v="Europe"/>
    <x v="0"/>
    <s v="Small"/>
    <n v="639703"/>
    <s v="INV00861"/>
    <n v="34176"/>
    <d v="2025-07-31T00:00:00"/>
    <n v="30"/>
    <n v="4"/>
    <n v="0.1148"/>
    <n v="4.8599999999999997E-2"/>
    <n v="5"/>
    <s v="No"/>
    <s v="Yes"/>
    <n v="0.35"/>
    <n v="322.47162739726025"/>
    <n v="22.752789041095888"/>
    <n v="299.71883835616438"/>
    <n v="25"/>
    <x v="1010"/>
    <n v="1011"/>
  </r>
  <r>
    <s v="SUP032"/>
    <x v="36"/>
    <s v="US"/>
    <x v="2"/>
    <s v="Medium"/>
    <n v="1954421"/>
    <s v="INV00204"/>
    <n v="26334"/>
    <d v="2025-10-14T00:00:00"/>
    <n v="60"/>
    <n v="3"/>
    <n v="0.1237"/>
    <n v="6.3600000000000004E-2"/>
    <n v="6"/>
    <s v="No"/>
    <s v="Yes"/>
    <n v="0.5"/>
    <n v="535.48204931506848"/>
    <n v="27.531655890410956"/>
    <n v="507.95039342465753"/>
    <n v="54"/>
    <x v="1011"/>
    <n v="1012"/>
  </r>
  <r>
    <s v="SUP042"/>
    <x v="93"/>
    <s v="Europe"/>
    <x v="3"/>
    <s v="Large"/>
    <n v="15261617"/>
    <s v="INV00319"/>
    <n v="47269"/>
    <d v="2025-11-04T00:00:00"/>
    <n v="60"/>
    <n v="7"/>
    <n v="9.3200000000000005E-2"/>
    <n v="4.5400000000000003E-2"/>
    <n v="5"/>
    <s v="No"/>
    <s v="Yes"/>
    <n v="0.35"/>
    <n v="724.18698082191781"/>
    <n v="29.397432876712326"/>
    <n v="694.78954794520553"/>
    <n v="55"/>
    <x v="1012"/>
    <n v="1013"/>
  </r>
  <r>
    <s v="SUP144"/>
    <x v="97"/>
    <s v="APAC"/>
    <x v="0"/>
    <s v="Large"/>
    <n v="24905394"/>
    <s v="INV00747"/>
    <n v="36450"/>
    <d v="2026-01-29T00:00:00"/>
    <n v="60"/>
    <n v="3"/>
    <n v="8.5199999999999998E-2"/>
    <n v="5.8200000000000002E-2"/>
    <n v="8"/>
    <s v="No"/>
    <s v="Yes"/>
    <n v="0.8"/>
    <n v="510.49972602739723"/>
    <n v="46.496219178082193"/>
    <n v="464.00350684931504"/>
    <n v="52"/>
    <x v="1013"/>
    <n v="1014"/>
  </r>
  <r>
    <s v="SUP026"/>
    <x v="16"/>
    <s v="Mexico"/>
    <x v="2"/>
    <s v="Large"/>
    <n v="21198154"/>
    <s v="INV00665"/>
    <n v="87951"/>
    <d v="2025-01-21T00:00:00"/>
    <n v="45"/>
    <n v="7"/>
    <n v="0.1086"/>
    <n v="6.3899999999999998E-2"/>
    <n v="10"/>
    <s v="No"/>
    <s v="Yes"/>
    <n v="0.2"/>
    <n v="1177.5795534246574"/>
    <n v="153.97449041095891"/>
    <n v="1023.6050630136986"/>
    <n v="35"/>
    <x v="1014"/>
    <n v="1015"/>
  </r>
  <r>
    <s v="SUP099"/>
    <x v="40"/>
    <s v="US"/>
    <x v="2"/>
    <s v="Medium"/>
    <n v="6280246"/>
    <s v="INV00470"/>
    <n v="32352"/>
    <d v="2025-03-09T00:00:00"/>
    <n v="30"/>
    <n v="5"/>
    <n v="0.1205"/>
    <n v="5.1200000000000002E-2"/>
    <n v="6"/>
    <s v="No"/>
    <s v="Yes"/>
    <n v="0.35"/>
    <n v="320.41775342465752"/>
    <n v="27.228861369863015"/>
    <n v="293.18889205479451"/>
    <n v="24"/>
    <x v="1015"/>
    <n v="1016"/>
  </r>
  <r>
    <s v="SUP093"/>
    <x v="48"/>
    <s v="APAC"/>
    <x v="0"/>
    <s v="Small"/>
    <n v="759292"/>
    <s v="INV00440"/>
    <n v="16726"/>
    <d v="2025-06-30T00:00:00"/>
    <n v="60"/>
    <n v="10"/>
    <n v="0.1171"/>
    <n v="4.4999999999999998E-2"/>
    <n v="6"/>
    <s v="Yes"/>
    <s v="Yes"/>
    <n v="0.65"/>
    <n v="321.96404383561639"/>
    <n v="12.372657534246574"/>
    <n v="309.59138630136982"/>
    <n v="54"/>
    <x v="1016"/>
    <n v="1017"/>
  </r>
  <r>
    <s v="SUP116"/>
    <x v="74"/>
    <s v="Canada"/>
    <x v="1"/>
    <s v="Large"/>
    <n v="13972206"/>
    <s v="INV01249"/>
    <n v="22242"/>
    <d v="2025-06-19T00:00:00"/>
    <n v="45"/>
    <n v="7"/>
    <n v="9.5000000000000001E-2"/>
    <n v="5.0999999999999997E-2"/>
    <n v="5"/>
    <s v="No"/>
    <s v="Yes"/>
    <n v="0.8"/>
    <n v="260.50561643835618"/>
    <n v="15.538931506849313"/>
    <n v="244.96668493150688"/>
    <n v="40"/>
    <x v="1017"/>
    <n v="1018"/>
  </r>
  <r>
    <s v="SUP075"/>
    <x v="11"/>
    <s v="Europe"/>
    <x v="3"/>
    <s v="Small"/>
    <n v="1224427"/>
    <s v="INV00447"/>
    <n v="40885"/>
    <d v="2025-12-25T00:00:00"/>
    <n v="60"/>
    <n v="3"/>
    <n v="0.15670000000000001"/>
    <n v="6.0999999999999999E-2"/>
    <n v="8"/>
    <s v="No"/>
    <s v="Yes"/>
    <n v="0.2"/>
    <n v="1053.152794520548"/>
    <n v="54.662684931506853"/>
    <n v="998.49010958904114"/>
    <n v="52"/>
    <x v="1018"/>
    <n v="1019"/>
  </r>
  <r>
    <s v="SUP081"/>
    <x v="54"/>
    <s v="APAC"/>
    <x v="2"/>
    <s v="Large"/>
    <n v="20068674"/>
    <s v="INV01257"/>
    <n v="19255"/>
    <d v="2025-09-04T00:00:00"/>
    <n v="30"/>
    <n v="3"/>
    <n v="0.1062"/>
    <n v="5.57E-2"/>
    <n v="8"/>
    <s v="No"/>
    <s v="Yes"/>
    <n v="0.8"/>
    <n v="168.0724109589041"/>
    <n v="23.50692602739726"/>
    <n v="144.56548493150683"/>
    <n v="22"/>
    <x v="1019"/>
    <n v="1020"/>
  </r>
  <r>
    <s v="SUP141"/>
    <x v="92"/>
    <s v="US"/>
    <x v="2"/>
    <s v="Medium"/>
    <n v="1810544"/>
    <s v="INV00097"/>
    <n v="33229"/>
    <d v="2025-04-11T00:00:00"/>
    <n v="60"/>
    <n v="10"/>
    <n v="9.6299999999999997E-2"/>
    <n v="4.9500000000000002E-2"/>
    <n v="10"/>
    <s v="No"/>
    <s v="Yes"/>
    <n v="0.5"/>
    <n v="526.01962191780819"/>
    <n v="45.063986301369866"/>
    <n v="480.95563561643831"/>
    <n v="50"/>
    <x v="1020"/>
    <n v="1021"/>
  </r>
  <r>
    <s v="SUP056"/>
    <x v="58"/>
    <s v="Europe"/>
    <x v="0"/>
    <s v="Large"/>
    <n v="14943587"/>
    <s v="INV00165"/>
    <n v="46180"/>
    <d v="2025-07-14T00:00:00"/>
    <n v="60"/>
    <n v="7"/>
    <n v="0.1046"/>
    <n v="5.6599999999999998E-2"/>
    <n v="8"/>
    <s v="No"/>
    <s v="Yes"/>
    <n v="0.35"/>
    <n v="794.04295890410958"/>
    <n v="57.288504109589041"/>
    <n v="736.7544547945206"/>
    <n v="52"/>
    <x v="1021"/>
    <n v="1022"/>
  </r>
  <r>
    <s v="SUP117"/>
    <x v="56"/>
    <s v="APAC"/>
    <x v="2"/>
    <s v="Small"/>
    <n v="407422"/>
    <s v="INV00434"/>
    <n v="30096"/>
    <d v="2025-02-21T00:00:00"/>
    <n v="90"/>
    <n v="10"/>
    <n v="0.121"/>
    <n v="4.7399999999999998E-2"/>
    <n v="6"/>
    <s v="No"/>
    <s v="Yes"/>
    <n v="0.35"/>
    <n v="897.93271232876702"/>
    <n v="23.450143561643831"/>
    <n v="874.48256876712321"/>
    <n v="84"/>
    <x v="1022"/>
    <n v="1023"/>
  </r>
  <r>
    <s v="SUP104"/>
    <x v="33"/>
    <s v="Mexico"/>
    <x v="4"/>
    <s v="Small"/>
    <n v="1410716"/>
    <s v="INV01076"/>
    <n v="18752"/>
    <d v="2025-11-20T00:00:00"/>
    <n v="60"/>
    <n v="3"/>
    <n v="0.1472"/>
    <n v="6.4799999999999996E-2"/>
    <n v="6"/>
    <s v="No"/>
    <s v="Yes"/>
    <n v="0.5"/>
    <n v="453.74702465753421"/>
    <n v="19.97473315068493"/>
    <n v="433.77229150684929"/>
    <n v="54"/>
    <x v="1023"/>
    <n v="1024"/>
  </r>
  <r>
    <s v="SUP055"/>
    <x v="69"/>
    <s v="APAC"/>
    <x v="1"/>
    <s v="Medium"/>
    <n v="2362296"/>
    <s v="INV00115"/>
    <n v="14180"/>
    <d v="2025-12-19T00:00:00"/>
    <n v="60"/>
    <n v="10"/>
    <n v="0.1077"/>
    <n v="4.7199999999999999E-2"/>
    <n v="8"/>
    <s v="No"/>
    <s v="Yes"/>
    <n v="0.9"/>
    <n v="251.04427397260275"/>
    <n v="14.669501369863012"/>
    <n v="236.37477260273974"/>
    <n v="52"/>
    <x v="1024"/>
    <n v="1025"/>
  </r>
  <r>
    <s v="SUP079"/>
    <x v="55"/>
    <s v="Canada"/>
    <x v="1"/>
    <s v="Large"/>
    <n v="9703738"/>
    <s v="INV00386"/>
    <n v="80236"/>
    <d v="2025-04-20T00:00:00"/>
    <n v="30"/>
    <n v="7"/>
    <n v="7.5499999999999998E-2"/>
    <n v="4.82E-2"/>
    <n v="10"/>
    <s v="No"/>
    <s v="Yes"/>
    <n v="0.35"/>
    <n v="497.90284931506847"/>
    <n v="105.95548493150685"/>
    <n v="391.94736438356165"/>
    <n v="20"/>
    <x v="1025"/>
    <n v="1026"/>
  </r>
  <r>
    <s v="SUP069"/>
    <x v="58"/>
    <s v="US"/>
    <x v="4"/>
    <s v="Medium"/>
    <n v="3292658"/>
    <s v="INV00171"/>
    <n v="14192"/>
    <d v="2025-08-09T00:00:00"/>
    <n v="60"/>
    <n v="4"/>
    <n v="0.11559999999999999"/>
    <n v="5.57E-2"/>
    <n v="7"/>
    <s v="Yes"/>
    <s v="Yes"/>
    <n v="0.9"/>
    <n v="269.6868821917808"/>
    <n v="15.160166575342467"/>
    <n v="254.52671561643834"/>
    <n v="53"/>
    <x v="1026"/>
    <n v="1027"/>
  </r>
  <r>
    <s v="SUP058"/>
    <x v="63"/>
    <s v="Canada"/>
    <x v="1"/>
    <s v="Medium"/>
    <n v="2406772"/>
    <s v="INV00026"/>
    <n v="24999"/>
    <d v="2025-04-27T00:00:00"/>
    <n v="60"/>
    <n v="2"/>
    <n v="0.1091"/>
    <n v="6.2100000000000002E-2"/>
    <n v="10"/>
    <s v="No"/>
    <s v="Yes"/>
    <n v="0.65"/>
    <n v="448.33823013698628"/>
    <n v="42.532545205479451"/>
    <n v="405.80568493150685"/>
    <n v="50"/>
    <x v="1027"/>
    <n v="1028"/>
  </r>
  <r>
    <s v="SUP010"/>
    <x v="10"/>
    <s v="APAC"/>
    <x v="1"/>
    <s v="Small"/>
    <n v="809893"/>
    <s v="INV00268"/>
    <n v="37969"/>
    <d v="2025-01-12T00:00:00"/>
    <n v="60"/>
    <n v="4"/>
    <n v="0.15909999999999999"/>
    <n v="5.8700000000000002E-2"/>
    <n v="5"/>
    <s v="No"/>
    <s v="Yes"/>
    <n v="0.2"/>
    <n v="993.01938082191759"/>
    <n v="30.531236986301366"/>
    <n v="962.48814383561626"/>
    <n v="55"/>
    <x v="1028"/>
    <n v="1029"/>
  </r>
  <r>
    <s v="SUP117"/>
    <x v="56"/>
    <s v="APAC"/>
    <x v="2"/>
    <s v="Small"/>
    <n v="407422"/>
    <s v="INV01208"/>
    <n v="30564"/>
    <d v="2025-07-13T00:00:00"/>
    <n v="60"/>
    <n v="2"/>
    <n v="0.121"/>
    <n v="4.99E-2"/>
    <n v="8"/>
    <s v="No"/>
    <s v="Yes"/>
    <n v="0.35"/>
    <n v="607.93052054794509"/>
    <n v="33.427804931506849"/>
    <n v="574.50271561643819"/>
    <n v="52"/>
    <x v="1029"/>
    <n v="1030"/>
  </r>
  <r>
    <s v="SUP053"/>
    <x v="86"/>
    <s v="Canada"/>
    <x v="2"/>
    <s v="Large"/>
    <n v="12001432"/>
    <s v="INV00287"/>
    <n v="35865"/>
    <d v="2026-01-17T00:00:00"/>
    <n v="60"/>
    <n v="7"/>
    <n v="9.1800000000000007E-2"/>
    <n v="4.9399999999999999E-2"/>
    <n v="10"/>
    <s v="Yes"/>
    <s v="Yes"/>
    <n v="0.5"/>
    <n v="541.21758904109583"/>
    <n v="48.54057534246575"/>
    <n v="492.67701369863011"/>
    <n v="50"/>
    <x v="1030"/>
    <n v="1031"/>
  </r>
  <r>
    <s v="SUP115"/>
    <x v="0"/>
    <s v="APAC"/>
    <x v="0"/>
    <s v="Small"/>
    <n v="1484226"/>
    <s v="INV00190"/>
    <n v="12887"/>
    <d v="2025-08-09T00:00:00"/>
    <n v="90"/>
    <n v="4"/>
    <n v="0.17929999999999999"/>
    <n v="6.1800000000000001E-2"/>
    <n v="8"/>
    <s v="No"/>
    <s v="Yes"/>
    <n v="0.5"/>
    <n v="569.74662739726023"/>
    <n v="17.455706301369865"/>
    <n v="552.29092109589033"/>
    <n v="82"/>
    <x v="1031"/>
    <n v="1032"/>
  </r>
  <r>
    <s v="SUP057"/>
    <x v="8"/>
    <s v="Mexico"/>
    <x v="1"/>
    <s v="Small"/>
    <n v="946643"/>
    <s v="INV00465"/>
    <n v="33964"/>
    <d v="2025-02-10T00:00:00"/>
    <n v="60"/>
    <n v="4"/>
    <n v="0.1648"/>
    <n v="5.3400000000000003E-2"/>
    <n v="10"/>
    <s v="No"/>
    <s v="Yes"/>
    <n v="0.2"/>
    <n v="920.09871780821913"/>
    <n v="49.689797260273977"/>
    <n v="870.40892054794517"/>
    <n v="50"/>
    <x v="1032"/>
    <n v="1033"/>
  </r>
  <r>
    <s v="SUP087"/>
    <x v="39"/>
    <s v="Europe"/>
    <x v="4"/>
    <s v="Medium"/>
    <n v="4331160"/>
    <s v="INV00787"/>
    <n v="26744"/>
    <d v="2026-01-19T00:00:00"/>
    <n v="60"/>
    <n v="3"/>
    <n v="0.12809999999999999"/>
    <n v="4.7500000000000001E-2"/>
    <n v="5"/>
    <s v="Yes"/>
    <s v="Yes"/>
    <n v="0.35"/>
    <n v="563.16269589041087"/>
    <n v="17.401917808219174"/>
    <n v="545.76077808219168"/>
    <n v="55"/>
    <x v="1033"/>
    <n v="1034"/>
  </r>
  <r>
    <s v="SUP111"/>
    <x v="23"/>
    <s v="US"/>
    <x v="0"/>
    <s v="Medium"/>
    <n v="3046555"/>
    <s v="INV00572"/>
    <n v="16660"/>
    <d v="2025-08-25T00:00:00"/>
    <n v="60"/>
    <n v="5"/>
    <n v="0.13830000000000001"/>
    <n v="4.8099999999999997E-2"/>
    <n v="8"/>
    <s v="No"/>
    <s v="Yes"/>
    <n v="0.5"/>
    <n v="378.75254794520544"/>
    <n v="17.563747945205481"/>
    <n v="361.18879999999996"/>
    <n v="52"/>
    <x v="1034"/>
    <n v="1035"/>
  </r>
  <r>
    <s v="SUP072"/>
    <x v="44"/>
    <s v="Europe"/>
    <x v="2"/>
    <s v="Medium"/>
    <n v="6782855"/>
    <s v="INV01105"/>
    <n v="15956"/>
    <d v="2025-03-18T00:00:00"/>
    <n v="45"/>
    <n v="3"/>
    <n v="0.1188"/>
    <n v="4.6600000000000003E-2"/>
    <n v="5"/>
    <s v="Yes"/>
    <s v="Yes"/>
    <n v="0.65"/>
    <n v="233.70075616438356"/>
    <n v="10.18561095890411"/>
    <n v="223.51514520547946"/>
    <n v="40"/>
    <x v="1035"/>
    <n v="1036"/>
  </r>
  <r>
    <s v="SUP058"/>
    <x v="63"/>
    <s v="Canada"/>
    <x v="1"/>
    <s v="Medium"/>
    <n v="2406772"/>
    <s v="INV01165"/>
    <n v="27937"/>
    <d v="2025-02-28T00:00:00"/>
    <n v="45"/>
    <n v="2"/>
    <n v="0.1091"/>
    <n v="5.57E-2"/>
    <n v="10"/>
    <s v="No"/>
    <s v="Yes"/>
    <n v="0.5"/>
    <n v="375.77178493150683"/>
    <n v="42.632627397260272"/>
    <n v="333.13915753424658"/>
    <n v="35"/>
    <x v="1036"/>
    <n v="1037"/>
  </r>
  <r>
    <s v="SUP064"/>
    <x v="28"/>
    <s v="Canada"/>
    <x v="4"/>
    <s v="Medium"/>
    <n v="1514188"/>
    <s v="INV00355"/>
    <n v="13620"/>
    <d v="2025-06-23T00:00:00"/>
    <n v="60"/>
    <n v="10"/>
    <n v="0.11600000000000001"/>
    <n v="5.5500000000000001E-2"/>
    <n v="10"/>
    <s v="No"/>
    <s v="Yes"/>
    <n v="0.9"/>
    <n v="259.71287671232875"/>
    <n v="20.709863013698627"/>
    <n v="239.00301369863013"/>
    <n v="50"/>
    <x v="1037"/>
    <n v="1038"/>
  </r>
  <r>
    <s v="SUP109"/>
    <x v="71"/>
    <s v="Mexico"/>
    <x v="1"/>
    <s v="Medium"/>
    <n v="2561855"/>
    <s v="INV01124"/>
    <n v="21323"/>
    <d v="2025-11-29T00:00:00"/>
    <n v="45"/>
    <n v="5"/>
    <n v="0.1037"/>
    <n v="5.0200000000000002E-2"/>
    <n v="8"/>
    <s v="No"/>
    <s v="Yes"/>
    <n v="0.65"/>
    <n v="272.61309452054792"/>
    <n v="23.46114191780822"/>
    <n v="249.1519526027397"/>
    <n v="37"/>
    <x v="1038"/>
    <n v="1039"/>
  </r>
  <r>
    <s v="SUP021"/>
    <x v="85"/>
    <s v="Canada"/>
    <x v="4"/>
    <s v="Large"/>
    <n v="17014146"/>
    <s v="INV00793"/>
    <n v="86600"/>
    <d v="2025-10-08T00:00:00"/>
    <n v="45"/>
    <n v="2"/>
    <n v="0.1037"/>
    <n v="6.0999999999999999E-2"/>
    <n v="7"/>
    <s v="No"/>
    <s v="Yes"/>
    <n v="0.2"/>
    <n v="1107.1750684931505"/>
    <n v="101.31013698630136"/>
    <n v="1005.8649315068492"/>
    <n v="38"/>
    <x v="1039"/>
    <n v="1040"/>
  </r>
  <r>
    <s v="SUP077"/>
    <x v="27"/>
    <s v="Europe"/>
    <x v="1"/>
    <s v="Medium"/>
    <n v="3573998"/>
    <s v="INV01294"/>
    <n v="27461"/>
    <d v="2025-04-03T00:00:00"/>
    <n v="30"/>
    <n v="5"/>
    <n v="0.13200000000000001"/>
    <n v="5.5100000000000003E-2"/>
    <n v="6"/>
    <s v="No"/>
    <s v="Yes"/>
    <n v="0.35"/>
    <n v="297.93304109589042"/>
    <n v="24.872894794520548"/>
    <n v="273.06014630136985"/>
    <n v="24"/>
    <x v="1040"/>
    <n v="1041"/>
  </r>
  <r>
    <s v="SUP027"/>
    <x v="99"/>
    <s v="US"/>
    <x v="1"/>
    <s v="Large"/>
    <n v="19529913"/>
    <s v="INV01233"/>
    <n v="60147"/>
    <d v="2025-01-15T00:00:00"/>
    <n v="60"/>
    <n v="5"/>
    <n v="8.7499999999999994E-2"/>
    <n v="5.2699999999999997E-2"/>
    <n v="5"/>
    <s v="No"/>
    <s v="Yes"/>
    <n v="0.35"/>
    <n v="865.12808219178066"/>
    <n v="43.4211904109589"/>
    <n v="821.70689178082171"/>
    <n v="55"/>
    <x v="1041"/>
    <n v="1042"/>
  </r>
  <r>
    <s v="SUP110"/>
    <x v="82"/>
    <s v="Europe"/>
    <x v="2"/>
    <s v="Medium"/>
    <n v="5617789"/>
    <s v="INV00169"/>
    <n v="30021"/>
    <d v="2025-01-31T00:00:00"/>
    <n v="60"/>
    <n v="3"/>
    <n v="9.5100000000000004E-2"/>
    <n v="4.6399999999999997E-2"/>
    <n v="6"/>
    <s v="Yes"/>
    <s v="Yes"/>
    <n v="0.5"/>
    <n v="469.3145917808219"/>
    <n v="22.898209315068488"/>
    <n v="446.41638246575343"/>
    <n v="54"/>
    <x v="1042"/>
    <n v="1043"/>
  </r>
  <r>
    <s v="SUP028"/>
    <x v="16"/>
    <s v="APAC"/>
    <x v="1"/>
    <s v="Small"/>
    <n v="959016"/>
    <s v="INV00421"/>
    <n v="17136"/>
    <d v="2025-11-03T00:00:00"/>
    <n v="90"/>
    <n v="3"/>
    <n v="0.1115"/>
    <n v="4.6100000000000002E-2"/>
    <n v="7"/>
    <s v="No"/>
    <s v="Yes"/>
    <n v="0.65"/>
    <n v="471.12263013698629"/>
    <n v="15.15010191780822"/>
    <n v="455.97252821917806"/>
    <n v="83"/>
    <x v="1043"/>
    <n v="1044"/>
  </r>
  <r>
    <s v="SUP143"/>
    <x v="44"/>
    <s v="US"/>
    <x v="4"/>
    <s v="Medium"/>
    <n v="3723173"/>
    <s v="INV00498"/>
    <n v="80576"/>
    <d v="2025-09-06T00:00:00"/>
    <n v="60"/>
    <n v="2"/>
    <n v="0.1069"/>
    <n v="6.1699999999999998E-2"/>
    <n v="6"/>
    <s v="Yes"/>
    <s v="Yes"/>
    <n v="0.2"/>
    <n v="1415.9300383561642"/>
    <n v="81.723932054794517"/>
    <n v="1334.2061063013698"/>
    <n v="54"/>
    <x v="1044"/>
    <n v="1045"/>
  </r>
  <r>
    <s v="SUP007"/>
    <x v="100"/>
    <s v="APAC"/>
    <x v="1"/>
    <s v="Small"/>
    <n v="1043844"/>
    <s v="INV00706"/>
    <n v="24387"/>
    <d v="2025-05-19T00:00:00"/>
    <n v="60"/>
    <n v="3"/>
    <n v="0.11550000000000001"/>
    <n v="5.5899999999999998E-2"/>
    <n v="7"/>
    <s v="No"/>
    <s v="Yes"/>
    <n v="0.5"/>
    <n v="463.0189315068493"/>
    <n v="26.144200273972601"/>
    <n v="436.87473123287668"/>
    <n v="53"/>
    <x v="1045"/>
    <n v="1046"/>
  </r>
  <r>
    <s v="SUP058"/>
    <x v="63"/>
    <s v="Canada"/>
    <x v="1"/>
    <s v="Medium"/>
    <n v="2406772"/>
    <s v="INV01369"/>
    <n v="23284"/>
    <d v="2025-10-30T00:00:00"/>
    <n v="60"/>
    <n v="5"/>
    <n v="0.1091"/>
    <n v="4.6800000000000001E-2"/>
    <n v="5"/>
    <s v="Yes"/>
    <s v="Yes"/>
    <n v="0.5"/>
    <n v="417.58099726027393"/>
    <n v="14.927276712328766"/>
    <n v="402.65372054794517"/>
    <n v="55"/>
    <x v="1046"/>
    <n v="1047"/>
  </r>
  <r>
    <s v="SUP017"/>
    <x v="70"/>
    <s v="APAC"/>
    <x v="2"/>
    <s v="Medium"/>
    <n v="5041335"/>
    <s v="INV01111"/>
    <n v="22119"/>
    <d v="2025-11-28T00:00:00"/>
    <n v="60"/>
    <n v="5"/>
    <n v="0.1198"/>
    <n v="5.45E-2"/>
    <n v="8"/>
    <s v="No"/>
    <s v="Yes"/>
    <n v="0.5"/>
    <n v="435.59280000000001"/>
    <n v="26.421600000000002"/>
    <n v="409.1712"/>
    <n v="52"/>
    <x v="1047"/>
    <n v="1048"/>
  </r>
  <r>
    <s v="SUP047"/>
    <x v="35"/>
    <s v="US"/>
    <x v="3"/>
    <s v="Medium"/>
    <n v="6056843"/>
    <s v="INV00239"/>
    <n v="50737"/>
    <d v="2025-09-28T00:00:00"/>
    <n v="60"/>
    <n v="3"/>
    <n v="0.12520000000000001"/>
    <n v="5.4899999999999997E-2"/>
    <n v="5"/>
    <s v="Yes"/>
    <s v="Yes"/>
    <n v="0.2"/>
    <n v="1044.2091616438356"/>
    <n v="38.157004109589039"/>
    <n v="1006.0521575342466"/>
    <n v="55"/>
    <x v="1048"/>
    <n v="1049"/>
  </r>
  <r>
    <s v="SUP011"/>
    <x v="39"/>
    <s v="APAC"/>
    <x v="1"/>
    <s v="Medium"/>
    <n v="3553623"/>
    <s v="INV00417"/>
    <n v="57224"/>
    <d v="2025-04-28T00:00:00"/>
    <n v="60"/>
    <n v="5"/>
    <n v="9.8199999999999996E-2"/>
    <n v="6.2700000000000006E-2"/>
    <n v="5"/>
    <s v="No"/>
    <s v="Yes"/>
    <n v="0.35"/>
    <n v="923.73646027397251"/>
    <n v="49.149928767123285"/>
    <n v="874.58653150684927"/>
    <n v="55"/>
    <x v="1049"/>
    <n v="1050"/>
  </r>
  <r>
    <s v="SUP033"/>
    <x v="50"/>
    <s v="Europe"/>
    <x v="1"/>
    <s v="Medium"/>
    <n v="2416616"/>
    <s v="INV00481"/>
    <n v="47283"/>
    <d v="2025-06-25T00:00:00"/>
    <n v="45"/>
    <n v="5"/>
    <n v="0.1024"/>
    <n v="5.9499999999999997E-2"/>
    <n v="6"/>
    <s v="Yes"/>
    <s v="Yes"/>
    <n v="0.35"/>
    <n v="596.93168219178074"/>
    <n v="46.246660273972594"/>
    <n v="550.68502191780817"/>
    <n v="39"/>
    <x v="1050"/>
    <n v="1051"/>
  </r>
  <r>
    <s v="SUP101"/>
    <x v="85"/>
    <s v="US"/>
    <x v="1"/>
    <s v="Large"/>
    <n v="16270036"/>
    <s v="INV00488"/>
    <n v="26801"/>
    <d v="2026-02-09T00:00:00"/>
    <n v="45"/>
    <n v="5"/>
    <n v="9.2200000000000004E-2"/>
    <n v="5.1499999999999997E-2"/>
    <n v="6"/>
    <s v="No"/>
    <s v="Yes"/>
    <n v="0.65"/>
    <n v="304.65027123287672"/>
    <n v="22.689065753424654"/>
    <n v="281.96120547945208"/>
    <n v="39"/>
    <x v="1051"/>
    <n v="1052"/>
  </r>
  <r>
    <s v="SUP099"/>
    <x v="40"/>
    <s v="US"/>
    <x v="2"/>
    <s v="Medium"/>
    <n v="6280246"/>
    <s v="INV01340"/>
    <n v="54183"/>
    <d v="2025-07-12T00:00:00"/>
    <n v="60"/>
    <n v="5"/>
    <n v="0.1205"/>
    <n v="5.5300000000000002E-2"/>
    <n v="5"/>
    <s v="No"/>
    <s v="Yes"/>
    <n v="0.2"/>
    <n v="1073.2687397260272"/>
    <n v="41.045478082191778"/>
    <n v="1032.2232616438355"/>
    <n v="55"/>
    <x v="1052"/>
    <n v="1053"/>
  </r>
  <r>
    <s v="SUP134"/>
    <x v="45"/>
    <s v="Europe"/>
    <x v="2"/>
    <s v="Medium"/>
    <n v="3948313"/>
    <s v="INV00645"/>
    <n v="25937"/>
    <d v="2026-02-20T00:00:00"/>
    <n v="45"/>
    <n v="7"/>
    <n v="0.1154"/>
    <n v="6.0999999999999999E-2"/>
    <n v="6"/>
    <s v="Yes"/>
    <s v="Yes"/>
    <n v="0.5"/>
    <n v="369.01600273972605"/>
    <n v="26.0080602739726"/>
    <n v="343.00794246575344"/>
    <n v="39"/>
    <x v="1053"/>
    <n v="1054"/>
  </r>
  <r>
    <s v="SUP145"/>
    <x v="32"/>
    <s v="US"/>
    <x v="2"/>
    <s v="Medium"/>
    <n v="3469396"/>
    <s v="INV01123"/>
    <n v="24335"/>
    <d v="2025-02-15T00:00:00"/>
    <n v="60"/>
    <n v="3"/>
    <n v="0.1216"/>
    <n v="6.3700000000000007E-2"/>
    <n v="6"/>
    <s v="Yes"/>
    <s v="Yes"/>
    <n v="0.5"/>
    <n v="486.43331506849313"/>
    <n v="25.481745205479452"/>
    <n v="460.95156986301367"/>
    <n v="54"/>
    <x v="1054"/>
    <n v="1055"/>
  </r>
  <r>
    <s v="SUP011"/>
    <x v="39"/>
    <s v="APAC"/>
    <x v="1"/>
    <s v="Medium"/>
    <n v="3553623"/>
    <s v="INV00866"/>
    <n v="82836"/>
    <d v="2025-01-01T00:00:00"/>
    <n v="90"/>
    <n v="3"/>
    <n v="9.8199999999999996E-2"/>
    <n v="5.5800000000000002E-2"/>
    <n v="8"/>
    <s v="No"/>
    <s v="Yes"/>
    <n v="0.2"/>
    <n v="2005.7659397260272"/>
    <n v="101.30956273972603"/>
    <n v="1904.4563769863012"/>
    <n v="82"/>
    <x v="1055"/>
    <n v="1056"/>
  </r>
  <r>
    <s v="SUP080"/>
    <x v="67"/>
    <s v="US"/>
    <x v="1"/>
    <s v="Small"/>
    <n v="1104797"/>
    <s v="INV00306"/>
    <n v="48202"/>
    <d v="2025-08-01T00:00:00"/>
    <n v="60"/>
    <n v="2"/>
    <n v="0.13320000000000001"/>
    <n v="6.0699999999999997E-2"/>
    <n v="10"/>
    <s v="No"/>
    <s v="Yes"/>
    <n v="0.2"/>
    <n v="1055.4257095890412"/>
    <n v="80.160586301369847"/>
    <n v="975.26512328767126"/>
    <n v="50"/>
    <x v="1056"/>
    <n v="1057"/>
  </r>
  <r>
    <s v="SUP012"/>
    <x v="34"/>
    <s v="Europe"/>
    <x v="4"/>
    <s v="Medium"/>
    <n v="1969242"/>
    <s v="INV01193"/>
    <n v="26444"/>
    <d v="2025-05-16T00:00:00"/>
    <n v="45"/>
    <n v="5"/>
    <n v="0.10150000000000001"/>
    <n v="4.87E-2"/>
    <n v="5"/>
    <s v="No"/>
    <s v="Yes"/>
    <n v="0.5"/>
    <n v="330.91224657534246"/>
    <n v="17.641408219178079"/>
    <n v="313.2708383561644"/>
    <n v="40"/>
    <x v="1057"/>
    <n v="1058"/>
  </r>
  <r>
    <s v="SUP063"/>
    <x v="88"/>
    <s v="Mexico"/>
    <x v="0"/>
    <s v="Medium"/>
    <n v="5790128"/>
    <s v="INV01185"/>
    <n v="61749"/>
    <d v="2026-01-21T00:00:00"/>
    <n v="45"/>
    <n v="3"/>
    <n v="9.5799999999999996E-2"/>
    <n v="6.3500000000000001E-2"/>
    <n v="10"/>
    <s v="No"/>
    <s v="Yes"/>
    <n v="0.35"/>
    <n v="729.31490136986292"/>
    <n v="107.42634246575342"/>
    <n v="621.88855890410946"/>
    <n v="35"/>
    <x v="1058"/>
    <n v="1059"/>
  </r>
  <r>
    <s v="SUP130"/>
    <x v="49"/>
    <s v="Canada"/>
    <x v="4"/>
    <s v="Medium"/>
    <n v="5681664"/>
    <s v="INV00801"/>
    <n v="51375"/>
    <d v="2025-09-20T00:00:00"/>
    <n v="60"/>
    <n v="7"/>
    <n v="0.12130000000000001"/>
    <n v="5.3600000000000002E-2"/>
    <n v="10"/>
    <s v="Yes"/>
    <s v="Yes"/>
    <n v="0.2"/>
    <n v="1024.4034246575343"/>
    <n v="75.443835616438363"/>
    <n v="948.95958904109591"/>
    <n v="50"/>
    <x v="1059"/>
    <n v="1060"/>
  </r>
  <r>
    <s v="SUP125"/>
    <x v="83"/>
    <s v="Europe"/>
    <x v="4"/>
    <s v="Large"/>
    <n v="21625874"/>
    <s v="INV00014"/>
    <n v="62940"/>
    <d v="2025-08-01T00:00:00"/>
    <n v="60"/>
    <n v="10"/>
    <n v="9.5399999999999999E-2"/>
    <n v="6.4000000000000001E-2"/>
    <n v="10"/>
    <s v="No"/>
    <s v="Yes"/>
    <n v="0.35"/>
    <n v="987.03715068493136"/>
    <n v="110.36054794520548"/>
    <n v="876.67660273972592"/>
    <n v="50"/>
    <x v="1060"/>
    <n v="1061"/>
  </r>
  <r>
    <s v="SUP108"/>
    <x v="101"/>
    <s v="Mexico"/>
    <x v="0"/>
    <s v="Large"/>
    <n v="13513506"/>
    <s v="INV00109"/>
    <n v="46664"/>
    <d v="2025-10-11T00:00:00"/>
    <n v="60"/>
    <n v="5"/>
    <n v="8.1799999999999998E-2"/>
    <n v="5.2299999999999999E-2"/>
    <n v="8"/>
    <s v="Yes"/>
    <s v="Yes"/>
    <n v="0.5"/>
    <n v="627.47099178082181"/>
    <n v="53.491007123287673"/>
    <n v="573.97998465753415"/>
    <n v="52"/>
    <x v="1061"/>
    <n v="1062"/>
  </r>
  <r>
    <s v="SUP113"/>
    <x v="81"/>
    <s v="APAC"/>
    <x v="2"/>
    <s v="Large"/>
    <n v="17195029"/>
    <s v="INV00354"/>
    <n v="29125"/>
    <d v="2025-06-10T00:00:00"/>
    <n v="60"/>
    <n v="5"/>
    <n v="7.3400000000000007E-2"/>
    <n v="4.7300000000000002E-2"/>
    <n v="8"/>
    <s v="No"/>
    <s v="Yes"/>
    <n v="0.9"/>
    <n v="351.41506849315067"/>
    <n v="30.194246575342465"/>
    <n v="321.22082191780822"/>
    <n v="52"/>
    <x v="1062"/>
    <n v="1063"/>
  </r>
  <r>
    <s v="SUP119"/>
    <x v="16"/>
    <s v="Canada"/>
    <x v="4"/>
    <s v="Large"/>
    <n v="13637712"/>
    <s v="INV01080"/>
    <n v="45730"/>
    <d v="2025-04-15T00:00:00"/>
    <n v="90"/>
    <n v="10"/>
    <n v="8.6999999999999994E-2"/>
    <n v="5.7099999999999998E-2"/>
    <n v="6"/>
    <s v="No"/>
    <s v="Yes"/>
    <n v="0.5"/>
    <n v="981.00246575342453"/>
    <n v="42.923556164383555"/>
    <n v="938.07890958904102"/>
    <n v="84"/>
    <x v="1063"/>
    <n v="1064"/>
  </r>
  <r>
    <s v="SUP089"/>
    <x v="98"/>
    <s v="Canada"/>
    <x v="0"/>
    <s v="Medium"/>
    <n v="6967315"/>
    <s v="INV01466"/>
    <n v="21697"/>
    <d v="2025-04-13T00:00:00"/>
    <n v="60"/>
    <n v="10"/>
    <n v="9.1999999999999998E-2"/>
    <n v="5.33E-2"/>
    <n v="6"/>
    <s v="No"/>
    <s v="Yes"/>
    <n v="0.8"/>
    <n v="328.12997260273971"/>
    <n v="19.010138630136986"/>
    <n v="309.11983397260275"/>
    <n v="54"/>
    <x v="1064"/>
    <n v="1065"/>
  </r>
  <r>
    <s v="SUP129"/>
    <x v="57"/>
    <s v="APAC"/>
    <x v="4"/>
    <s v="Medium"/>
    <n v="6051605"/>
    <s v="INV00585"/>
    <n v="49128"/>
    <d v="2025-03-08T00:00:00"/>
    <n v="60"/>
    <n v="3"/>
    <n v="0.11310000000000001"/>
    <n v="4.6399999999999997E-2"/>
    <n v="10"/>
    <s v="No"/>
    <s v="Yes"/>
    <n v="0.2"/>
    <n v="913.37700821917804"/>
    <n v="62.453128767123275"/>
    <n v="850.92387945205473"/>
    <n v="50"/>
    <x v="1065"/>
    <n v="1066"/>
  </r>
  <r>
    <s v="SUP027"/>
    <x v="99"/>
    <s v="US"/>
    <x v="1"/>
    <s v="Large"/>
    <n v="19529913"/>
    <s v="INV00429"/>
    <n v="24807"/>
    <d v="2025-10-06T00:00:00"/>
    <n v="60"/>
    <n v="4"/>
    <n v="8.7499999999999994E-2"/>
    <n v="5.45E-2"/>
    <n v="6"/>
    <s v="No"/>
    <s v="Yes"/>
    <n v="0.8"/>
    <n v="356.81301369863007"/>
    <n v="22.224353424657533"/>
    <n v="334.58866027397255"/>
    <n v="54"/>
    <x v="1066"/>
    <n v="1067"/>
  </r>
  <r>
    <s v="SUP027"/>
    <x v="99"/>
    <s v="US"/>
    <x v="1"/>
    <s v="Large"/>
    <n v="19529913"/>
    <s v="INV00255"/>
    <n v="23322"/>
    <d v="2025-05-05T00:00:00"/>
    <n v="60"/>
    <n v="2"/>
    <n v="8.7499999999999994E-2"/>
    <n v="5.2400000000000002E-2"/>
    <n v="7"/>
    <s v="No"/>
    <s v="Yes"/>
    <n v="0.8"/>
    <n v="335.45342465753424"/>
    <n v="23.437012602739731"/>
    <n v="312.0164120547945"/>
    <n v="53"/>
    <x v="1067"/>
    <n v="1068"/>
  </r>
  <r>
    <s v="SUP026"/>
    <x v="16"/>
    <s v="Mexico"/>
    <x v="2"/>
    <s v="Large"/>
    <n v="21198154"/>
    <s v="INV00820"/>
    <n v="42765"/>
    <d v="2025-03-31T00:00:00"/>
    <n v="45"/>
    <n v="2"/>
    <n v="0.1086"/>
    <n v="6.5000000000000002E-2"/>
    <n v="7"/>
    <s v="No"/>
    <s v="Yes"/>
    <n v="0.35"/>
    <n v="572.58234246575341"/>
    <n v="53.309794520547946"/>
    <n v="519.27254794520547"/>
    <n v="38"/>
    <x v="1068"/>
    <n v="1069"/>
  </r>
  <r>
    <s v="SUP118"/>
    <x v="31"/>
    <s v="US"/>
    <x v="1"/>
    <s v="Small"/>
    <n v="735440"/>
    <s v="INV00250"/>
    <n v="45438"/>
    <d v="2025-01-07T00:00:00"/>
    <n v="60"/>
    <n v="7"/>
    <n v="0.13020000000000001"/>
    <n v="5.8500000000000003E-2"/>
    <n v="5"/>
    <s v="Yes"/>
    <s v="Yes"/>
    <n v="0.2"/>
    <n v="972.49768767123282"/>
    <n v="36.412643835616436"/>
    <n v="936.08504383561637"/>
    <n v="55"/>
    <x v="1069"/>
    <n v="1070"/>
  </r>
  <r>
    <s v="SUP050"/>
    <x v="52"/>
    <s v="US"/>
    <x v="2"/>
    <s v="Medium"/>
    <n v="3714458"/>
    <s v="INV00649"/>
    <n v="61300"/>
    <d v="2025-12-28T00:00:00"/>
    <n v="60"/>
    <n v="2"/>
    <n v="0.1153"/>
    <n v="6.2600000000000003E-2"/>
    <n v="5"/>
    <s v="Yes"/>
    <s v="Yes"/>
    <n v="0.2"/>
    <n v="1161.8449315068492"/>
    <n v="52.566849315068495"/>
    <n v="1109.2780821917806"/>
    <n v="55"/>
    <x v="1070"/>
    <n v="1071"/>
  </r>
  <r>
    <s v="SUP065"/>
    <x v="10"/>
    <s v="Mexico"/>
    <x v="3"/>
    <s v="Medium"/>
    <n v="4269919"/>
    <s v="INV00009"/>
    <n v="21869"/>
    <d v="2025-02-16T00:00:00"/>
    <n v="45"/>
    <n v="3"/>
    <n v="0.1212"/>
    <n v="6.2199999999999998E-2"/>
    <n v="8"/>
    <s v="No"/>
    <s v="Yes"/>
    <n v="0.5"/>
    <n v="326.77678356164387"/>
    <n v="29.813738082191779"/>
    <n v="296.96304547945209"/>
    <n v="37"/>
    <x v="1071"/>
    <n v="1072"/>
  </r>
  <r>
    <s v="SUP022"/>
    <x v="37"/>
    <s v="APAC"/>
    <x v="4"/>
    <s v="Medium"/>
    <n v="6024640"/>
    <s v="INV01020"/>
    <n v="35680"/>
    <d v="2025-03-07T00:00:00"/>
    <n v="90"/>
    <n v="10"/>
    <n v="0.13769999999999999"/>
    <n v="4.8599999999999997E-2"/>
    <n v="10"/>
    <s v="No"/>
    <s v="Yes"/>
    <n v="0.2"/>
    <n v="1211.4581917808218"/>
    <n v="47.508164383561642"/>
    <n v="1163.9500273972601"/>
    <n v="80"/>
    <x v="1072"/>
    <n v="1073"/>
  </r>
  <r>
    <s v="SUP004"/>
    <x v="29"/>
    <s v="Europe"/>
    <x v="4"/>
    <s v="Small"/>
    <n v="1485779"/>
    <s v="INV00474"/>
    <n v="23738"/>
    <d v="2025-06-26T00:00:00"/>
    <n v="60"/>
    <n v="4"/>
    <n v="0.1295"/>
    <n v="5.3199999999999997E-2"/>
    <n v="6"/>
    <s v="No"/>
    <s v="Yes"/>
    <n v="0.35"/>
    <n v="505.32673972602737"/>
    <n v="20.759368767123284"/>
    <n v="484.56737095890406"/>
    <n v="54"/>
    <x v="1073"/>
    <n v="1074"/>
  </r>
  <r>
    <s v="SUP026"/>
    <x v="16"/>
    <s v="Mexico"/>
    <x v="2"/>
    <s v="Large"/>
    <n v="21198154"/>
    <s v="INV00917"/>
    <n v="21946"/>
    <d v="2025-04-27T00:00:00"/>
    <n v="60"/>
    <n v="2"/>
    <n v="0.1086"/>
    <n v="5.0900000000000001E-2"/>
    <n v="10"/>
    <s v="No"/>
    <s v="Yes"/>
    <n v="0.5"/>
    <n v="391.7811945205479"/>
    <n v="30.604147945205479"/>
    <n v="361.17704657534244"/>
    <n v="50"/>
    <x v="1074"/>
    <n v="1075"/>
  </r>
  <r>
    <s v="SUP063"/>
    <x v="88"/>
    <s v="Mexico"/>
    <x v="0"/>
    <s v="Medium"/>
    <n v="5790128"/>
    <s v="INV00201"/>
    <n v="102496"/>
    <d v="2025-03-01T00:00:00"/>
    <n v="60"/>
    <n v="4"/>
    <n v="9.5799999999999996E-2"/>
    <n v="6.5000000000000002E-2"/>
    <n v="8"/>
    <s v="Yes"/>
    <s v="Yes"/>
    <n v="0.2"/>
    <n v="1614.1013917808218"/>
    <n v="146.021698630137"/>
    <n v="1468.0796931506848"/>
    <n v="52"/>
    <x v="1075"/>
    <n v="1076"/>
  </r>
  <r>
    <s v="SUP139"/>
    <x v="55"/>
    <s v="Canada"/>
    <x v="2"/>
    <s v="Large"/>
    <n v="13330124"/>
    <s v="INV00477"/>
    <n v="63740"/>
    <d v="2025-08-05T00:00:00"/>
    <n v="45"/>
    <n v="10"/>
    <n v="0.10920000000000001"/>
    <n v="5.9700000000000003E-2"/>
    <n v="8"/>
    <s v="No"/>
    <s v="Yes"/>
    <n v="0.2"/>
    <n v="858.13249315068492"/>
    <n v="83.403353424657539"/>
    <n v="774.72913972602737"/>
    <n v="37"/>
    <x v="1076"/>
    <n v="1077"/>
  </r>
  <r>
    <s v="SUP072"/>
    <x v="44"/>
    <s v="Europe"/>
    <x v="2"/>
    <s v="Medium"/>
    <n v="6782855"/>
    <s v="INV01380"/>
    <n v="14850"/>
    <d v="2025-05-05T00:00:00"/>
    <n v="60"/>
    <n v="7"/>
    <n v="0.1188"/>
    <n v="5.4100000000000002E-2"/>
    <n v="10"/>
    <s v="No"/>
    <s v="Yes"/>
    <n v="0.65"/>
    <n v="290.00219178082193"/>
    <n v="22.010547945205477"/>
    <n v="267.99164383561646"/>
    <n v="50"/>
    <x v="1077"/>
    <n v="1078"/>
  </r>
  <r>
    <s v="SUP011"/>
    <x v="39"/>
    <s v="APAC"/>
    <x v="1"/>
    <s v="Medium"/>
    <n v="3553623"/>
    <s v="INV00809"/>
    <n v="15514"/>
    <d v="2025-04-08T00:00:00"/>
    <n v="45"/>
    <n v="10"/>
    <n v="9.8199999999999996E-2"/>
    <n v="4.7899999999999998E-2"/>
    <n v="6"/>
    <s v="No"/>
    <s v="Yes"/>
    <n v="0.8"/>
    <n v="187.82566027397257"/>
    <n v="12.215681095890409"/>
    <n v="175.60997917808217"/>
    <n v="39"/>
    <x v="1078"/>
    <n v="1079"/>
  </r>
  <r>
    <s v="SUP068"/>
    <x v="94"/>
    <s v="Europe"/>
    <x v="2"/>
    <s v="Large"/>
    <n v="17196352"/>
    <s v="INV00738"/>
    <n v="96945"/>
    <d v="2025-01-11T00:00:00"/>
    <n v="60"/>
    <n v="2"/>
    <n v="8.1500000000000003E-2"/>
    <n v="6.3200000000000006E-2"/>
    <n v="5"/>
    <s v="No"/>
    <s v="Yes"/>
    <n v="0.35"/>
    <n v="1298.7973972602738"/>
    <n v="83.93046575342467"/>
    <n v="1214.8669315068491"/>
    <n v="55"/>
    <x v="1079"/>
    <n v="1080"/>
  </r>
  <r>
    <s v="SUP061"/>
    <x v="14"/>
    <s v="Mexico"/>
    <x v="1"/>
    <s v="Small"/>
    <n v="1374525"/>
    <s v="INV01284"/>
    <n v="15236"/>
    <d v="2025-11-15T00:00:00"/>
    <n v="60"/>
    <n v="4"/>
    <n v="0.13320000000000001"/>
    <n v="5.1700000000000003E-2"/>
    <n v="8"/>
    <s v="No"/>
    <s v="Yes"/>
    <n v="0.5"/>
    <n v="333.60578630136985"/>
    <n v="17.264683835616442"/>
    <n v="316.34110246575341"/>
    <n v="52"/>
    <x v="1080"/>
    <n v="1081"/>
  </r>
  <r>
    <s v="SUP043"/>
    <x v="17"/>
    <s v="Canada"/>
    <x v="4"/>
    <s v="Medium"/>
    <n v="4153903"/>
    <s v="INV00764"/>
    <n v="16440"/>
    <d v="2026-01-03T00:00:00"/>
    <n v="45"/>
    <n v="2"/>
    <n v="0.13669999999999999"/>
    <n v="6.1499999999999999E-2"/>
    <n v="8"/>
    <s v="No"/>
    <s v="Yes"/>
    <n v="0.5"/>
    <n v="277.07030136986299"/>
    <n v="22.16021917808219"/>
    <n v="254.91008219178079"/>
    <n v="37"/>
    <x v="1081"/>
    <n v="1082"/>
  </r>
  <r>
    <s v="SUP027"/>
    <x v="99"/>
    <s v="US"/>
    <x v="1"/>
    <s v="Large"/>
    <n v="19529913"/>
    <s v="INV01371"/>
    <n v="52341"/>
    <d v="2025-01-28T00:00:00"/>
    <n v="60"/>
    <n v="10"/>
    <n v="8.7499999999999994E-2"/>
    <n v="6.3899999999999998E-2"/>
    <n v="6"/>
    <s v="No"/>
    <s v="Yes"/>
    <n v="0.5"/>
    <n v="752.84999999999991"/>
    <n v="54.979559999999992"/>
    <n v="697.87043999999992"/>
    <n v="54"/>
    <x v="1082"/>
    <n v="1083"/>
  </r>
  <r>
    <s v="SUP070"/>
    <x v="3"/>
    <s v="Mexico"/>
    <x v="1"/>
    <s v="Medium"/>
    <n v="6809493"/>
    <s v="INV00978"/>
    <n v="30705"/>
    <d v="2026-02-22T00:00:00"/>
    <n v="45"/>
    <n v="3"/>
    <n v="0.121"/>
    <n v="6.3600000000000004E-2"/>
    <n v="8"/>
    <s v="No"/>
    <s v="Yes"/>
    <n v="0.35"/>
    <n v="458.05130136986298"/>
    <n v="42.801928767123293"/>
    <n v="415.2493726027397"/>
    <n v="37"/>
    <x v="1083"/>
    <n v="1084"/>
  </r>
  <r>
    <s v="SUP058"/>
    <x v="63"/>
    <s v="Canada"/>
    <x v="1"/>
    <s v="Medium"/>
    <n v="2406772"/>
    <s v="INV00904"/>
    <n v="37929"/>
    <d v="2025-04-11T00:00:00"/>
    <n v="45"/>
    <n v="3"/>
    <n v="0.1091"/>
    <n v="6.2700000000000006E-2"/>
    <n v="6"/>
    <s v="No"/>
    <s v="Yes"/>
    <n v="0.35"/>
    <n v="510.17102876712323"/>
    <n v="39.092848767123286"/>
    <n v="471.07817999999997"/>
    <n v="39"/>
    <x v="1084"/>
    <n v="1085"/>
  </r>
  <r>
    <s v="SUP125"/>
    <x v="83"/>
    <s v="Europe"/>
    <x v="4"/>
    <s v="Large"/>
    <n v="21625874"/>
    <s v="INV00880"/>
    <n v="20526"/>
    <d v="2025-01-12T00:00:00"/>
    <n v="45"/>
    <n v="7"/>
    <n v="9.5399999999999999E-2"/>
    <n v="6.2100000000000002E-2"/>
    <n v="10"/>
    <s v="No"/>
    <s v="Yes"/>
    <n v="0.9"/>
    <n v="241.41950136986299"/>
    <n v="34.922317808219177"/>
    <n v="206.49718356164379"/>
    <n v="35"/>
    <x v="1085"/>
    <n v="1086"/>
  </r>
  <r>
    <s v="SUP042"/>
    <x v="93"/>
    <s v="Europe"/>
    <x v="3"/>
    <s v="Large"/>
    <n v="15261617"/>
    <s v="INV00737"/>
    <n v="61882"/>
    <d v="2025-05-01T00:00:00"/>
    <n v="30"/>
    <n v="4"/>
    <n v="9.3200000000000005E-2"/>
    <n v="6.4799999999999996E-2"/>
    <n v="8"/>
    <s v="No"/>
    <s v="Yes"/>
    <n v="0.35"/>
    <n v="474.03307397260272"/>
    <n v="87.889393972602733"/>
    <n v="386.14368000000002"/>
    <n v="22"/>
    <x v="1086"/>
    <n v="1087"/>
  </r>
  <r>
    <s v="SUP022"/>
    <x v="37"/>
    <s v="APAC"/>
    <x v="4"/>
    <s v="Medium"/>
    <n v="6024640"/>
    <s v="INV00929"/>
    <n v="34468"/>
    <d v="2025-07-17T00:00:00"/>
    <n v="45"/>
    <n v="7"/>
    <n v="0.13769999999999999"/>
    <n v="4.8599999999999997E-2"/>
    <n v="10"/>
    <s v="No"/>
    <s v="Yes"/>
    <n v="0.2"/>
    <n v="585.1533205479451"/>
    <n v="45.894378082191771"/>
    <n v="539.25894246575331"/>
    <n v="35"/>
    <x v="1087"/>
    <n v="1088"/>
  </r>
  <r>
    <s v="SUP047"/>
    <x v="35"/>
    <s v="US"/>
    <x v="3"/>
    <s v="Medium"/>
    <n v="6056843"/>
    <s v="INV01166"/>
    <n v="40437"/>
    <d v="2025-06-28T00:00:00"/>
    <n v="30"/>
    <n v="3"/>
    <n v="0.12520000000000001"/>
    <n v="4.9399999999999999E-2"/>
    <n v="6"/>
    <s v="No"/>
    <s v="Yes"/>
    <n v="0.2"/>
    <n v="416.11334794520548"/>
    <n v="32.837059726027391"/>
    <n v="383.27628821917807"/>
    <n v="24"/>
    <x v="1088"/>
    <n v="1089"/>
  </r>
  <r>
    <s v="SUP120"/>
    <x v="19"/>
    <s v="APAC"/>
    <x v="3"/>
    <s v="Large"/>
    <n v="9396117"/>
    <s v="INV00832"/>
    <n v="87308"/>
    <d v="2025-12-25T00:00:00"/>
    <n v="30"/>
    <n v="10"/>
    <n v="7.2400000000000006E-2"/>
    <n v="6.4600000000000005E-2"/>
    <n v="10"/>
    <s v="No"/>
    <s v="Yes"/>
    <n v="0.9"/>
    <n v="519.54240000000004"/>
    <n v="154.5232"/>
    <n v="365.01920000000007"/>
    <n v="20"/>
    <x v="1089"/>
    <n v="1090"/>
  </r>
  <r>
    <s v="SUP023"/>
    <x v="19"/>
    <s v="Canada"/>
    <x v="0"/>
    <s v="Medium"/>
    <n v="2438415"/>
    <s v="INV00331"/>
    <n v="21334"/>
    <d v="2025-03-12T00:00:00"/>
    <n v="60"/>
    <n v="3"/>
    <n v="0.13650000000000001"/>
    <n v="5.5E-2"/>
    <n v="8"/>
    <s v="No"/>
    <s v="Yes"/>
    <n v="0.35"/>
    <n v="478.69989041095891"/>
    <n v="25.71769863013699"/>
    <n v="452.98219178082195"/>
    <n v="52"/>
    <x v="1090"/>
    <n v="1091"/>
  </r>
  <r>
    <s v="SUP038"/>
    <x v="76"/>
    <s v="Canada"/>
    <x v="4"/>
    <s v="Medium"/>
    <n v="6162123"/>
    <s v="INV00389"/>
    <n v="17226"/>
    <d v="2025-01-13T00:00:00"/>
    <n v="60"/>
    <n v="4"/>
    <n v="0.1231"/>
    <n v="5.2600000000000001E-2"/>
    <n v="5"/>
    <s v="No"/>
    <s v="Yes"/>
    <n v="0.5"/>
    <n v="348.57872876712327"/>
    <n v="12.412158904109589"/>
    <n v="336.16656986301371"/>
    <n v="55"/>
    <x v="1091"/>
    <n v="1092"/>
  </r>
  <r>
    <s v="SUP102"/>
    <x v="72"/>
    <s v="Europe"/>
    <x v="2"/>
    <s v="Medium"/>
    <n v="5598489"/>
    <s v="INV01472"/>
    <n v="14123"/>
    <d v="2025-06-20T00:00:00"/>
    <n v="60"/>
    <n v="2"/>
    <n v="0.1178"/>
    <n v="6.4199999999999993E-2"/>
    <n v="7"/>
    <s v="No"/>
    <s v="Yes"/>
    <n v="0.8"/>
    <n v="273.4831890410959"/>
    <n v="17.388701917808216"/>
    <n v="256.09448712328771"/>
    <n v="53"/>
    <x v="1092"/>
    <n v="1093"/>
  </r>
  <r>
    <s v="SUP052"/>
    <x v="12"/>
    <s v="US"/>
    <x v="0"/>
    <s v="Medium"/>
    <n v="6127831"/>
    <s v="INV00489"/>
    <n v="43862"/>
    <d v="2025-05-08T00:00:00"/>
    <n v="30"/>
    <n v="2"/>
    <n v="0.12529999999999999"/>
    <n v="5.6599999999999998E-2"/>
    <n v="8"/>
    <s v="No"/>
    <s v="Yes"/>
    <n v="0.2"/>
    <n v="451.7185150684931"/>
    <n v="54.412913972602738"/>
    <n v="397.30560109589038"/>
    <n v="22"/>
    <x v="1093"/>
    <n v="1094"/>
  </r>
  <r>
    <s v="SUP025"/>
    <x v="96"/>
    <s v="Mexico"/>
    <x v="3"/>
    <s v="Medium"/>
    <n v="2577026"/>
    <s v="INV01151"/>
    <n v="46668"/>
    <d v="2025-01-14T00:00:00"/>
    <n v="60"/>
    <n v="5"/>
    <n v="0.123"/>
    <n v="5.8500000000000003E-2"/>
    <n v="5"/>
    <s v="No"/>
    <s v="Yes"/>
    <n v="0.2"/>
    <n v="943.58860273972596"/>
    <n v="37.398328767123289"/>
    <n v="906.19027397260265"/>
    <n v="55"/>
    <x v="1094"/>
    <n v="1095"/>
  </r>
  <r>
    <s v="SUP001"/>
    <x v="20"/>
    <s v="Canada"/>
    <x v="0"/>
    <s v="Medium"/>
    <n v="1709806"/>
    <s v="INV00969"/>
    <n v="13682"/>
    <d v="2026-01-16T00:00:00"/>
    <n v="90"/>
    <n v="10"/>
    <n v="0.12709999999999999"/>
    <n v="5.9499999999999997E-2"/>
    <n v="8"/>
    <s v="No"/>
    <s v="Yes"/>
    <n v="0.65"/>
    <n v="428.79013150684926"/>
    <n v="17.842827397260272"/>
    <n v="410.94730410958897"/>
    <n v="82"/>
    <x v="1095"/>
    <n v="1096"/>
  </r>
  <r>
    <s v="SUP054"/>
    <x v="4"/>
    <s v="Mexico"/>
    <x v="1"/>
    <s v="Small"/>
    <n v="896464"/>
    <s v="INV01030"/>
    <n v="20645"/>
    <d v="2025-05-21T00:00:00"/>
    <n v="60"/>
    <n v="2"/>
    <n v="0.13550000000000001"/>
    <n v="5.2299999999999999E-2"/>
    <n v="7"/>
    <s v="No"/>
    <s v="Yes"/>
    <n v="0.35"/>
    <n v="459.84616438356164"/>
    <n v="20.70721780821918"/>
    <n v="439.13894657534246"/>
    <n v="53"/>
    <x v="1096"/>
    <n v="1097"/>
  </r>
  <r>
    <s v="SUP046"/>
    <x v="47"/>
    <s v="Mexico"/>
    <x v="1"/>
    <s v="Small"/>
    <n v="981924"/>
    <s v="INV01089"/>
    <n v="14779"/>
    <d v="2025-01-01T00:00:00"/>
    <n v="60"/>
    <n v="2"/>
    <n v="0.17169999999999999"/>
    <n v="5.5899999999999998E-2"/>
    <n v="5"/>
    <s v="No"/>
    <s v="Yes"/>
    <n v="0.35"/>
    <n v="417.1322136986301"/>
    <n v="11.317069863013698"/>
    <n v="405.81514383561642"/>
    <n v="55"/>
    <x v="1097"/>
    <n v="1098"/>
  </r>
  <r>
    <s v="SUP068"/>
    <x v="94"/>
    <s v="Europe"/>
    <x v="2"/>
    <s v="Large"/>
    <n v="17196352"/>
    <s v="INV00697"/>
    <n v="55963"/>
    <d v="2025-08-01T00:00:00"/>
    <n v="30"/>
    <n v="7"/>
    <n v="8.1500000000000003E-2"/>
    <n v="6.0100000000000001E-2"/>
    <n v="5"/>
    <s v="Yes"/>
    <s v="Yes"/>
    <n v="0.5"/>
    <n v="374.87543835616441"/>
    <n v="46.073647945205472"/>
    <n v="328.80179041095892"/>
    <n v="25"/>
    <x v="1098"/>
    <n v="1099"/>
  </r>
  <r>
    <s v="SUP049"/>
    <x v="60"/>
    <s v="Mexico"/>
    <x v="1"/>
    <s v="Medium"/>
    <n v="2803992"/>
    <s v="INV00563"/>
    <n v="20869"/>
    <d v="2025-06-18T00:00:00"/>
    <n v="60"/>
    <n v="7"/>
    <n v="0.1036"/>
    <n v="4.6300000000000001E-2"/>
    <n v="8"/>
    <s v="Yes"/>
    <s v="Yes"/>
    <n v="0.5"/>
    <n v="355.40192876712331"/>
    <n v="21.177746849315067"/>
    <n v="334.22418191780827"/>
    <n v="52"/>
    <x v="1099"/>
    <n v="1100"/>
  </r>
  <r>
    <s v="SUP019"/>
    <x v="73"/>
    <s v="Europe"/>
    <x v="0"/>
    <s v="Medium"/>
    <n v="4353599"/>
    <s v="INV00672"/>
    <n v="93324"/>
    <d v="2025-02-26T00:00:00"/>
    <n v="90"/>
    <n v="10"/>
    <n v="9.5600000000000004E-2"/>
    <n v="6.3600000000000004E-2"/>
    <n v="10"/>
    <s v="No"/>
    <s v="Yes"/>
    <n v="0.2"/>
    <n v="2199.8895780821917"/>
    <n v="162.61387397260276"/>
    <n v="2037.275704109589"/>
    <n v="80"/>
    <x v="1100"/>
    <n v="1101"/>
  </r>
  <r>
    <s v="SUP131"/>
    <x v="68"/>
    <s v="US"/>
    <x v="0"/>
    <s v="Medium"/>
    <n v="3916164"/>
    <s v="INV00269"/>
    <n v="20450"/>
    <d v="2025-03-04T00:00:00"/>
    <n v="45"/>
    <n v="10"/>
    <n v="0.1119"/>
    <n v="5.3900000000000003E-2"/>
    <n v="6"/>
    <s v="Yes"/>
    <s v="Yes"/>
    <n v="0.5"/>
    <n v="282.12595890410955"/>
    <n v="18.119260273972603"/>
    <n v="264.00669863013695"/>
    <n v="39"/>
    <x v="1101"/>
    <n v="1102"/>
  </r>
  <r>
    <s v="SUP118"/>
    <x v="31"/>
    <s v="US"/>
    <x v="1"/>
    <s v="Small"/>
    <n v="735440"/>
    <s v="INV00039"/>
    <n v="13007"/>
    <d v="2026-01-18T00:00:00"/>
    <n v="45"/>
    <n v="3"/>
    <n v="0.13020000000000001"/>
    <n v="6.0299999999999999E-2"/>
    <n v="7"/>
    <s v="No"/>
    <s v="Yes"/>
    <n v="0.65"/>
    <n v="208.78907671232878"/>
    <n v="15.041793698630137"/>
    <n v="193.74728301369865"/>
    <n v="38"/>
    <x v="1102"/>
    <n v="1103"/>
  </r>
  <r>
    <s v="SUP062"/>
    <x v="89"/>
    <s v="Mexico"/>
    <x v="4"/>
    <s v="Medium"/>
    <n v="3726894"/>
    <s v="INV00516"/>
    <n v="41716"/>
    <d v="2025-10-04T00:00:00"/>
    <n v="60"/>
    <n v="7"/>
    <n v="9.1899999999999996E-2"/>
    <n v="6.3600000000000004E-2"/>
    <n v="8"/>
    <s v="Yes"/>
    <s v="Yes"/>
    <n v="0.5"/>
    <n v="630.19732602739714"/>
    <n v="58.150961095890409"/>
    <n v="572.04636493150679"/>
    <n v="52"/>
    <x v="1103"/>
    <n v="1104"/>
  </r>
  <r>
    <s v="SUP030"/>
    <x v="78"/>
    <s v="Canada"/>
    <x v="2"/>
    <s v="Small"/>
    <n v="1267987"/>
    <s v="INV00681"/>
    <n v="14815"/>
    <d v="2025-07-30T00:00:00"/>
    <n v="45"/>
    <n v="2"/>
    <n v="0.125"/>
    <n v="4.5400000000000003E-2"/>
    <n v="6"/>
    <s v="No"/>
    <s v="Yes"/>
    <n v="0.5"/>
    <n v="228.31335616438355"/>
    <n v="11.056454794520548"/>
    <n v="217.25690136986299"/>
    <n v="39"/>
    <x v="1104"/>
    <n v="1105"/>
  </r>
  <r>
    <s v="SUP048"/>
    <x v="6"/>
    <s v="US"/>
    <x v="0"/>
    <s v="Small"/>
    <n v="467236"/>
    <s v="INV01250"/>
    <n v="14954"/>
    <d v="2025-05-28T00:00:00"/>
    <n v="45"/>
    <n v="4"/>
    <n v="0.1757"/>
    <n v="6.3399999999999998E-2"/>
    <n v="7"/>
    <s v="No"/>
    <s v="Yes"/>
    <n v="0.35"/>
    <n v="323.92822191780817"/>
    <n v="18.182425205479451"/>
    <n v="305.74579671232874"/>
    <n v="38"/>
    <x v="1105"/>
    <n v="1106"/>
  </r>
  <r>
    <s v="SUP027"/>
    <x v="99"/>
    <s v="US"/>
    <x v="1"/>
    <s v="Large"/>
    <n v="19529913"/>
    <s v="INV01044"/>
    <n v="18672"/>
    <d v="2026-01-28T00:00:00"/>
    <n v="60"/>
    <n v="5"/>
    <n v="8.7499999999999994E-2"/>
    <n v="4.8399999999999999E-2"/>
    <n v="5"/>
    <s v="No"/>
    <s v="Yes"/>
    <n v="0.8"/>
    <n v="268.56986301369858"/>
    <n v="12.379791780821916"/>
    <n v="256.19007123287668"/>
    <n v="55"/>
    <x v="1106"/>
    <n v="1107"/>
  </r>
  <r>
    <s v="SUP121"/>
    <x v="46"/>
    <s v="Europe"/>
    <x v="4"/>
    <s v="Large"/>
    <n v="21735545"/>
    <s v="INV00655"/>
    <n v="77210"/>
    <d v="2025-05-09T00:00:00"/>
    <n v="45"/>
    <n v="10"/>
    <n v="7.4999999999999997E-2"/>
    <n v="6.3500000000000001E-2"/>
    <n v="5"/>
    <s v="No"/>
    <s v="Yes"/>
    <n v="0.65"/>
    <n v="713.92808219178073"/>
    <n v="67.162123287671236"/>
    <n v="646.76595890410954"/>
    <n v="40"/>
    <x v="1107"/>
    <n v="1108"/>
  </r>
  <r>
    <s v="SUP120"/>
    <x v="19"/>
    <s v="APAC"/>
    <x v="3"/>
    <s v="Large"/>
    <n v="9396117"/>
    <s v="INV00732"/>
    <n v="62283"/>
    <d v="2025-12-28T00:00:00"/>
    <n v="60"/>
    <n v="5"/>
    <n v="7.2400000000000006E-2"/>
    <n v="5.3900000000000003E-2"/>
    <n v="5"/>
    <s v="Yes"/>
    <s v="Yes"/>
    <n v="0.5"/>
    <n v="741.25301917808213"/>
    <n v="45.987036986301369"/>
    <n v="695.26598219178072"/>
    <n v="55"/>
    <x v="1108"/>
    <n v="1109"/>
  </r>
  <r>
    <s v="SUP034"/>
    <x v="15"/>
    <s v="APAC"/>
    <x v="0"/>
    <s v="Medium"/>
    <n v="3836607"/>
    <s v="INV00779"/>
    <n v="58439"/>
    <d v="2025-05-10T00:00:00"/>
    <n v="90"/>
    <n v="10"/>
    <n v="0.11310000000000001"/>
    <n v="6.4299999999999996E-2"/>
    <n v="10"/>
    <s v="No"/>
    <s v="Yes"/>
    <n v="0.2"/>
    <n v="1629.7276191780823"/>
    <n v="102.94870410958902"/>
    <n v="1526.7789150684932"/>
    <n v="80"/>
    <x v="1109"/>
    <n v="1110"/>
  </r>
  <r>
    <s v="SUP051"/>
    <x v="75"/>
    <s v="Mexico"/>
    <x v="1"/>
    <s v="Large"/>
    <n v="8479307"/>
    <s v="INV00687"/>
    <n v="60878"/>
    <d v="2026-01-29T00:00:00"/>
    <n v="60"/>
    <n v="3"/>
    <n v="7.0099999999999996E-2"/>
    <n v="5.57E-2"/>
    <n v="5"/>
    <s v="No"/>
    <s v="Yes"/>
    <n v="0.65"/>
    <n v="701.51470684931496"/>
    <n v="46.450747945205478"/>
    <n v="655.06395890410954"/>
    <n v="55"/>
    <x v="1110"/>
    <n v="1111"/>
  </r>
  <r>
    <s v="SUP031"/>
    <x v="102"/>
    <s v="Mexico"/>
    <x v="2"/>
    <s v="Large"/>
    <n v="13389097"/>
    <s v="INV01006"/>
    <n v="107341"/>
    <d v="2025-08-05T00:00:00"/>
    <n v="60"/>
    <n v="10"/>
    <n v="7.3800000000000004E-2"/>
    <n v="6.3200000000000006E-2"/>
    <n v="6"/>
    <s v="No"/>
    <s v="Yes"/>
    <n v="0.5"/>
    <n v="1302.2080767123286"/>
    <n v="111.51700602739726"/>
    <n v="1190.6910706849314"/>
    <n v="54"/>
    <x v="1111"/>
    <n v="1112"/>
  </r>
  <r>
    <s v="SUP042"/>
    <x v="93"/>
    <s v="Europe"/>
    <x v="3"/>
    <s v="Large"/>
    <n v="15261617"/>
    <s v="INV01289"/>
    <n v="18741"/>
    <d v="2025-05-31T00:00:00"/>
    <n v="60"/>
    <n v="10"/>
    <n v="9.3200000000000005E-2"/>
    <n v="5.5500000000000001E-2"/>
    <n v="8"/>
    <s v="No"/>
    <s v="Yes"/>
    <n v="0.8"/>
    <n v="287.12238904109586"/>
    <n v="22.797271232876714"/>
    <n v="264.32511780821915"/>
    <n v="52"/>
    <x v="1112"/>
    <n v="1113"/>
  </r>
  <r>
    <s v="SUP142"/>
    <x v="91"/>
    <s v="Canada"/>
    <x v="0"/>
    <s v="Small"/>
    <n v="1208247"/>
    <s v="INV00160"/>
    <n v="17183"/>
    <d v="2025-04-17T00:00:00"/>
    <n v="90"/>
    <n v="3"/>
    <n v="0.1111"/>
    <n v="6.1100000000000002E-2"/>
    <n v="10"/>
    <s v="No"/>
    <s v="Yes"/>
    <n v="0.65"/>
    <n v="470.72004657534245"/>
    <n v="28.76387123287671"/>
    <n v="441.95617534246571"/>
    <n v="80"/>
    <x v="1113"/>
    <n v="1114"/>
  </r>
  <r>
    <s v="SUP143"/>
    <x v="44"/>
    <s v="US"/>
    <x v="4"/>
    <s v="Medium"/>
    <n v="3723173"/>
    <s v="INV00188"/>
    <n v="47180"/>
    <d v="2025-07-04T00:00:00"/>
    <n v="60"/>
    <n v="2"/>
    <n v="0.1069"/>
    <n v="4.8300000000000003E-2"/>
    <n v="7"/>
    <s v="No"/>
    <s v="Yes"/>
    <n v="0.2"/>
    <n v="829.0753972602738"/>
    <n v="43.702898630136993"/>
    <n v="785.37249863013676"/>
    <n v="53"/>
    <x v="1114"/>
    <n v="1115"/>
  </r>
  <r>
    <s v="SUP002"/>
    <x v="90"/>
    <s v="US"/>
    <x v="0"/>
    <s v="Medium"/>
    <n v="6074867"/>
    <s v="INV00859"/>
    <n v="56558"/>
    <d v="2025-02-20T00:00:00"/>
    <n v="60"/>
    <n v="5"/>
    <n v="9.4299999999999995E-2"/>
    <n v="4.5499999999999999E-2"/>
    <n v="10"/>
    <s v="No"/>
    <s v="Yes"/>
    <n v="0.2"/>
    <n v="876.72647671232869"/>
    <n v="70.503808219178083"/>
    <n v="806.22266849315065"/>
    <n v="50"/>
    <x v="1115"/>
    <n v="1116"/>
  </r>
  <r>
    <s v="SUP006"/>
    <x v="4"/>
    <s v="Europe"/>
    <x v="3"/>
    <s v="Small"/>
    <n v="971327"/>
    <s v="INV01256"/>
    <n v="16666"/>
    <d v="2025-01-11T00:00:00"/>
    <n v="60"/>
    <n v="3"/>
    <n v="0.15229999999999999"/>
    <n v="5.8000000000000003E-2"/>
    <n v="8"/>
    <s v="No"/>
    <s v="Yes"/>
    <n v="0.35"/>
    <n v="417.24358356164379"/>
    <n v="21.186367123287674"/>
    <n v="396.05721643835614"/>
    <n v="52"/>
    <x v="1116"/>
    <n v="1117"/>
  </r>
  <r>
    <s v="SUP007"/>
    <x v="100"/>
    <s v="APAC"/>
    <x v="1"/>
    <s v="Small"/>
    <n v="1043844"/>
    <s v="INV01360"/>
    <n v="52683"/>
    <d v="2025-11-28T00:00:00"/>
    <n v="60"/>
    <n v="4"/>
    <n v="0.11550000000000001"/>
    <n v="6.3299999999999995E-2"/>
    <n v="10"/>
    <s v="No"/>
    <s v="Yes"/>
    <n v="0.2"/>
    <n v="1000.2553150684931"/>
    <n v="91.365312328767104"/>
    <n v="908.89000273972601"/>
    <n v="50"/>
    <x v="1117"/>
    <n v="1118"/>
  </r>
  <r>
    <s v="SUP076"/>
    <x v="95"/>
    <s v="Canada"/>
    <x v="2"/>
    <s v="Large"/>
    <n v="23937545"/>
    <s v="INV00632"/>
    <n v="68525"/>
    <d v="2025-02-06T00:00:00"/>
    <n v="45"/>
    <n v="10"/>
    <n v="8.7099999999999997E-2"/>
    <n v="4.7100000000000003E-2"/>
    <n v="8"/>
    <s v="No"/>
    <s v="Yes"/>
    <n v="0.2"/>
    <n v="735.84585616438358"/>
    <n v="70.740328767123287"/>
    <n v="665.10552739726029"/>
    <n v="37"/>
    <x v="1118"/>
    <n v="1119"/>
  </r>
  <r>
    <s v="SUP033"/>
    <x v="50"/>
    <s v="Europe"/>
    <x v="1"/>
    <s v="Medium"/>
    <n v="2416616"/>
    <s v="INV00185"/>
    <n v="23442"/>
    <d v="2025-10-11T00:00:00"/>
    <n v="45"/>
    <n v="5"/>
    <n v="0.1024"/>
    <n v="5.6099999999999997E-2"/>
    <n v="10"/>
    <s v="No"/>
    <s v="Yes"/>
    <n v="0.5"/>
    <n v="295.94722191780824"/>
    <n v="36.030032876712326"/>
    <n v="259.91718904109592"/>
    <n v="35"/>
    <x v="1119"/>
    <n v="1120"/>
  </r>
  <r>
    <s v="SUP044"/>
    <x v="9"/>
    <s v="US"/>
    <x v="2"/>
    <s v="Small"/>
    <n v="879139"/>
    <s v="INV00705"/>
    <n v="18385"/>
    <d v="2026-01-27T00:00:00"/>
    <n v="45"/>
    <n v="7"/>
    <n v="0.14199999999999999"/>
    <n v="5.7799999999999997E-2"/>
    <n v="5"/>
    <s v="No"/>
    <s v="Yes"/>
    <n v="0.35"/>
    <n v="321.86342465753415"/>
    <n v="14.556890410958903"/>
    <n v="307.30653424657527"/>
    <n v="40"/>
    <x v="1120"/>
    <n v="1121"/>
  </r>
  <r>
    <s v="SUP114"/>
    <x v="77"/>
    <s v="Europe"/>
    <x v="2"/>
    <s v="Medium"/>
    <n v="6687670"/>
    <s v="INV01224"/>
    <n v="12780"/>
    <d v="2025-02-24T00:00:00"/>
    <n v="60"/>
    <n v="7"/>
    <n v="0.1013"/>
    <n v="5.4199999999999998E-2"/>
    <n v="5"/>
    <s v="Yes"/>
    <s v="Yes"/>
    <n v="0.9"/>
    <n v="212.81326027397259"/>
    <n v="9.4887123287671216"/>
    <n v="203.32454794520547"/>
    <n v="55"/>
    <x v="1121"/>
    <n v="1122"/>
  </r>
  <r>
    <s v="SUP031"/>
    <x v="102"/>
    <s v="Mexico"/>
    <x v="2"/>
    <s v="Large"/>
    <n v="13389097"/>
    <s v="INV00768"/>
    <n v="79681"/>
    <d v="2025-08-20T00:00:00"/>
    <n v="60"/>
    <n v="10"/>
    <n v="7.3800000000000004E-2"/>
    <n v="6.0299999999999999E-2"/>
    <n v="10"/>
    <s v="No"/>
    <s v="Yes"/>
    <n v="0.5"/>
    <n v="966.65059726027391"/>
    <n v="131.63737808219176"/>
    <n v="835.01321917808218"/>
    <n v="50"/>
    <x v="1122"/>
    <n v="1123"/>
  </r>
  <r>
    <s v="SUP124"/>
    <x v="43"/>
    <s v="Mexico"/>
    <x v="1"/>
    <s v="Small"/>
    <n v="617401"/>
    <s v="INV00586"/>
    <n v="15800"/>
    <d v="2025-12-27T00:00:00"/>
    <n v="60"/>
    <n v="10"/>
    <n v="0.1429"/>
    <n v="4.5999999999999999E-2"/>
    <n v="8"/>
    <s v="Yes"/>
    <s v="Yes"/>
    <n v="0.35"/>
    <n v="371.14849315068494"/>
    <n v="15.929863013698629"/>
    <n v="355.21863013698629"/>
    <n v="52"/>
    <x v="1123"/>
    <n v="1124"/>
  </r>
  <r>
    <s v="SUP076"/>
    <x v="95"/>
    <s v="Canada"/>
    <x v="2"/>
    <s v="Large"/>
    <n v="23937545"/>
    <s v="INV00991"/>
    <n v="68087"/>
    <d v="2025-12-31T00:00:00"/>
    <n v="90"/>
    <n v="5"/>
    <n v="8.7099999999999997E-2"/>
    <n v="6.4699999999999994E-2"/>
    <n v="5"/>
    <s v="No"/>
    <s v="Yes"/>
    <n v="0.35"/>
    <n v="1462.2849123287669"/>
    <n v="60.345601369862997"/>
    <n v="1401.9393109589039"/>
    <n v="85"/>
    <x v="1124"/>
    <n v="1125"/>
  </r>
  <r>
    <s v="SUP056"/>
    <x v="58"/>
    <s v="Europe"/>
    <x v="0"/>
    <s v="Large"/>
    <n v="14943587"/>
    <s v="INV00376"/>
    <n v="25955"/>
    <d v="2025-05-27T00:00:00"/>
    <n v="30"/>
    <n v="3"/>
    <n v="0.1046"/>
    <n v="4.6100000000000002E-2"/>
    <n v="5"/>
    <s v="Yes"/>
    <s v="Yes"/>
    <n v="0.35"/>
    <n v="223.14189041095889"/>
    <n v="16.390760273972603"/>
    <n v="206.75113013698629"/>
    <n v="25"/>
    <x v="1125"/>
    <n v="1126"/>
  </r>
  <r>
    <s v="SUP072"/>
    <x v="44"/>
    <s v="Europe"/>
    <x v="2"/>
    <s v="Medium"/>
    <n v="6782855"/>
    <s v="INV01348"/>
    <n v="24414"/>
    <d v="2025-06-26T00:00:00"/>
    <n v="30"/>
    <n v="5"/>
    <n v="0.1188"/>
    <n v="5.6899999999999999E-2"/>
    <n v="5"/>
    <s v="No"/>
    <s v="Yes"/>
    <n v="0.35"/>
    <n v="238.38766027397261"/>
    <n v="19.029542465753423"/>
    <n v="219.35811780821919"/>
    <n v="25"/>
    <x v="1126"/>
    <n v="1127"/>
  </r>
  <r>
    <s v="SUP062"/>
    <x v="89"/>
    <s v="Mexico"/>
    <x v="4"/>
    <s v="Medium"/>
    <n v="3726894"/>
    <s v="INV00138"/>
    <n v="52760"/>
    <d v="2025-09-02T00:00:00"/>
    <n v="60"/>
    <n v="10"/>
    <n v="9.1899999999999996E-2"/>
    <n v="6.3299999999999995E-2"/>
    <n v="7"/>
    <s v="No"/>
    <s v="Yes"/>
    <n v="0.35"/>
    <n v="797.03736986301351"/>
    <n v="64.049194520547942"/>
    <n v="732.98817534246552"/>
    <n v="53"/>
    <x v="1127"/>
    <n v="1128"/>
  </r>
  <r>
    <s v="SUP016"/>
    <x v="87"/>
    <s v="US"/>
    <x v="1"/>
    <s v="Large"/>
    <n v="11641644"/>
    <s v="INV01203"/>
    <n v="58156"/>
    <d v="2025-10-18T00:00:00"/>
    <n v="90"/>
    <n v="7"/>
    <n v="9.0399999999999994E-2"/>
    <n v="4.4999999999999998E-2"/>
    <n v="6"/>
    <s v="No"/>
    <s v="Yes"/>
    <n v="0.2"/>
    <n v="1296.3211397260272"/>
    <n v="43.019506849315064"/>
    <n v="1253.3016328767121"/>
    <n v="84"/>
    <x v="1128"/>
    <n v="1129"/>
  </r>
  <r>
    <s v="SUP056"/>
    <x v="58"/>
    <s v="Europe"/>
    <x v="0"/>
    <s v="Large"/>
    <n v="14943587"/>
    <s v="INV00942"/>
    <n v="29888"/>
    <d v="2026-01-01T00:00:00"/>
    <n v="60"/>
    <n v="10"/>
    <n v="0.1046"/>
    <n v="5.4300000000000001E-2"/>
    <n v="8"/>
    <s v="Yes"/>
    <s v="Yes"/>
    <n v="0.35"/>
    <n v="513.90983013698622"/>
    <n v="35.570814246575345"/>
    <n v="478.33901589041085"/>
    <n v="52"/>
    <x v="1129"/>
    <n v="1130"/>
  </r>
  <r>
    <s v="SUP068"/>
    <x v="94"/>
    <s v="Europe"/>
    <x v="2"/>
    <s v="Large"/>
    <n v="17196352"/>
    <s v="INV01204"/>
    <n v="101135"/>
    <d v="2025-06-05T00:00:00"/>
    <n v="90"/>
    <n v="3"/>
    <n v="8.1500000000000003E-2"/>
    <n v="5.5500000000000001E-2"/>
    <n v="6"/>
    <s v="No"/>
    <s v="Yes"/>
    <n v="0.2"/>
    <n v="2032.3978767123288"/>
    <n v="92.268369863013689"/>
    <n v="1940.129506849315"/>
    <n v="84"/>
    <x v="1130"/>
    <n v="1131"/>
  </r>
  <r>
    <s v="SUP101"/>
    <x v="85"/>
    <s v="US"/>
    <x v="1"/>
    <s v="Large"/>
    <n v="16270036"/>
    <s v="INV00398"/>
    <n v="32489"/>
    <d v="2025-12-13T00:00:00"/>
    <n v="60"/>
    <n v="3"/>
    <n v="9.2200000000000004E-2"/>
    <n v="5.9900000000000002E-2"/>
    <n v="10"/>
    <s v="No"/>
    <s v="Yes"/>
    <n v="0.5"/>
    <n v="492.40862465753423"/>
    <n v="53.317564383561646"/>
    <n v="439.09106027397257"/>
    <n v="50"/>
    <x v="1131"/>
    <n v="1132"/>
  </r>
  <r>
    <s v="SUP132"/>
    <x v="62"/>
    <s v="US"/>
    <x v="3"/>
    <s v="Large"/>
    <n v="15029491"/>
    <s v="INV00020"/>
    <n v="29038"/>
    <d v="2025-10-29T00:00:00"/>
    <n v="60"/>
    <n v="3"/>
    <n v="9.8400000000000001E-2"/>
    <n v="4.7199999999999999E-2"/>
    <n v="5"/>
    <s v="Yes"/>
    <s v="Yes"/>
    <n v="0.35"/>
    <n v="469.69959452054792"/>
    <n v="18.775254794520546"/>
    <n v="450.92433972602737"/>
    <n v="55"/>
    <x v="1132"/>
    <n v="1133"/>
  </r>
  <r>
    <s v="SUP027"/>
    <x v="99"/>
    <s v="US"/>
    <x v="1"/>
    <s v="Large"/>
    <n v="19529913"/>
    <s v="INV00126"/>
    <n v="88917"/>
    <d v="2025-07-31T00:00:00"/>
    <n v="45"/>
    <n v="2"/>
    <n v="8.7499999999999994E-2"/>
    <n v="5.8400000000000001E-2"/>
    <n v="10"/>
    <s v="Yes"/>
    <s v="Yes"/>
    <n v="0.2"/>
    <n v="959.20736301369845"/>
    <n v="142.2672"/>
    <n v="816.94016301369845"/>
    <n v="35"/>
    <x v="1133"/>
    <n v="1134"/>
  </r>
  <r>
    <s v="SUP121"/>
    <x v="46"/>
    <s v="Europe"/>
    <x v="4"/>
    <s v="Large"/>
    <n v="21735545"/>
    <s v="INV00617"/>
    <n v="103851"/>
    <d v="2025-11-01T00:00:00"/>
    <n v="45"/>
    <n v="3"/>
    <n v="7.4999999999999997E-2"/>
    <n v="6.0999999999999999E-2"/>
    <n v="5"/>
    <s v="No"/>
    <s v="Yes"/>
    <n v="0.35"/>
    <n v="960.26609589041084"/>
    <n v="86.77960273972603"/>
    <n v="873.48649315068485"/>
    <n v="40"/>
    <x v="1134"/>
    <n v="1135"/>
  </r>
  <r>
    <s v="SUP061"/>
    <x v="14"/>
    <s v="Mexico"/>
    <x v="1"/>
    <s v="Small"/>
    <n v="1374525"/>
    <s v="INV00886"/>
    <n v="33558"/>
    <d v="2025-10-31T00:00:00"/>
    <n v="60"/>
    <n v="2"/>
    <n v="0.13320000000000001"/>
    <n v="5.7500000000000002E-2"/>
    <n v="5"/>
    <s v="Yes"/>
    <s v="Yes"/>
    <n v="0.2"/>
    <n v="734.78229041095892"/>
    <n v="26.432671232876711"/>
    <n v="708.34961917808221"/>
    <n v="55"/>
    <x v="1135"/>
    <n v="1136"/>
  </r>
  <r>
    <s v="SUP016"/>
    <x v="87"/>
    <s v="US"/>
    <x v="1"/>
    <s v="Large"/>
    <n v="11641644"/>
    <s v="INV01146"/>
    <n v="95113"/>
    <d v="2025-02-15T00:00:00"/>
    <n v="45"/>
    <n v="7"/>
    <n v="9.0399999999999994E-2"/>
    <n v="6.3799999999999996E-2"/>
    <n v="5"/>
    <s v="No"/>
    <s v="Yes"/>
    <n v="0.2"/>
    <n v="1060.0539287671231"/>
    <n v="83.126156164383559"/>
    <n v="976.92777260273954"/>
    <n v="40"/>
    <x v="1136"/>
    <n v="1137"/>
  </r>
  <r>
    <s v="SUP148"/>
    <x v="105"/>
    <s v="Canada"/>
    <x v="0"/>
    <s v="Medium"/>
    <n v="6247349"/>
    <s v="INV01447"/>
    <n v="39227"/>
    <d v="2025-06-13T00:00:00"/>
    <n v="45"/>
    <n v="7"/>
    <n v="0.1241"/>
    <n v="6.0199999999999997E-2"/>
    <n v="8"/>
    <s v="No"/>
    <s v="Yes"/>
    <n v="0.2"/>
    <n v="600.17309999999998"/>
    <n v="51.758145753424657"/>
    <n v="548.41495424657535"/>
    <n v="37"/>
    <x v="1137"/>
    <n v="1138"/>
  </r>
  <r>
    <s v="SUP134"/>
    <x v="45"/>
    <s v="Europe"/>
    <x v="2"/>
    <s v="Medium"/>
    <n v="3948313"/>
    <s v="INV00622"/>
    <n v="17376"/>
    <d v="2025-06-21T00:00:00"/>
    <n v="30"/>
    <n v="7"/>
    <n v="0.1154"/>
    <n v="5.7700000000000001E-2"/>
    <n v="8"/>
    <s v="No"/>
    <s v="Yes"/>
    <n v="0.5"/>
    <n v="164.8101698630137"/>
    <n v="21.974689315068492"/>
    <n v="142.8354805479452"/>
    <n v="22"/>
    <x v="1138"/>
    <n v="1139"/>
  </r>
  <r>
    <s v="SUP009"/>
    <x v="104"/>
    <s v="Canada"/>
    <x v="4"/>
    <s v="Large"/>
    <n v="19754920"/>
    <s v="INV01293"/>
    <n v="44105"/>
    <d v="2025-06-10T00:00:00"/>
    <n v="60"/>
    <n v="5"/>
    <n v="8.1100000000000005E-2"/>
    <n v="5.8500000000000003E-2"/>
    <n v="6"/>
    <s v="No"/>
    <s v="Yes"/>
    <n v="0.5"/>
    <n v="587.98610958904112"/>
    <n v="42.413301369863007"/>
    <n v="545.57280821917811"/>
    <n v="54"/>
    <x v="1139"/>
    <n v="1140"/>
  </r>
  <r>
    <s v="SUP046"/>
    <x v="47"/>
    <s v="Mexico"/>
    <x v="1"/>
    <s v="Small"/>
    <n v="981924"/>
    <s v="INV00983"/>
    <n v="20423"/>
    <d v="2025-05-17T00:00:00"/>
    <n v="60"/>
    <n v="7"/>
    <n v="0.17169999999999999"/>
    <n v="4.9700000000000001E-2"/>
    <n v="8"/>
    <s v="No"/>
    <s v="Yes"/>
    <n v="0.2"/>
    <n v="576.43218082191777"/>
    <n v="22.247081643835617"/>
    <n v="554.18509917808217"/>
    <n v="52"/>
    <x v="1140"/>
    <n v="1141"/>
  </r>
  <r>
    <s v="SUP040"/>
    <x v="38"/>
    <s v="US"/>
    <x v="3"/>
    <s v="Small"/>
    <n v="1249897"/>
    <s v="INV01277"/>
    <n v="14263"/>
    <d v="2025-07-29T00:00:00"/>
    <n v="60"/>
    <n v="5"/>
    <n v="0.1452"/>
    <n v="4.5699999999999998E-2"/>
    <n v="7"/>
    <s v="No"/>
    <s v="Yes"/>
    <n v="0.35"/>
    <n v="340.43631780821914"/>
    <n v="12.500640273972602"/>
    <n v="327.93567753424657"/>
    <n v="53"/>
    <x v="1141"/>
    <n v="1142"/>
  </r>
  <r>
    <s v="SUP014"/>
    <x v="103"/>
    <s v="APAC"/>
    <x v="3"/>
    <s v="Large"/>
    <n v="22396514"/>
    <s v="INV01462"/>
    <n v="62122"/>
    <d v="2025-02-24T00:00:00"/>
    <n v="60"/>
    <n v="7"/>
    <n v="7.5700000000000003E-2"/>
    <n v="5.9799999999999999E-2"/>
    <n v="6"/>
    <s v="No"/>
    <s v="Yes"/>
    <n v="0.5"/>
    <n v="773.03595616438349"/>
    <n v="61.066776986301363"/>
    <n v="711.96917917808219"/>
    <n v="54"/>
    <x v="1142"/>
    <n v="1143"/>
  </r>
  <r>
    <s v="SUP009"/>
    <x v="104"/>
    <s v="Canada"/>
    <x v="4"/>
    <s v="Large"/>
    <n v="19754920"/>
    <s v="INV00460"/>
    <n v="81990"/>
    <d v="2025-12-20T00:00:00"/>
    <n v="60"/>
    <n v="5"/>
    <n v="8.1100000000000005E-2"/>
    <n v="5.0999999999999997E-2"/>
    <n v="10"/>
    <s v="No"/>
    <s v="Yes"/>
    <n v="0.2"/>
    <n v="1093.0502465753425"/>
    <n v="114.56136986301368"/>
    <n v="978.48887671232887"/>
    <n v="50"/>
    <x v="1143"/>
    <n v="1144"/>
  </r>
  <r>
    <s v="SUP031"/>
    <x v="102"/>
    <s v="Mexico"/>
    <x v="2"/>
    <s v="Large"/>
    <n v="13389097"/>
    <s v="INV01379"/>
    <n v="55871"/>
    <d v="2026-01-21T00:00:00"/>
    <n v="60"/>
    <n v="2"/>
    <n v="7.3800000000000004E-2"/>
    <n v="4.87E-2"/>
    <n v="7"/>
    <s v="No"/>
    <s v="Yes"/>
    <n v="0.35"/>
    <n v="677.79941917808219"/>
    <n v="52.181983287671237"/>
    <n v="625.617435890411"/>
    <n v="53"/>
    <x v="1144"/>
    <n v="1145"/>
  </r>
  <r>
    <s v="SUP119"/>
    <x v="16"/>
    <s v="Canada"/>
    <x v="4"/>
    <s v="Large"/>
    <n v="13637712"/>
    <s v="INV00740"/>
    <n v="14674"/>
    <d v="2025-02-20T00:00:00"/>
    <n v="60"/>
    <n v="7"/>
    <n v="8.6999999999999994E-2"/>
    <n v="4.5400000000000003E-2"/>
    <n v="7"/>
    <s v="No"/>
    <s v="Yes"/>
    <n v="0.8"/>
    <n v="209.858301369863"/>
    <n v="12.776430684931508"/>
    <n v="197.08187068493149"/>
    <n v="53"/>
    <x v="1145"/>
    <n v="1146"/>
  </r>
  <r>
    <s v="SUP122"/>
    <x v="66"/>
    <s v="Europe"/>
    <x v="4"/>
    <s v="Medium"/>
    <n v="5642255"/>
    <s v="INV00032"/>
    <n v="48512"/>
    <d v="2025-11-08T00:00:00"/>
    <n v="60"/>
    <n v="5"/>
    <n v="0.1119"/>
    <n v="6.1899999999999997E-2"/>
    <n v="10"/>
    <s v="No"/>
    <s v="Yes"/>
    <n v="0.2"/>
    <n v="892.35498082191771"/>
    <n v="82.27103561643834"/>
    <n v="810.08394520547938"/>
    <n v="50"/>
    <x v="1146"/>
    <n v="1147"/>
  </r>
  <r>
    <s v="SUP096"/>
    <x v="73"/>
    <s v="APAC"/>
    <x v="4"/>
    <s v="Large"/>
    <n v="22426293"/>
    <s v="INV00565"/>
    <n v="23491"/>
    <d v="2025-09-27T00:00:00"/>
    <n v="60"/>
    <n v="10"/>
    <n v="9.8299999999999998E-2"/>
    <n v="5.7099999999999998E-2"/>
    <n v="7"/>
    <s v="No"/>
    <s v="Yes"/>
    <n v="0.5"/>
    <n v="379.58881643835616"/>
    <n v="25.724253972602742"/>
    <n v="353.86456246575341"/>
    <n v="53"/>
    <x v="1147"/>
    <n v="1148"/>
  </r>
  <r>
    <s v="SUP132"/>
    <x v="62"/>
    <s v="US"/>
    <x v="3"/>
    <s v="Large"/>
    <n v="15029491"/>
    <s v="INV01362"/>
    <n v="15988"/>
    <d v="2026-01-20T00:00:00"/>
    <n v="90"/>
    <n v="5"/>
    <n v="9.8400000000000001E-2"/>
    <n v="6.4899999999999999E-2"/>
    <n v="8"/>
    <s v="No"/>
    <s v="Yes"/>
    <n v="0.9"/>
    <n v="387.91706301369862"/>
    <n v="22.742382465753426"/>
    <n v="365.17468054794517"/>
    <n v="82"/>
    <x v="1148"/>
    <n v="1149"/>
  </r>
  <r>
    <s v="SUP019"/>
    <x v="73"/>
    <s v="Europe"/>
    <x v="0"/>
    <s v="Medium"/>
    <n v="4353599"/>
    <s v="INV00636"/>
    <n v="75185"/>
    <d v="2025-11-20T00:00:00"/>
    <n v="45"/>
    <n v="7"/>
    <n v="9.5600000000000004E-2"/>
    <n v="6.3700000000000007E-2"/>
    <n v="7"/>
    <s v="No"/>
    <s v="Yes"/>
    <n v="0.2"/>
    <n v="886.15306849315073"/>
    <n v="91.849291780821929"/>
    <n v="794.30377671232884"/>
    <n v="38"/>
    <x v="1149"/>
    <n v="1150"/>
  </r>
  <r>
    <s v="SUP063"/>
    <x v="88"/>
    <s v="Mexico"/>
    <x v="0"/>
    <s v="Medium"/>
    <n v="5790128"/>
    <s v="INV00134"/>
    <n v="50669"/>
    <d v="2025-07-25T00:00:00"/>
    <n v="60"/>
    <n v="3"/>
    <n v="9.5799999999999996E-2"/>
    <n v="4.8500000000000001E-2"/>
    <n v="8"/>
    <s v="No"/>
    <s v="Yes"/>
    <n v="0.2"/>
    <n v="797.93263561643823"/>
    <n v="53.861841095890412"/>
    <n v="744.07079452054779"/>
    <n v="52"/>
    <x v="1150"/>
    <n v="1151"/>
  </r>
  <r>
    <s v="SUP022"/>
    <x v="37"/>
    <s v="APAC"/>
    <x v="4"/>
    <s v="Medium"/>
    <n v="6024640"/>
    <s v="INV01025"/>
    <n v="29590"/>
    <d v="2025-10-09T00:00:00"/>
    <n v="60"/>
    <n v="3"/>
    <n v="0.13769999999999999"/>
    <n v="5.6800000000000003E-2"/>
    <n v="7"/>
    <s v="Yes"/>
    <s v="Yes"/>
    <n v="0.2"/>
    <n v="669.78789041095877"/>
    <n v="32.23283287671233"/>
    <n v="637.55505753424643"/>
    <n v="53"/>
    <x v="1151"/>
    <n v="1152"/>
  </r>
  <r>
    <s v="SUP009"/>
    <x v="104"/>
    <s v="Canada"/>
    <x v="4"/>
    <s v="Large"/>
    <n v="19754920"/>
    <s v="INV00145"/>
    <n v="82931"/>
    <d v="2026-01-28T00:00:00"/>
    <n v="90"/>
    <n v="2"/>
    <n v="8.1100000000000005E-2"/>
    <n v="6.4699999999999994E-2"/>
    <n v="8"/>
    <s v="Yes"/>
    <s v="Yes"/>
    <n v="0.35"/>
    <n v="1658.3927917808221"/>
    <n v="117.60297424657534"/>
    <n v="1540.7898175342468"/>
    <n v="82"/>
    <x v="1152"/>
    <n v="1153"/>
  </r>
  <r>
    <s v="SUP050"/>
    <x v="52"/>
    <s v="US"/>
    <x v="2"/>
    <s v="Medium"/>
    <n v="3714458"/>
    <s v="INV00642"/>
    <n v="39745"/>
    <d v="2025-01-19T00:00:00"/>
    <n v="60"/>
    <n v="10"/>
    <n v="0.1153"/>
    <n v="5.5500000000000001E-2"/>
    <n v="10"/>
    <s v="Yes"/>
    <s v="Yes"/>
    <n v="0.2"/>
    <n v="753.30386301369856"/>
    <n v="60.434178082191771"/>
    <n v="692.86968493150675"/>
    <n v="50"/>
    <x v="1153"/>
    <n v="1154"/>
  </r>
  <r>
    <s v="SUP094"/>
    <x v="86"/>
    <s v="Europe"/>
    <x v="4"/>
    <s v="Medium"/>
    <n v="6247387"/>
    <s v="INV01453"/>
    <n v="35878"/>
    <d v="2026-01-25T00:00:00"/>
    <n v="60"/>
    <n v="4"/>
    <n v="0.12909999999999999"/>
    <n v="6.2899999999999998E-2"/>
    <n v="10"/>
    <s v="No"/>
    <s v="Yes"/>
    <n v="0.2"/>
    <n v="761.39996712328764"/>
    <n v="61.828115068493148"/>
    <n v="699.57185205479448"/>
    <n v="50"/>
    <x v="1154"/>
    <n v="1155"/>
  </r>
  <r>
    <s v="SUP059"/>
    <x v="84"/>
    <s v="Canada"/>
    <x v="0"/>
    <s v="Large"/>
    <n v="22445214"/>
    <s v="INV00295"/>
    <n v="65645"/>
    <d v="2025-02-19T00:00:00"/>
    <n v="60"/>
    <n v="10"/>
    <n v="8.4000000000000005E-2"/>
    <n v="6.3500000000000001E-2"/>
    <n v="10"/>
    <s v="No"/>
    <s v="Yes"/>
    <n v="0.35"/>
    <n v="906.44054794520548"/>
    <n v="114.20431506849316"/>
    <n v="792.23623287671228"/>
    <n v="50"/>
    <x v="1155"/>
    <n v="1156"/>
  </r>
  <r>
    <s v="SUP100"/>
    <x v="80"/>
    <s v="Mexico"/>
    <x v="4"/>
    <s v="Large"/>
    <n v="13101534"/>
    <s v="INV00270"/>
    <n v="17596"/>
    <d v="2025-01-16T00:00:00"/>
    <n v="90"/>
    <n v="2"/>
    <n v="8.9499999999999996E-2"/>
    <n v="4.8399999999999999E-2"/>
    <n v="10"/>
    <s v="No"/>
    <s v="Yes"/>
    <n v="0.65"/>
    <n v="388.31720547945201"/>
    <n v="23.33277808219178"/>
    <n v="364.98442739726022"/>
    <n v="80"/>
    <x v="1156"/>
    <n v="1157"/>
  </r>
  <r>
    <s v="SUP030"/>
    <x v="78"/>
    <s v="Canada"/>
    <x v="2"/>
    <s v="Small"/>
    <n v="1267987"/>
    <s v="INV01465"/>
    <n v="19355"/>
    <d v="2026-01-19T00:00:00"/>
    <n v="60"/>
    <n v="4"/>
    <n v="0.125"/>
    <n v="5.5800000000000002E-2"/>
    <n v="8"/>
    <s v="No"/>
    <s v="Yes"/>
    <n v="0.35"/>
    <n v="397.70547945205476"/>
    <n v="23.671430136986302"/>
    <n v="374.03404931506844"/>
    <n v="52"/>
    <x v="1157"/>
    <n v="1158"/>
  </r>
  <r>
    <s v="SUP096"/>
    <x v="73"/>
    <s v="APAC"/>
    <x v="4"/>
    <s v="Large"/>
    <n v="22426293"/>
    <s v="INV00070"/>
    <n v="30191"/>
    <d v="2025-03-18T00:00:00"/>
    <n v="60"/>
    <n v="5"/>
    <n v="9.8299999999999998E-2"/>
    <n v="5.3999999999999999E-2"/>
    <n v="5"/>
    <s v="No"/>
    <s v="Yes"/>
    <n v="0.35"/>
    <n v="487.85347397260267"/>
    <n v="22.333068493150684"/>
    <n v="465.52040547945199"/>
    <n v="55"/>
    <x v="1158"/>
    <n v="1159"/>
  </r>
  <r>
    <s v="SUP135"/>
    <x v="50"/>
    <s v="Canada"/>
    <x v="0"/>
    <s v="Small"/>
    <n v="1406086"/>
    <s v="INV00582"/>
    <n v="14946"/>
    <d v="2025-09-30T00:00:00"/>
    <n v="60"/>
    <n v="4"/>
    <n v="0.1201"/>
    <n v="5.7799999999999997E-2"/>
    <n v="6"/>
    <s v="No"/>
    <s v="Yes"/>
    <n v="0.5"/>
    <n v="295.07089315068492"/>
    <n v="14.200747397260272"/>
    <n v="280.87014575342465"/>
    <n v="54"/>
    <x v="1159"/>
    <n v="1160"/>
  </r>
  <r>
    <s v="SUP048"/>
    <x v="6"/>
    <s v="US"/>
    <x v="0"/>
    <s v="Small"/>
    <n v="467236"/>
    <s v="INV00129"/>
    <n v="19754"/>
    <d v="2025-03-31T00:00:00"/>
    <n v="90"/>
    <n v="2"/>
    <n v="0.1757"/>
    <n v="5.8000000000000003E-2"/>
    <n v="6"/>
    <s v="No"/>
    <s v="Yes"/>
    <n v="0.2"/>
    <n v="855.8082246575342"/>
    <n v="18.833950684931505"/>
    <n v="836.97427397260265"/>
    <n v="84"/>
    <x v="1160"/>
    <n v="1161"/>
  </r>
  <r>
    <s v="SUP065"/>
    <x v="10"/>
    <s v="Mexico"/>
    <x v="3"/>
    <s v="Medium"/>
    <n v="4269919"/>
    <s v="INV00147"/>
    <n v="22518"/>
    <d v="2025-10-03T00:00:00"/>
    <n v="60"/>
    <n v="10"/>
    <n v="0.1212"/>
    <n v="6.25E-2"/>
    <n v="6"/>
    <s v="No"/>
    <s v="Yes"/>
    <n v="0.35"/>
    <n v="448.63259178082188"/>
    <n v="23.134931506849313"/>
    <n v="425.49766027397254"/>
    <n v="54"/>
    <x v="1161"/>
    <n v="1162"/>
  </r>
  <r>
    <s v="SUP076"/>
    <x v="95"/>
    <s v="Canada"/>
    <x v="2"/>
    <s v="Large"/>
    <n v="23937545"/>
    <s v="INV00656"/>
    <n v="55816"/>
    <d v="2025-09-06T00:00:00"/>
    <n v="60"/>
    <n v="5"/>
    <n v="8.7099999999999997E-2"/>
    <n v="4.5900000000000003E-2"/>
    <n v="5"/>
    <s v="No"/>
    <s v="Yes"/>
    <n v="0.2"/>
    <n v="799.16278356164378"/>
    <n v="35.095265753424655"/>
    <n v="764.06751780821912"/>
    <n v="55"/>
    <x v="1162"/>
    <n v="1163"/>
  </r>
  <r>
    <s v="SUP008"/>
    <x v="48"/>
    <s v="US"/>
    <x v="1"/>
    <s v="Medium"/>
    <n v="1884403"/>
    <s v="INV00710"/>
    <n v="22013"/>
    <d v="2026-02-23T00:00:00"/>
    <n v="45"/>
    <n v="3"/>
    <n v="0.1231"/>
    <n v="6.3500000000000001E-2"/>
    <n v="8"/>
    <s v="No"/>
    <s v="Yes"/>
    <n v="0.35"/>
    <n v="334.08496849315065"/>
    <n v="30.63727123287671"/>
    <n v="303.44769726027397"/>
    <n v="37"/>
    <x v="1163"/>
    <n v="1164"/>
  </r>
  <r>
    <s v="SUP076"/>
    <x v="95"/>
    <s v="Canada"/>
    <x v="2"/>
    <s v="Large"/>
    <n v="23937545"/>
    <s v="INV01189"/>
    <n v="39849"/>
    <d v="2026-02-21T00:00:00"/>
    <n v="30"/>
    <n v="3"/>
    <n v="8.7099999999999997E-2"/>
    <n v="5.4399999999999997E-2"/>
    <n v="8"/>
    <s v="Yes"/>
    <s v="Yes"/>
    <n v="0.35"/>
    <n v="285.27516986301367"/>
    <n v="47.513109041095888"/>
    <n v="237.76206082191777"/>
    <n v="22"/>
    <x v="1164"/>
    <n v="1165"/>
  </r>
  <r>
    <s v="SUP098"/>
    <x v="1"/>
    <s v="Europe"/>
    <x v="1"/>
    <s v="Small"/>
    <n v="764840"/>
    <s v="INV00258"/>
    <n v="12191"/>
    <d v="2025-08-03T00:00:00"/>
    <n v="60"/>
    <n v="5"/>
    <n v="0.16819999999999999"/>
    <n v="6.2E-2"/>
    <n v="7"/>
    <s v="Yes"/>
    <s v="Yes"/>
    <n v="0.35"/>
    <n v="337.07279999999997"/>
    <n v="14.4956"/>
    <n v="322.57719999999995"/>
    <n v="53"/>
    <x v="1165"/>
    <n v="1166"/>
  </r>
  <r>
    <s v="SUP118"/>
    <x v="31"/>
    <s v="US"/>
    <x v="1"/>
    <s v="Small"/>
    <n v="735440"/>
    <s v="INV00728"/>
    <n v="28015"/>
    <d v="2025-09-13T00:00:00"/>
    <n v="45"/>
    <n v="5"/>
    <n v="0.13020000000000001"/>
    <n v="4.9599999999999998E-2"/>
    <n v="6"/>
    <s v="Yes"/>
    <s v="Yes"/>
    <n v="0.2"/>
    <n v="449.69831506849317"/>
    <n v="22.841819178082186"/>
    <n v="426.856495890411"/>
    <n v="39"/>
    <x v="1166"/>
    <n v="1167"/>
  </r>
  <r>
    <s v="SUP014"/>
    <x v="103"/>
    <s v="APAC"/>
    <x v="3"/>
    <s v="Large"/>
    <n v="22396514"/>
    <s v="INV01483"/>
    <n v="38952"/>
    <d v="2026-01-06T00:00:00"/>
    <n v="60"/>
    <n v="7"/>
    <n v="7.5700000000000003E-2"/>
    <n v="6.13E-2"/>
    <n v="5"/>
    <s v="No"/>
    <s v="Yes"/>
    <n v="0.8"/>
    <n v="484.71228493150682"/>
    <n v="32.709008219178081"/>
    <n v="452.00327671232873"/>
    <n v="55"/>
    <x v="1167"/>
    <n v="1168"/>
  </r>
  <r>
    <s v="SUP123"/>
    <x v="25"/>
    <s v="Mexico"/>
    <x v="3"/>
    <s v="Medium"/>
    <n v="1716971"/>
    <s v="INV01031"/>
    <n v="13292"/>
    <d v="2026-01-08T00:00:00"/>
    <n v="30"/>
    <n v="3"/>
    <n v="9.4600000000000004E-2"/>
    <n v="5.2600000000000001E-2"/>
    <n v="5"/>
    <s v="No"/>
    <s v="Yes"/>
    <n v="0.8"/>
    <n v="103.34985205479451"/>
    <n v="9.5775232876712337"/>
    <n v="93.77232876712327"/>
    <n v="25"/>
    <x v="1168"/>
    <n v="1169"/>
  </r>
  <r>
    <s v="SUP014"/>
    <x v="103"/>
    <s v="APAC"/>
    <x v="3"/>
    <s v="Large"/>
    <n v="22396514"/>
    <s v="INV00587"/>
    <n v="90134"/>
    <d v="2026-01-01T00:00:00"/>
    <n v="90"/>
    <n v="10"/>
    <n v="7.5700000000000003E-2"/>
    <n v="6.1699999999999998E-2"/>
    <n v="8"/>
    <s v="No"/>
    <s v="Yes"/>
    <n v="0.35"/>
    <n v="1682.4190191780822"/>
    <n v="121.89080109589041"/>
    <n v="1560.5282180821919"/>
    <n v="82"/>
    <x v="1169"/>
    <n v="1170"/>
  </r>
  <r>
    <s v="SUP056"/>
    <x v="58"/>
    <s v="Europe"/>
    <x v="0"/>
    <s v="Large"/>
    <n v="14943587"/>
    <s v="INV00031"/>
    <n v="39884"/>
    <d v="2026-01-26T00:00:00"/>
    <n v="45"/>
    <n v="5"/>
    <n v="0.1046"/>
    <n v="4.9500000000000002E-2"/>
    <n v="5"/>
    <s v="No"/>
    <s v="Yes"/>
    <n v="0.2"/>
    <n v="514.33969315068487"/>
    <n v="27.044630136986299"/>
    <n v="487.29506301369855"/>
    <n v="40"/>
    <x v="1170"/>
    <n v="1171"/>
  </r>
  <r>
    <s v="SUP132"/>
    <x v="62"/>
    <s v="US"/>
    <x v="3"/>
    <s v="Large"/>
    <n v="15029491"/>
    <s v="INV00906"/>
    <n v="26544"/>
    <d v="2025-09-27T00:00:00"/>
    <n v="60"/>
    <n v="3"/>
    <n v="9.8400000000000001E-2"/>
    <n v="5.11E-2"/>
    <n v="6"/>
    <s v="No"/>
    <s v="Yes"/>
    <n v="0.35"/>
    <n v="429.35829041095889"/>
    <n v="22.296959999999999"/>
    <n v="407.06133041095887"/>
    <n v="54"/>
    <x v="1171"/>
    <n v="1172"/>
  </r>
  <r>
    <s v="SUP101"/>
    <x v="85"/>
    <s v="US"/>
    <x v="1"/>
    <s v="Large"/>
    <n v="16270036"/>
    <s v="INV01416"/>
    <n v="15068"/>
    <d v="2025-03-09T00:00:00"/>
    <n v="60"/>
    <n v="4"/>
    <n v="9.2200000000000004E-2"/>
    <n v="5.6099999999999997E-2"/>
    <n v="8"/>
    <s v="No"/>
    <s v="Yes"/>
    <n v="0.8"/>
    <n v="228.37308493150684"/>
    <n v="18.527447671232878"/>
    <n v="209.84563726027397"/>
    <n v="52"/>
    <x v="1172"/>
    <n v="1173"/>
  </r>
  <r>
    <s v="SUP007"/>
    <x v="100"/>
    <s v="APAC"/>
    <x v="1"/>
    <s v="Small"/>
    <n v="1043844"/>
    <s v="INV01407"/>
    <n v="37119"/>
    <d v="2025-07-11T00:00:00"/>
    <n v="60"/>
    <n v="4"/>
    <n v="0.11550000000000001"/>
    <n v="5.7299999999999997E-2"/>
    <n v="10"/>
    <s v="No"/>
    <s v="Yes"/>
    <n v="0.2"/>
    <n v="704.7525205479451"/>
    <n v="58.271745205479441"/>
    <n v="646.48077534246568"/>
    <n v="50"/>
    <x v="1173"/>
    <n v="1174"/>
  </r>
  <r>
    <s v="SUP090"/>
    <x v="10"/>
    <s v="APAC"/>
    <x v="1"/>
    <s v="Medium"/>
    <n v="3501061"/>
    <s v="INV00667"/>
    <n v="24844"/>
    <d v="2025-03-09T00:00:00"/>
    <n v="60"/>
    <n v="3"/>
    <n v="9.6299999999999997E-2"/>
    <n v="4.6699999999999998E-2"/>
    <n v="5"/>
    <s v="No"/>
    <s v="Yes"/>
    <n v="0.35"/>
    <n v="393.2839232876712"/>
    <n v="15.893353424657533"/>
    <n v="377.39056986301364"/>
    <n v="55"/>
    <x v="1174"/>
    <n v="1175"/>
  </r>
  <r>
    <s v="SUP051"/>
    <x v="75"/>
    <s v="Mexico"/>
    <x v="1"/>
    <s v="Large"/>
    <n v="8479307"/>
    <s v="INV00047"/>
    <n v="35218"/>
    <d v="2025-11-26T00:00:00"/>
    <n v="90"/>
    <n v="10"/>
    <n v="7.0099999999999996E-2"/>
    <n v="5.4899999999999997E-2"/>
    <n v="10"/>
    <s v="No"/>
    <s v="Yes"/>
    <n v="0.8"/>
    <n v="608.74071780821907"/>
    <n v="52.971731506849309"/>
    <n v="555.76898630136975"/>
    <n v="80"/>
    <x v="1175"/>
    <n v="1176"/>
  </r>
  <r>
    <s v="SUP079"/>
    <x v="55"/>
    <s v="Canada"/>
    <x v="1"/>
    <s v="Large"/>
    <n v="9703738"/>
    <s v="INV00714"/>
    <n v="98479"/>
    <d v="2026-01-22T00:00:00"/>
    <n v="60"/>
    <n v="2"/>
    <n v="7.5499999999999998E-2"/>
    <n v="5.4399999999999997E-2"/>
    <n v="7"/>
    <s v="Yes"/>
    <s v="Yes"/>
    <n v="0.2"/>
    <n v="1222.2188219178081"/>
    <n v="102.74192657534248"/>
    <n v="1119.4768953424657"/>
    <n v="53"/>
    <x v="1176"/>
    <n v="1177"/>
  </r>
  <r>
    <s v="SUP110"/>
    <x v="82"/>
    <s v="Europe"/>
    <x v="2"/>
    <s v="Medium"/>
    <n v="5617789"/>
    <s v="INV00876"/>
    <n v="13227"/>
    <d v="2025-06-05T00:00:00"/>
    <n v="45"/>
    <n v="2"/>
    <n v="9.5100000000000004E-2"/>
    <n v="6.0199999999999997E-2"/>
    <n v="7"/>
    <s v="Yes"/>
    <s v="Yes"/>
    <n v="0.9"/>
    <n v="155.08204520547943"/>
    <n v="15.270843287671234"/>
    <n v="139.81120191780821"/>
    <n v="38"/>
    <x v="1177"/>
    <n v="1178"/>
  </r>
  <r>
    <s v="SUP090"/>
    <x v="10"/>
    <s v="APAC"/>
    <x v="1"/>
    <s v="Medium"/>
    <n v="3501061"/>
    <s v="INV01452"/>
    <n v="46629"/>
    <d v="2026-01-23T00:00:00"/>
    <n v="90"/>
    <n v="3"/>
    <n v="9.6299999999999997E-2"/>
    <n v="5.1799999999999999E-2"/>
    <n v="10"/>
    <s v="No"/>
    <s v="Yes"/>
    <n v="0.2"/>
    <n v="1107.2151863013698"/>
    <n v="66.174854794520542"/>
    <n v="1041.0403315068493"/>
    <n v="80"/>
    <x v="1178"/>
    <n v="1179"/>
  </r>
  <r>
    <s v="SUP119"/>
    <x v="16"/>
    <s v="Canada"/>
    <x v="4"/>
    <s v="Large"/>
    <n v="13637712"/>
    <s v="INV00842"/>
    <n v="30346"/>
    <d v="2025-08-21T00:00:00"/>
    <n v="60"/>
    <n v="7"/>
    <n v="8.6999999999999994E-2"/>
    <n v="5.9799999999999999E-2"/>
    <n v="5"/>
    <s v="No"/>
    <s v="Yes"/>
    <n v="0.5"/>
    <n v="433.98936986301368"/>
    <n v="24.85877808219178"/>
    <n v="409.13059178082187"/>
    <n v="55"/>
    <x v="1179"/>
    <n v="1180"/>
  </r>
  <r>
    <s v="SUP108"/>
    <x v="101"/>
    <s v="Mexico"/>
    <x v="0"/>
    <s v="Large"/>
    <n v="13513506"/>
    <s v="INV01335"/>
    <n v="71279"/>
    <d v="2025-11-26T00:00:00"/>
    <n v="45"/>
    <n v="2"/>
    <n v="8.1799999999999998E-2"/>
    <n v="5.2900000000000003E-2"/>
    <n v="6"/>
    <s v="No"/>
    <s v="Yes"/>
    <n v="0.2"/>
    <n v="718.84383287671221"/>
    <n v="61.983437260273973"/>
    <n v="656.86039561643827"/>
    <n v="39"/>
    <x v="1180"/>
    <n v="1181"/>
  </r>
  <r>
    <s v="SUP122"/>
    <x v="66"/>
    <s v="Europe"/>
    <x v="4"/>
    <s v="Medium"/>
    <n v="5642255"/>
    <s v="INV00409"/>
    <n v="16804"/>
    <d v="2025-07-20T00:00:00"/>
    <n v="60"/>
    <n v="7"/>
    <n v="0.1119"/>
    <n v="6.2899999999999998E-2"/>
    <n v="10"/>
    <s v="No"/>
    <s v="Yes"/>
    <n v="0.5"/>
    <n v="309.10152328767123"/>
    <n v="28.958126027397256"/>
    <n v="280.14339726027396"/>
    <n v="50"/>
    <x v="1181"/>
    <n v="1182"/>
  </r>
  <r>
    <s v="SUP144"/>
    <x v="97"/>
    <s v="APAC"/>
    <x v="0"/>
    <s v="Large"/>
    <n v="24905394"/>
    <s v="INV00337"/>
    <n v="28899"/>
    <d v="2025-08-22T00:00:00"/>
    <n v="45"/>
    <n v="7"/>
    <n v="8.5199999999999998E-2"/>
    <n v="5.6800000000000003E-2"/>
    <n v="6"/>
    <s v="Yes"/>
    <s v="Yes"/>
    <n v="0.5"/>
    <n v="303.55826301369859"/>
    <n v="26.982956712328768"/>
    <n v="276.57530630136984"/>
    <n v="39"/>
    <x v="1182"/>
    <n v="1183"/>
  </r>
  <r>
    <s v="SUP109"/>
    <x v="71"/>
    <s v="Mexico"/>
    <x v="1"/>
    <s v="Medium"/>
    <n v="2561855"/>
    <s v="INV00151"/>
    <n v="43544"/>
    <d v="2025-05-06T00:00:00"/>
    <n v="45"/>
    <n v="2"/>
    <n v="0.1037"/>
    <n v="5.6899999999999999E-2"/>
    <n v="8"/>
    <s v="No"/>
    <s v="Yes"/>
    <n v="0.2"/>
    <n v="556.70705753424659"/>
    <n v="54.304736438356166"/>
    <n v="502.40232109589044"/>
    <n v="37"/>
    <x v="1183"/>
    <n v="1184"/>
  </r>
  <r>
    <s v="SUP032"/>
    <x v="36"/>
    <s v="US"/>
    <x v="2"/>
    <s v="Medium"/>
    <n v="1954421"/>
    <s v="INV00903"/>
    <n v="27098"/>
    <d v="2025-04-12T00:00:00"/>
    <n v="45"/>
    <n v="5"/>
    <n v="0.1237"/>
    <n v="4.8899999999999999E-2"/>
    <n v="10"/>
    <s v="No"/>
    <s v="Yes"/>
    <n v="0.2"/>
    <n v="413.2630602739726"/>
    <n v="36.303895890410956"/>
    <n v="376.95916438356164"/>
    <n v="35"/>
    <x v="1184"/>
    <n v="1185"/>
  </r>
  <r>
    <s v="SUP119"/>
    <x v="16"/>
    <s v="Canada"/>
    <x v="4"/>
    <s v="Large"/>
    <n v="13637712"/>
    <s v="INV00211"/>
    <n v="30070"/>
    <d v="2025-10-12T00:00:00"/>
    <n v="60"/>
    <n v="5"/>
    <n v="8.6999999999999994E-2"/>
    <n v="4.87E-2"/>
    <n v="10"/>
    <s v="No"/>
    <s v="Yes"/>
    <n v="0.35"/>
    <n v="430.04219178082184"/>
    <n v="40.120794520547946"/>
    <n v="389.92139726027392"/>
    <n v="50"/>
    <x v="1185"/>
    <n v="1186"/>
  </r>
  <r>
    <s v="SUP002"/>
    <x v="90"/>
    <s v="US"/>
    <x v="0"/>
    <s v="Medium"/>
    <n v="6074867"/>
    <s v="INV00055"/>
    <n v="18863"/>
    <d v="2025-05-10T00:00:00"/>
    <n v="60"/>
    <n v="10"/>
    <n v="9.4299999999999995E-2"/>
    <n v="5.1700000000000003E-2"/>
    <n v="7"/>
    <s v="Yes"/>
    <s v="Yes"/>
    <n v="0.5"/>
    <n v="292.40233972602738"/>
    <n v="18.702793698630138"/>
    <n v="273.69954602739722"/>
    <n v="53"/>
    <x v="1186"/>
    <n v="1187"/>
  </r>
  <r>
    <s v="SUP019"/>
    <x v="73"/>
    <s v="Europe"/>
    <x v="0"/>
    <s v="Medium"/>
    <n v="4353599"/>
    <s v="INV00618"/>
    <n v="32204"/>
    <d v="2025-04-18T00:00:00"/>
    <n v="60"/>
    <n v="5"/>
    <n v="9.5600000000000004E-2"/>
    <n v="6.0400000000000002E-2"/>
    <n v="6"/>
    <s v="No"/>
    <s v="Yes"/>
    <n v="0.35"/>
    <n v="506.08806575342464"/>
    <n v="31.974601643835616"/>
    <n v="474.11346410958902"/>
    <n v="54"/>
    <x v="1187"/>
    <n v="1188"/>
  </r>
  <r>
    <s v="SUP049"/>
    <x v="60"/>
    <s v="Mexico"/>
    <x v="1"/>
    <s v="Medium"/>
    <n v="2803992"/>
    <s v="INV01154"/>
    <n v="28891"/>
    <d v="2025-08-12T00:00:00"/>
    <n v="90"/>
    <n v="5"/>
    <n v="0.1036"/>
    <n v="6.4500000000000002E-2"/>
    <n v="6"/>
    <s v="No"/>
    <s v="Yes"/>
    <n v="0.35"/>
    <n v="738.02653150684921"/>
    <n v="30.632375342465753"/>
    <n v="707.3941561643835"/>
    <n v="84"/>
    <x v="1188"/>
    <n v="1189"/>
  </r>
  <r>
    <s v="SUP014"/>
    <x v="103"/>
    <s v="APAC"/>
    <x v="3"/>
    <s v="Large"/>
    <n v="22396514"/>
    <s v="INV01070"/>
    <n v="75284"/>
    <d v="2025-05-29T00:00:00"/>
    <n v="60"/>
    <n v="7"/>
    <n v="7.5700000000000003E-2"/>
    <n v="6.08E-2"/>
    <n v="6"/>
    <s v="No"/>
    <s v="Yes"/>
    <n v="0.35"/>
    <n v="936.82172054794523"/>
    <n v="75.242748493150685"/>
    <n v="861.57897205479458"/>
    <n v="54"/>
    <x v="1189"/>
    <n v="1190"/>
  </r>
  <r>
    <s v="SUP072"/>
    <x v="44"/>
    <s v="Europe"/>
    <x v="2"/>
    <s v="Medium"/>
    <n v="6782855"/>
    <s v="INV01354"/>
    <n v="29953"/>
    <d v="2025-05-04T00:00:00"/>
    <n v="60"/>
    <n v="5"/>
    <n v="0.1188"/>
    <n v="5.3499999999999999E-2"/>
    <n v="8"/>
    <s v="No"/>
    <s v="Yes"/>
    <n v="0.2"/>
    <n v="584.9451616438356"/>
    <n v="35.122969863013701"/>
    <n v="549.82219178082187"/>
    <n v="52"/>
    <x v="1190"/>
    <n v="1191"/>
  </r>
  <r>
    <s v="SUP094"/>
    <x v="86"/>
    <s v="Europe"/>
    <x v="4"/>
    <s v="Medium"/>
    <n v="6247387"/>
    <s v="INV00240"/>
    <n v="13581"/>
    <d v="2026-01-26T00:00:00"/>
    <n v="90"/>
    <n v="4"/>
    <n v="0.12909999999999999"/>
    <n v="4.7600000000000003E-2"/>
    <n v="10"/>
    <s v="No"/>
    <s v="Yes"/>
    <n v="0.35"/>
    <n v="432.32229863013697"/>
    <n v="17.711112328767122"/>
    <n v="414.61118630136986"/>
    <n v="80"/>
    <x v="1191"/>
    <n v="1192"/>
  </r>
  <r>
    <s v="SUP027"/>
    <x v="99"/>
    <s v="US"/>
    <x v="1"/>
    <s v="Large"/>
    <n v="19529913"/>
    <s v="INV00383"/>
    <n v="61440"/>
    <d v="2025-06-19T00:00:00"/>
    <n v="30"/>
    <n v="4"/>
    <n v="8.7499999999999994E-2"/>
    <n v="5.6099999999999997E-2"/>
    <n v="6"/>
    <s v="Yes"/>
    <s v="Yes"/>
    <n v="0.2"/>
    <n v="441.86301369863008"/>
    <n v="56.65946301369862"/>
    <n v="385.20355068493149"/>
    <n v="24"/>
    <x v="1192"/>
    <n v="1193"/>
  </r>
  <r>
    <s v="SUP089"/>
    <x v="98"/>
    <s v="Canada"/>
    <x v="0"/>
    <s v="Medium"/>
    <n v="6967315"/>
    <s v="INV00905"/>
    <n v="14817"/>
    <d v="2026-02-08T00:00:00"/>
    <n v="45"/>
    <n v="4"/>
    <n v="9.1999999999999998E-2"/>
    <n v="6.3200000000000006E-2"/>
    <n v="5"/>
    <s v="No"/>
    <s v="Yes"/>
    <n v="0.9"/>
    <n v="168.06131506849314"/>
    <n v="12.827868493150685"/>
    <n v="155.23344657534247"/>
    <n v="40"/>
    <x v="1193"/>
    <n v="1194"/>
  </r>
  <r>
    <s v="SUP113"/>
    <x v="81"/>
    <s v="APAC"/>
    <x v="2"/>
    <s v="Large"/>
    <n v="17195029"/>
    <s v="INV00536"/>
    <n v="70873"/>
    <d v="2025-06-08T00:00:00"/>
    <n v="60"/>
    <n v="3"/>
    <n v="7.3400000000000007E-2"/>
    <n v="5.8000000000000003E-2"/>
    <n v="10"/>
    <s v="No"/>
    <s v="Yes"/>
    <n v="0.35"/>
    <n v="855.13614246575355"/>
    <n v="112.62010958904109"/>
    <n v="742.51603287671242"/>
    <n v="50"/>
    <x v="1194"/>
    <n v="1195"/>
  </r>
  <r>
    <s v="SUP107"/>
    <x v="59"/>
    <s v="APAC"/>
    <x v="4"/>
    <s v="Medium"/>
    <n v="3819447"/>
    <s v="INV00715"/>
    <n v="24648"/>
    <d v="2025-03-16T00:00:00"/>
    <n v="60"/>
    <n v="7"/>
    <n v="0.12620000000000001"/>
    <n v="4.9099999999999998E-2"/>
    <n v="6"/>
    <s v="Yes"/>
    <s v="Yes"/>
    <n v="0.2"/>
    <n v="511.32782465753422"/>
    <n v="19.893974794520545"/>
    <n v="491.43384986301368"/>
    <n v="54"/>
    <x v="1195"/>
    <n v="1196"/>
  </r>
  <r>
    <s v="SUP110"/>
    <x v="82"/>
    <s v="Europe"/>
    <x v="2"/>
    <s v="Medium"/>
    <n v="5617789"/>
    <s v="INV01173"/>
    <n v="40204"/>
    <d v="2026-01-03T00:00:00"/>
    <n v="60"/>
    <n v="4"/>
    <n v="9.5100000000000004E-2"/>
    <n v="4.7899999999999998E-2"/>
    <n v="7"/>
    <s v="Yes"/>
    <s v="Yes"/>
    <n v="0.2"/>
    <n v="628.50417534246571"/>
    <n v="36.932606027397263"/>
    <n v="591.57156931506847"/>
    <n v="53"/>
    <x v="1196"/>
    <n v="1197"/>
  </r>
  <r>
    <s v="SUP101"/>
    <x v="85"/>
    <s v="US"/>
    <x v="1"/>
    <s v="Large"/>
    <n v="16270036"/>
    <s v="INV01306"/>
    <n v="25909"/>
    <d v="2025-01-15T00:00:00"/>
    <n v="90"/>
    <n v="10"/>
    <n v="9.2200000000000004E-2"/>
    <n v="5.0599999999999999E-2"/>
    <n v="5"/>
    <s v="Yes"/>
    <s v="Yes"/>
    <n v="0.35"/>
    <n v="589.02159452054786"/>
    <n v="17.95884109589041"/>
    <n v="571.06275342465744"/>
    <n v="85"/>
    <x v="1197"/>
    <n v="1198"/>
  </r>
  <r>
    <s v="SUP088"/>
    <x v="12"/>
    <s v="Mexico"/>
    <x v="1"/>
    <s v="Large"/>
    <n v="22780879"/>
    <s v="INV01176"/>
    <n v="87228"/>
    <d v="2025-01-26T00:00:00"/>
    <n v="90"/>
    <n v="5"/>
    <n v="7.0800000000000002E-2"/>
    <n v="5.8599999999999999E-2"/>
    <n v="8"/>
    <s v="No"/>
    <s v="Yes"/>
    <n v="0.35"/>
    <n v="1522.785797260274"/>
    <n v="112.03420931506849"/>
    <n v="1410.7515879452055"/>
    <n v="82"/>
    <x v="1198"/>
    <n v="1199"/>
  </r>
  <r>
    <s v="SUP042"/>
    <x v="93"/>
    <s v="Europe"/>
    <x v="3"/>
    <s v="Large"/>
    <n v="15261617"/>
    <s v="INV00298"/>
    <n v="27139"/>
    <d v="2025-07-09T00:00:00"/>
    <n v="60"/>
    <n v="5"/>
    <n v="9.3200000000000005E-2"/>
    <n v="5.4399999999999997E-2"/>
    <n v="7"/>
    <s v="Yes"/>
    <s v="Yes"/>
    <n v="0.35"/>
    <n v="415.7843506849315"/>
    <n v="28.31378410958904"/>
    <n v="387.47056657534245"/>
    <n v="53"/>
    <x v="1199"/>
    <n v="1200"/>
  </r>
  <r>
    <s v="SUP075"/>
    <x v="11"/>
    <s v="Europe"/>
    <x v="3"/>
    <s v="Small"/>
    <n v="1224427"/>
    <s v="INV01258"/>
    <n v="18834"/>
    <d v="2025-08-13T00:00:00"/>
    <n v="60"/>
    <n v="5"/>
    <n v="0.15670000000000001"/>
    <n v="5.8900000000000001E-2"/>
    <n v="8"/>
    <s v="No"/>
    <s v="Yes"/>
    <n v="0.2"/>
    <n v="485.14319999999998"/>
    <n v="24.31392"/>
    <n v="460.82927999999998"/>
    <n v="52"/>
    <x v="1200"/>
    <n v="1201"/>
  </r>
  <r>
    <s v="SUP022"/>
    <x v="37"/>
    <s v="APAC"/>
    <x v="4"/>
    <s v="Medium"/>
    <n v="6024640"/>
    <s v="INV00186"/>
    <n v="24198"/>
    <d v="2026-01-07T00:00:00"/>
    <n v="60"/>
    <n v="4"/>
    <n v="0.13769999999999999"/>
    <n v="6.2300000000000001E-2"/>
    <n v="5"/>
    <s v="No"/>
    <s v="Yes"/>
    <n v="0.2"/>
    <n v="547.73664657534243"/>
    <n v="20.651169863013696"/>
    <n v="527.08547671232873"/>
    <n v="55"/>
    <x v="1201"/>
    <n v="1202"/>
  </r>
  <r>
    <s v="SUP123"/>
    <x v="25"/>
    <s v="Mexico"/>
    <x v="3"/>
    <s v="Medium"/>
    <n v="1716971"/>
    <s v="INV01359"/>
    <n v="61047"/>
    <d v="2025-10-28T00:00:00"/>
    <n v="45"/>
    <n v="10"/>
    <n v="9.4600000000000004E-2"/>
    <n v="6.4899999999999999E-2"/>
    <n v="6"/>
    <s v="No"/>
    <s v="Yes"/>
    <n v="0.2"/>
    <n v="711.99199726027393"/>
    <n v="65.1279501369863"/>
    <n v="646.86404712328761"/>
    <n v="39"/>
    <x v="1202"/>
    <n v="1203"/>
  </r>
  <r>
    <s v="SUP126"/>
    <x v="53"/>
    <s v="Europe"/>
    <x v="2"/>
    <s v="Medium"/>
    <n v="4193232"/>
    <s v="INV01353"/>
    <n v="23971"/>
    <d v="2025-01-27T00:00:00"/>
    <n v="90"/>
    <n v="7"/>
    <n v="0.1235"/>
    <n v="4.7899999999999998E-2"/>
    <n v="6"/>
    <s v="No"/>
    <s v="Yes"/>
    <n v="0.2"/>
    <n v="729.9662054794519"/>
    <n v="18.874699726027394"/>
    <n v="711.09150575342449"/>
    <n v="84"/>
    <x v="1203"/>
    <n v="1204"/>
  </r>
  <r>
    <s v="SUP063"/>
    <x v="88"/>
    <s v="Mexico"/>
    <x v="0"/>
    <s v="Medium"/>
    <n v="5790128"/>
    <s v="INV00735"/>
    <n v="46523"/>
    <d v="2025-01-15T00:00:00"/>
    <n v="60"/>
    <n v="5"/>
    <n v="9.5799999999999996E-2"/>
    <n v="5.7299999999999997E-2"/>
    <n v="7"/>
    <s v="No"/>
    <s v="Yes"/>
    <n v="0.2"/>
    <n v="732.64165479452049"/>
    <n v="51.124315890410955"/>
    <n v="681.51733890410958"/>
    <n v="53"/>
    <x v="1204"/>
    <n v="1205"/>
  </r>
  <r>
    <s v="SUP086"/>
    <x v="45"/>
    <s v="Mexico"/>
    <x v="1"/>
    <s v="Small"/>
    <n v="1218251"/>
    <s v="INV00427"/>
    <n v="29082"/>
    <d v="2025-12-24T00:00:00"/>
    <n v="90"/>
    <n v="7"/>
    <n v="0.1227"/>
    <n v="6.1600000000000002E-2"/>
    <n v="8"/>
    <s v="No"/>
    <s v="Yes"/>
    <n v="0.2"/>
    <n v="879.86993424657533"/>
    <n v="39.264683835616438"/>
    <n v="840.60525041095889"/>
    <n v="82"/>
    <x v="1205"/>
    <n v="1206"/>
  </r>
  <r>
    <s v="SUP079"/>
    <x v="55"/>
    <s v="Canada"/>
    <x v="1"/>
    <s v="Large"/>
    <n v="9703738"/>
    <s v="INV00750"/>
    <n v="38680"/>
    <d v="2025-05-03T00:00:00"/>
    <n v="60"/>
    <n v="4"/>
    <n v="7.5499999999999998E-2"/>
    <n v="6.1499999999999999E-2"/>
    <n v="6"/>
    <s v="No"/>
    <s v="Yes"/>
    <n v="0.65"/>
    <n v="480.05589041095885"/>
    <n v="39.103890410958904"/>
    <n v="440.95199999999994"/>
    <n v="54"/>
    <x v="1206"/>
    <n v="1207"/>
  </r>
  <r>
    <s v="SUP120"/>
    <x v="19"/>
    <s v="APAC"/>
    <x v="3"/>
    <s v="Large"/>
    <n v="9396117"/>
    <s v="INV01389"/>
    <n v="54875"/>
    <d v="2025-09-08T00:00:00"/>
    <n v="90"/>
    <n v="10"/>
    <n v="7.2400000000000006E-2"/>
    <n v="5.96E-2"/>
    <n v="8"/>
    <s v="No"/>
    <s v="Yes"/>
    <n v="0.5"/>
    <n v="979.63150684931509"/>
    <n v="71.683287671232875"/>
    <n v="907.94821917808224"/>
    <n v="82"/>
    <x v="1207"/>
    <n v="1208"/>
  </r>
  <r>
    <s v="SUP068"/>
    <x v="94"/>
    <s v="Europe"/>
    <x v="2"/>
    <s v="Large"/>
    <n v="17196352"/>
    <s v="INV01085"/>
    <n v="13545"/>
    <d v="2025-01-23T00:00:00"/>
    <n v="60"/>
    <n v="5"/>
    <n v="8.1500000000000003E-2"/>
    <n v="5.2699999999999997E-2"/>
    <n v="5"/>
    <s v="No"/>
    <s v="Yes"/>
    <n v="0.9"/>
    <n v="181.46589041095891"/>
    <n v="9.7783767123287646"/>
    <n v="171.68751369863014"/>
    <n v="55"/>
    <x v="1208"/>
    <n v="1209"/>
  </r>
  <r>
    <s v="SUP129"/>
    <x v="57"/>
    <s v="APAC"/>
    <x v="4"/>
    <s v="Medium"/>
    <n v="6051605"/>
    <s v="INV00962"/>
    <n v="20469"/>
    <d v="2025-03-06T00:00:00"/>
    <n v="90"/>
    <n v="2"/>
    <n v="0.11310000000000001"/>
    <n v="6.4100000000000004E-2"/>
    <n v="5"/>
    <s v="No"/>
    <s v="Yes"/>
    <n v="0.35"/>
    <n v="570.83274246575343"/>
    <n v="17.973464383561645"/>
    <n v="552.85927808219174"/>
    <n v="85"/>
    <x v="1209"/>
    <n v="1210"/>
  </r>
  <r>
    <s v="SUP027"/>
    <x v="99"/>
    <s v="US"/>
    <x v="1"/>
    <s v="Large"/>
    <n v="19529913"/>
    <s v="INV00341"/>
    <n v="18368"/>
    <d v="2025-07-14T00:00:00"/>
    <n v="60"/>
    <n v="2"/>
    <n v="8.7499999999999994E-2"/>
    <n v="5.8200000000000002E-2"/>
    <n v="5"/>
    <s v="Yes"/>
    <s v="Yes"/>
    <n v="0.65"/>
    <n v="264.19726027397257"/>
    <n v="14.644076712328769"/>
    <n v="249.55318356164381"/>
    <n v="55"/>
    <x v="1210"/>
    <n v="1211"/>
  </r>
  <r>
    <s v="SUP004"/>
    <x v="29"/>
    <s v="Europe"/>
    <x v="4"/>
    <s v="Small"/>
    <n v="1485779"/>
    <s v="INV00082"/>
    <n v="22828"/>
    <d v="2025-06-17T00:00:00"/>
    <n v="60"/>
    <n v="2"/>
    <n v="0.1295"/>
    <n v="5.3600000000000002E-2"/>
    <n v="6"/>
    <s v="No"/>
    <s v="Yes"/>
    <n v="0.2"/>
    <n v="485.95495890410956"/>
    <n v="20.113656986301368"/>
    <n v="465.84130191780821"/>
    <n v="54"/>
    <x v="1211"/>
    <n v="1212"/>
  </r>
  <r>
    <s v="SUP049"/>
    <x v="60"/>
    <s v="Mexico"/>
    <x v="1"/>
    <s v="Medium"/>
    <n v="2803992"/>
    <s v="INV00222"/>
    <n v="24481"/>
    <d v="2025-05-08T00:00:00"/>
    <n v="45"/>
    <n v="5"/>
    <n v="0.1036"/>
    <n v="6.3399999999999998E-2"/>
    <n v="7"/>
    <s v="No"/>
    <s v="Yes"/>
    <n v="0.35"/>
    <n v="312.68608767123288"/>
    <n v="29.766213150684933"/>
    <n v="282.91987452054798"/>
    <n v="38"/>
    <x v="1212"/>
    <n v="1213"/>
  </r>
  <r>
    <s v="SUP146"/>
    <x v="46"/>
    <s v="US"/>
    <x v="0"/>
    <s v="Large"/>
    <n v="10372464"/>
    <s v="INV00894"/>
    <n v="20853"/>
    <d v="2025-09-04T00:00:00"/>
    <n v="60"/>
    <n v="3"/>
    <n v="8.77E-2"/>
    <n v="6.3100000000000003E-2"/>
    <n v="6"/>
    <s v="No"/>
    <s v="Yes"/>
    <n v="0.65"/>
    <n v="300.62598904109586"/>
    <n v="21.629988493150684"/>
    <n v="278.99600054794519"/>
    <n v="54"/>
    <x v="1213"/>
    <n v="1214"/>
  </r>
  <r>
    <s v="SUP114"/>
    <x v="77"/>
    <s v="Europe"/>
    <x v="2"/>
    <s v="Medium"/>
    <n v="6687670"/>
    <s v="INV01142"/>
    <n v="33771"/>
    <d v="2025-07-09T00:00:00"/>
    <n v="60"/>
    <n v="3"/>
    <n v="0.1013"/>
    <n v="5.1999999999999998E-2"/>
    <n v="6"/>
    <s v="No"/>
    <s v="Yes"/>
    <n v="0.2"/>
    <n v="562.35654246575336"/>
    <n v="28.867265753424654"/>
    <n v="533.48927671232866"/>
    <n v="54"/>
    <x v="1214"/>
    <n v="1215"/>
  </r>
  <r>
    <s v="SUP101"/>
    <x v="85"/>
    <s v="US"/>
    <x v="1"/>
    <s v="Large"/>
    <n v="16270036"/>
    <s v="INV00475"/>
    <n v="49586"/>
    <d v="2026-01-28T00:00:00"/>
    <n v="60"/>
    <n v="2"/>
    <n v="9.2200000000000004E-2"/>
    <n v="5.8799999999999998E-2"/>
    <n v="8"/>
    <s v="No"/>
    <s v="Yes"/>
    <n v="0.2"/>
    <n v="751.53356712328764"/>
    <n v="63.904806575342462"/>
    <n v="687.62876054794515"/>
    <n v="52"/>
    <x v="1215"/>
    <n v="1216"/>
  </r>
  <r>
    <s v="SUP037"/>
    <x v="65"/>
    <s v="Mexico"/>
    <x v="2"/>
    <s v="Large"/>
    <n v="15898738"/>
    <s v="INV00468"/>
    <n v="28389"/>
    <d v="2025-02-02T00:00:00"/>
    <n v="60"/>
    <n v="10"/>
    <n v="0.1071"/>
    <n v="0.05"/>
    <n v="5"/>
    <s v="Yes"/>
    <s v="Yes"/>
    <n v="0.2"/>
    <n v="499.80195616438357"/>
    <n v="19.444520547945206"/>
    <n v="480.35743561643835"/>
    <n v="55"/>
    <x v="1216"/>
    <n v="1217"/>
  </r>
  <r>
    <s v="SUP139"/>
    <x v="55"/>
    <s v="Canada"/>
    <x v="2"/>
    <s v="Large"/>
    <n v="13330124"/>
    <s v="INV00320"/>
    <n v="13109"/>
    <d v="2025-08-05T00:00:00"/>
    <n v="45"/>
    <n v="7"/>
    <n v="0.10920000000000001"/>
    <n v="6.1100000000000002E-2"/>
    <n v="7"/>
    <s v="No"/>
    <s v="Yes"/>
    <n v="0.5"/>
    <n v="176.48664657534246"/>
    <n v="15.36087479452055"/>
    <n v="161.12577178082191"/>
    <n v="38"/>
    <x v="1217"/>
    <n v="1218"/>
  </r>
  <r>
    <s v="SUP134"/>
    <x v="45"/>
    <s v="Europe"/>
    <x v="2"/>
    <s v="Medium"/>
    <n v="3948313"/>
    <s v="INV01431"/>
    <n v="17230"/>
    <d v="2025-05-15T00:00:00"/>
    <n v="60"/>
    <n v="10"/>
    <n v="0.1154"/>
    <n v="6.3500000000000001E-2"/>
    <n v="8"/>
    <s v="No"/>
    <s v="Yes"/>
    <n v="0.35"/>
    <n v="326.85073972602737"/>
    <n v="23.980383561643837"/>
    <n v="302.87035616438351"/>
    <n v="52"/>
    <x v="1218"/>
    <n v="1219"/>
  </r>
  <r>
    <s v="SUP002"/>
    <x v="90"/>
    <s v="US"/>
    <x v="0"/>
    <s v="Medium"/>
    <n v="6074867"/>
    <s v="INV01008"/>
    <n v="37571"/>
    <d v="2025-12-30T00:00:00"/>
    <n v="60"/>
    <n v="7"/>
    <n v="9.4299999999999995E-2"/>
    <n v="5.2900000000000003E-2"/>
    <n v="6"/>
    <s v="No"/>
    <s v="Yes"/>
    <n v="0.2"/>
    <n v="582.40196712328759"/>
    <n v="32.671329863013696"/>
    <n v="549.73063726027385"/>
    <n v="54"/>
    <x v="1219"/>
    <n v="1220"/>
  </r>
  <r>
    <s v="SUP068"/>
    <x v="94"/>
    <s v="Europe"/>
    <x v="2"/>
    <s v="Large"/>
    <n v="17196352"/>
    <s v="INV00541"/>
    <n v="46978"/>
    <d v="2025-12-19T00:00:00"/>
    <n v="60"/>
    <n v="7"/>
    <n v="8.1500000000000003E-2"/>
    <n v="4.9599999999999998E-2"/>
    <n v="6"/>
    <s v="Yes"/>
    <s v="Yes"/>
    <n v="0.2"/>
    <n v="629.37649315068495"/>
    <n v="38.303158356164381"/>
    <n v="591.07333479452052"/>
    <n v="54"/>
    <x v="1220"/>
    <n v="1221"/>
  </r>
  <r>
    <s v="SUP088"/>
    <x v="12"/>
    <s v="Mexico"/>
    <x v="1"/>
    <s v="Large"/>
    <n v="22780879"/>
    <s v="INV00103"/>
    <n v="30830"/>
    <d v="2025-09-21T00:00:00"/>
    <n v="60"/>
    <n v="10"/>
    <n v="7.0800000000000002E-2"/>
    <n v="5.1400000000000001E-2"/>
    <n v="7"/>
    <s v="No"/>
    <s v="Yes"/>
    <n v="0.5"/>
    <n v="358.8105205479452"/>
    <n v="30.390778082191783"/>
    <n v="328.41974246575342"/>
    <n v="53"/>
    <x v="1221"/>
    <n v="1222"/>
  </r>
  <r>
    <s v="SUP073"/>
    <x v="9"/>
    <s v="Europe"/>
    <x v="1"/>
    <s v="Small"/>
    <n v="261628"/>
    <s v="INV00034"/>
    <n v="12800"/>
    <d v="2025-02-16T00:00:00"/>
    <n v="45"/>
    <n v="3"/>
    <n v="0.17249999999999999"/>
    <n v="5.6300000000000003E-2"/>
    <n v="8"/>
    <s v="Yes"/>
    <s v="Yes"/>
    <n v="0.2"/>
    <n v="272.21917808219177"/>
    <n v="15.794849315068493"/>
    <n v="256.42432876712326"/>
    <n v="37"/>
    <x v="1222"/>
    <n v="1223"/>
  </r>
  <r>
    <s v="SUP145"/>
    <x v="32"/>
    <s v="US"/>
    <x v="2"/>
    <s v="Medium"/>
    <n v="3469396"/>
    <s v="INV00773"/>
    <n v="13850"/>
    <d v="2026-01-01T00:00:00"/>
    <n v="60"/>
    <n v="5"/>
    <n v="0.1216"/>
    <n v="6.0499999999999998E-2"/>
    <n v="8"/>
    <s v="No"/>
    <s v="Yes"/>
    <n v="0.35"/>
    <n v="276.84821917808222"/>
    <n v="18.365479452054792"/>
    <n v="258.48273972602743"/>
    <n v="52"/>
    <x v="1223"/>
    <n v="1224"/>
  </r>
  <r>
    <s v="SUP033"/>
    <x v="50"/>
    <s v="Europe"/>
    <x v="1"/>
    <s v="Medium"/>
    <n v="2416616"/>
    <s v="INV00869"/>
    <n v="17961"/>
    <d v="2026-01-07T00:00:00"/>
    <n v="45"/>
    <n v="7"/>
    <n v="0.1024"/>
    <n v="5.6300000000000003E-2"/>
    <n v="7"/>
    <s v="Yes"/>
    <s v="Yes"/>
    <n v="0.35"/>
    <n v="226.75147397260272"/>
    <n v="19.392959178082194"/>
    <n v="207.35851479452054"/>
    <n v="38"/>
    <x v="1224"/>
    <n v="1225"/>
  </r>
  <r>
    <s v="SUP132"/>
    <x v="62"/>
    <s v="US"/>
    <x v="3"/>
    <s v="Large"/>
    <n v="15029491"/>
    <s v="INV00117"/>
    <n v="34349"/>
    <d v="2025-10-21T00:00:00"/>
    <n v="60"/>
    <n v="10"/>
    <n v="9.8400000000000001E-2"/>
    <n v="5.74E-2"/>
    <n v="8"/>
    <s v="Yes"/>
    <s v="Yes"/>
    <n v="0.2"/>
    <n v="555.60683835616442"/>
    <n v="43.213865205479451"/>
    <n v="512.39297315068495"/>
    <n v="52"/>
    <x v="1225"/>
    <n v="1226"/>
  </r>
  <r>
    <s v="SUP041"/>
    <x v="3"/>
    <s v="Europe"/>
    <x v="0"/>
    <s v="Small"/>
    <n v="639703"/>
    <s v="INV00678"/>
    <n v="20601"/>
    <d v="2025-02-25T00:00:00"/>
    <n v="45"/>
    <n v="5"/>
    <n v="0.1148"/>
    <n v="4.6699999999999998E-2"/>
    <n v="8"/>
    <s v="No"/>
    <s v="Yes"/>
    <n v="0.2"/>
    <n v="291.57470136986296"/>
    <n v="21.086393424657533"/>
    <n v="270.48830794520541"/>
    <n v="37"/>
    <x v="1226"/>
    <n v="1227"/>
  </r>
  <r>
    <s v="SUP107"/>
    <x v="59"/>
    <s v="APAC"/>
    <x v="4"/>
    <s v="Medium"/>
    <n v="3819447"/>
    <s v="INV01251"/>
    <n v="21801"/>
    <d v="2025-10-07T00:00:00"/>
    <n v="60"/>
    <n v="3"/>
    <n v="0.12620000000000001"/>
    <n v="6.2100000000000002E-2"/>
    <n v="10"/>
    <s v="No"/>
    <s v="Yes"/>
    <n v="0.2"/>
    <n v="452.26622465753422"/>
    <n v="37.091564383561646"/>
    <n v="415.17466027397256"/>
    <n v="50"/>
    <x v="1227"/>
    <n v="1228"/>
  </r>
  <r>
    <s v="SUP014"/>
    <x v="103"/>
    <s v="APAC"/>
    <x v="3"/>
    <s v="Large"/>
    <n v="22396514"/>
    <s v="INV00395"/>
    <n v="62860"/>
    <d v="2025-11-25T00:00:00"/>
    <n v="60"/>
    <n v="5"/>
    <n v="7.5700000000000003E-2"/>
    <n v="5.3699999999999998E-2"/>
    <n v="5"/>
    <s v="No"/>
    <s v="Yes"/>
    <n v="0.2"/>
    <n v="782.21950684931505"/>
    <n v="46.240849315068488"/>
    <n v="735.97865753424662"/>
    <n v="55"/>
    <x v="1228"/>
    <n v="1229"/>
  </r>
  <r>
    <s v="SUP027"/>
    <x v="99"/>
    <s v="US"/>
    <x v="1"/>
    <s v="Large"/>
    <n v="19529913"/>
    <s v="INV00625"/>
    <n v="13567"/>
    <d v="2025-04-09T00:00:00"/>
    <n v="60"/>
    <n v="7"/>
    <n v="8.7499999999999994E-2"/>
    <n v="4.7100000000000003E-2"/>
    <n v="8"/>
    <s v="No"/>
    <s v="Yes"/>
    <n v="0.5"/>
    <n v="195.14178082191779"/>
    <n v="14.005604383561645"/>
    <n v="181.13617643835616"/>
    <n v="52"/>
    <x v="1229"/>
    <n v="1230"/>
  </r>
  <r>
    <s v="SUP033"/>
    <x v="50"/>
    <s v="Europe"/>
    <x v="1"/>
    <s v="Medium"/>
    <n v="2416616"/>
    <s v="INV01341"/>
    <n v="28683"/>
    <d v="2025-01-20T00:00:00"/>
    <n v="60"/>
    <n v="3"/>
    <n v="0.1024"/>
    <n v="5.5399999999999998E-2"/>
    <n v="5"/>
    <s v="Yes"/>
    <s v="Yes"/>
    <n v="0.2"/>
    <n v="482.81740273972599"/>
    <n v="21.767646575342464"/>
    <n v="461.04975616438355"/>
    <n v="55"/>
    <x v="1230"/>
    <n v="1231"/>
  </r>
  <r>
    <s v="SUP055"/>
    <x v="69"/>
    <s v="APAC"/>
    <x v="1"/>
    <s v="Medium"/>
    <n v="2362296"/>
    <s v="INV00824"/>
    <n v="26539"/>
    <d v="2025-03-27T00:00:00"/>
    <n v="90"/>
    <n v="7"/>
    <n v="0.1077"/>
    <n v="5.7200000000000001E-2"/>
    <n v="5"/>
    <s v="No"/>
    <s v="Yes"/>
    <n v="0.2"/>
    <n v="704.77404657534248"/>
    <n v="20.794942465753422"/>
    <n v="683.97910410958912"/>
    <n v="85"/>
    <x v="1231"/>
    <n v="1232"/>
  </r>
  <r>
    <s v="SUP141"/>
    <x v="92"/>
    <s v="US"/>
    <x v="2"/>
    <s v="Medium"/>
    <n v="1810544"/>
    <s v="INV00712"/>
    <n v="27544"/>
    <d v="2025-08-06T00:00:00"/>
    <n v="45"/>
    <n v="10"/>
    <n v="9.6299999999999997E-2"/>
    <n v="4.7800000000000002E-2"/>
    <n v="6"/>
    <s v="No"/>
    <s v="Yes"/>
    <n v="0.2"/>
    <n v="327.01896986301369"/>
    <n v="21.642792328767122"/>
    <n v="305.37617753424655"/>
    <n v="39"/>
    <x v="1232"/>
    <n v="1233"/>
  </r>
  <r>
    <s v="SUP076"/>
    <x v="95"/>
    <s v="Canada"/>
    <x v="2"/>
    <s v="Large"/>
    <n v="23937545"/>
    <s v="INV01201"/>
    <n v="34312"/>
    <d v="2025-12-08T00:00:00"/>
    <n v="60"/>
    <n v="2"/>
    <n v="8.7099999999999997E-2"/>
    <n v="4.8300000000000003E-2"/>
    <n v="7"/>
    <s v="No"/>
    <s v="Yes"/>
    <n v="0.2"/>
    <n v="491.27263561643827"/>
    <n v="31.783252602739729"/>
    <n v="459.48938301369856"/>
    <n v="53"/>
    <x v="1233"/>
    <n v="1234"/>
  </r>
  <r>
    <s v="SUP049"/>
    <x v="60"/>
    <s v="Mexico"/>
    <x v="1"/>
    <s v="Medium"/>
    <n v="2803992"/>
    <s v="INV00992"/>
    <n v="30764"/>
    <d v="2025-06-04T00:00:00"/>
    <n v="90"/>
    <n v="7"/>
    <n v="0.1036"/>
    <n v="6.0699999999999997E-2"/>
    <n v="10"/>
    <s v="Yes"/>
    <s v="Yes"/>
    <n v="0.2"/>
    <n v="785.87270136986297"/>
    <n v="51.160953424657528"/>
    <n v="734.71174794520539"/>
    <n v="80"/>
    <x v="1234"/>
    <n v="1235"/>
  </r>
  <r>
    <s v="SUP033"/>
    <x v="50"/>
    <s v="Europe"/>
    <x v="1"/>
    <s v="Medium"/>
    <n v="2416616"/>
    <s v="INV00612"/>
    <n v="13413"/>
    <d v="2025-05-29T00:00:00"/>
    <n v="60"/>
    <n v="7"/>
    <n v="0.1024"/>
    <n v="6.3100000000000003E-2"/>
    <n v="10"/>
    <s v="No"/>
    <s v="Yes"/>
    <n v="0.5"/>
    <n v="225.77937534246576"/>
    <n v="23.187953424657536"/>
    <n v="202.59142191780822"/>
    <n v="50"/>
    <x v="1235"/>
    <n v="1236"/>
  </r>
  <r>
    <s v="SUP003"/>
    <x v="16"/>
    <s v="APAC"/>
    <x v="2"/>
    <s v="Small"/>
    <n v="1309806"/>
    <s v="INV00257"/>
    <n v="12835"/>
    <d v="2025-06-21T00:00:00"/>
    <n v="90"/>
    <n v="2"/>
    <n v="0.15210000000000001"/>
    <n v="4.9700000000000001E-2"/>
    <n v="7"/>
    <s v="No"/>
    <s v="Yes"/>
    <n v="0.2"/>
    <n v="481.36524657534244"/>
    <n v="12.233689041095891"/>
    <n v="469.13155753424655"/>
    <n v="83"/>
    <x v="1236"/>
    <n v="1237"/>
  </r>
  <r>
    <s v="SUP068"/>
    <x v="94"/>
    <s v="Europe"/>
    <x v="2"/>
    <s v="Large"/>
    <n v="17196352"/>
    <s v="INV00850"/>
    <n v="49156"/>
    <d v="2025-08-02T00:00:00"/>
    <n v="45"/>
    <n v="10"/>
    <n v="8.1500000000000003E-2"/>
    <n v="5.4800000000000001E-2"/>
    <n v="5"/>
    <s v="No"/>
    <s v="Yes"/>
    <n v="0.2"/>
    <n v="493.91679452054791"/>
    <n v="36.900668493150683"/>
    <n v="457.01612602739721"/>
    <n v="40"/>
    <x v="1237"/>
    <n v="1238"/>
  </r>
  <r>
    <s v="SUP031"/>
    <x v="102"/>
    <s v="Mexico"/>
    <x v="2"/>
    <s v="Large"/>
    <n v="13389097"/>
    <s v="INV01445"/>
    <n v="108919"/>
    <d v="2025-11-08T00:00:00"/>
    <n v="45"/>
    <n v="10"/>
    <n v="7.3800000000000004E-2"/>
    <n v="6.2199999999999998E-2"/>
    <n v="6"/>
    <s v="No"/>
    <s v="Yes"/>
    <n v="0.2"/>
    <n v="991.01369589041087"/>
    <n v="111.36594739726027"/>
    <n v="879.64774849315063"/>
    <n v="39"/>
    <x v="1238"/>
    <n v="1239"/>
  </r>
  <r>
    <s v="SUP082"/>
    <x v="70"/>
    <s v="APAC"/>
    <x v="3"/>
    <s v="Medium"/>
    <n v="4450767"/>
    <s v="INV01497"/>
    <n v="28493"/>
    <d v="2026-01-03T00:00:00"/>
    <n v="45"/>
    <n v="3"/>
    <n v="0.10489999999999999"/>
    <n v="6.1100000000000002E-2"/>
    <n v="6"/>
    <s v="Yes"/>
    <s v="Yes"/>
    <n v="0.2"/>
    <n v="368.49645616438352"/>
    <n v="28.617900821917804"/>
    <n v="339.87855534246569"/>
    <n v="39"/>
    <x v="1239"/>
    <n v="1240"/>
  </r>
  <r>
    <s v="SUP051"/>
    <x v="75"/>
    <s v="Mexico"/>
    <x v="1"/>
    <s v="Large"/>
    <n v="8479307"/>
    <s v="INV00941"/>
    <n v="72542"/>
    <d v="2025-12-30T00:00:00"/>
    <n v="60"/>
    <n v="10"/>
    <n v="7.0099999999999996E-2"/>
    <n v="5.2999999999999999E-2"/>
    <n v="6"/>
    <s v="No"/>
    <s v="Yes"/>
    <n v="0.2"/>
    <n v="835.92233424657525"/>
    <n v="63.200975342465746"/>
    <n v="772.72135890410948"/>
    <n v="54"/>
    <x v="1240"/>
    <n v="1241"/>
  </r>
  <r>
    <s v="SUP119"/>
    <x v="16"/>
    <s v="Canada"/>
    <x v="4"/>
    <s v="Large"/>
    <n v="13637712"/>
    <s v="INV00745"/>
    <n v="22048"/>
    <d v="2025-08-01T00:00:00"/>
    <n v="60"/>
    <n v="4"/>
    <n v="8.6999999999999994E-2"/>
    <n v="5.5100000000000003E-2"/>
    <n v="7"/>
    <s v="No"/>
    <s v="Yes"/>
    <n v="0.35"/>
    <n v="315.31660273972602"/>
    <n v="23.298393424657537"/>
    <n v="292.01820931506848"/>
    <n v="53"/>
    <x v="1241"/>
    <n v="1242"/>
  </r>
  <r>
    <s v="SUP019"/>
    <x v="73"/>
    <s v="Europe"/>
    <x v="0"/>
    <s v="Medium"/>
    <n v="4353599"/>
    <s v="INV00307"/>
    <n v="31613"/>
    <d v="2026-02-07T00:00:00"/>
    <n v="45"/>
    <n v="7"/>
    <n v="9.5600000000000004E-2"/>
    <n v="5.67E-2"/>
    <n v="5"/>
    <s v="No"/>
    <s v="Yes"/>
    <n v="0.2"/>
    <n v="372.60034520547941"/>
    <n v="24.554206849315069"/>
    <n v="348.04613835616436"/>
    <n v="40"/>
    <x v="1242"/>
    <n v="1243"/>
  </r>
  <r>
    <s v="SUP088"/>
    <x v="12"/>
    <s v="Mexico"/>
    <x v="1"/>
    <s v="Large"/>
    <n v="22780879"/>
    <s v="INV00280"/>
    <n v="76517"/>
    <d v="2025-09-27T00:00:00"/>
    <n v="60"/>
    <n v="3"/>
    <n v="7.0800000000000002E-2"/>
    <n v="5.4800000000000001E-2"/>
    <n v="5"/>
    <s v="Yes"/>
    <s v="Yes"/>
    <n v="0.2"/>
    <n v="890.53209863013706"/>
    <n v="57.44015890410958"/>
    <n v="833.09193972602748"/>
    <n v="55"/>
    <x v="1243"/>
    <n v="1244"/>
  </r>
  <r>
    <s v="SUP049"/>
    <x v="60"/>
    <s v="Mexico"/>
    <x v="1"/>
    <s v="Medium"/>
    <n v="2803992"/>
    <s v="INV00700"/>
    <n v="12320"/>
    <d v="2025-08-02T00:00:00"/>
    <n v="45"/>
    <n v="4"/>
    <n v="0.1036"/>
    <n v="6.4100000000000004E-2"/>
    <n v="8"/>
    <s v="Yes"/>
    <s v="Yes"/>
    <n v="0.5"/>
    <n v="157.35846575342464"/>
    <n v="17.308756164383563"/>
    <n v="140.04970958904107"/>
    <n v="37"/>
    <x v="1244"/>
    <n v="1245"/>
  </r>
  <r>
    <s v="SUP071"/>
    <x v="72"/>
    <s v="APAC"/>
    <x v="0"/>
    <s v="Large"/>
    <n v="11944379"/>
    <s v="INV00495"/>
    <n v="46517"/>
    <d v="2025-11-14T00:00:00"/>
    <n v="60"/>
    <n v="5"/>
    <n v="7.0999999999999994E-2"/>
    <n v="4.4999999999999998E-2"/>
    <n v="10"/>
    <s v="No"/>
    <s v="Yes"/>
    <n v="0.2"/>
    <n v="542.91073972602737"/>
    <n v="57.349726027397253"/>
    <n v="485.56101369863012"/>
    <n v="50"/>
    <x v="1245"/>
    <n v="1246"/>
  </r>
  <r>
    <s v="SUP117"/>
    <x v="56"/>
    <s v="APAC"/>
    <x v="2"/>
    <s v="Small"/>
    <n v="407422"/>
    <s v="INV00884"/>
    <n v="18155"/>
    <d v="2025-10-20T00:00:00"/>
    <n v="45"/>
    <n v="5"/>
    <n v="0.121"/>
    <n v="5.5599999999999997E-2"/>
    <n v="7"/>
    <s v="Yes"/>
    <s v="Yes"/>
    <n v="0.2"/>
    <n v="270.8328082191781"/>
    <n v="19.358701369863013"/>
    <n v="251.47410684931509"/>
    <n v="38"/>
    <x v="1246"/>
    <n v="1247"/>
  </r>
  <r>
    <s v="SUP095"/>
    <x v="56"/>
    <s v="US"/>
    <x v="2"/>
    <s v="Small"/>
    <n v="965613"/>
    <s v="INV00059"/>
    <n v="14389"/>
    <d v="2025-03-12T00:00:00"/>
    <n v="60"/>
    <n v="3"/>
    <n v="0.1109"/>
    <n v="6.4000000000000001E-2"/>
    <n v="7"/>
    <s v="No"/>
    <s v="Yes"/>
    <n v="0.35"/>
    <n v="262.31344109589037"/>
    <n v="17.661019178082196"/>
    <n v="244.65242191780817"/>
    <n v="53"/>
    <x v="1247"/>
    <n v="1248"/>
  </r>
  <r>
    <s v="SUP047"/>
    <x v="35"/>
    <s v="US"/>
    <x v="3"/>
    <s v="Medium"/>
    <n v="6056843"/>
    <s v="INV00296"/>
    <n v="18505"/>
    <d v="2025-05-31T00:00:00"/>
    <n v="60"/>
    <n v="7"/>
    <n v="0.12520000000000001"/>
    <n v="6.1800000000000001E-2"/>
    <n v="6"/>
    <s v="Yes"/>
    <s v="Yes"/>
    <n v="0.2"/>
    <n v="380.84810958904109"/>
    <n v="18.799052054794519"/>
    <n v="362.04905753424657"/>
    <n v="54"/>
    <x v="1248"/>
    <n v="1249"/>
  </r>
  <r>
    <s v="SUP088"/>
    <x v="12"/>
    <s v="Mexico"/>
    <x v="1"/>
    <s v="Large"/>
    <n v="22780879"/>
    <s v="INV00547"/>
    <n v="17047"/>
    <d v="2025-07-22T00:00:00"/>
    <n v="60"/>
    <n v="5"/>
    <n v="7.0800000000000002E-2"/>
    <n v="5.4100000000000002E-2"/>
    <n v="5"/>
    <s v="No"/>
    <s v="Yes"/>
    <n v="0.8"/>
    <n v="198.39905753424657"/>
    <n v="12.633461643835616"/>
    <n v="185.76559589041096"/>
    <n v="55"/>
    <x v="1249"/>
    <n v="1250"/>
  </r>
  <r>
    <s v="SUP062"/>
    <x v="89"/>
    <s v="Mexico"/>
    <x v="4"/>
    <s v="Medium"/>
    <n v="3726894"/>
    <s v="INV00980"/>
    <n v="34365"/>
    <d v="2025-08-19T00:00:00"/>
    <n v="45"/>
    <n v="3"/>
    <n v="9.1899999999999996E-2"/>
    <n v="5.91E-2"/>
    <n v="6"/>
    <s v="No"/>
    <s v="Yes"/>
    <n v="0.2"/>
    <n v="389.36015753424653"/>
    <n v="33.385832876712321"/>
    <n v="355.97432465753423"/>
    <n v="39"/>
    <x v="1250"/>
    <n v="1251"/>
  </r>
  <r>
    <s v="SUP032"/>
    <x v="36"/>
    <s v="US"/>
    <x v="2"/>
    <s v="Medium"/>
    <n v="1954421"/>
    <s v="INV01055"/>
    <n v="13788"/>
    <d v="2025-08-11T00:00:00"/>
    <n v="60"/>
    <n v="3"/>
    <n v="0.1237"/>
    <n v="4.5999999999999999E-2"/>
    <n v="7"/>
    <s v="No"/>
    <s v="Yes"/>
    <n v="0.2"/>
    <n v="280.36859178082193"/>
    <n v="12.163660273972603"/>
    <n v="268.20493150684933"/>
    <n v="53"/>
    <x v="1251"/>
    <n v="1252"/>
  </r>
  <r>
    <s v="SUP120"/>
    <x v="19"/>
    <s v="APAC"/>
    <x v="3"/>
    <s v="Large"/>
    <n v="9396117"/>
    <s v="INV00357"/>
    <n v="100643"/>
    <d v="2025-11-26T00:00:00"/>
    <n v="60"/>
    <n v="3"/>
    <n v="7.2400000000000006E-2"/>
    <n v="6.1800000000000001E-2"/>
    <n v="10"/>
    <s v="No"/>
    <s v="Yes"/>
    <n v="0.2"/>
    <n v="1197.7895671232877"/>
    <n v="170.40376438356162"/>
    <n v="1027.3858027397262"/>
    <n v="50"/>
    <x v="1252"/>
    <n v="1253"/>
  </r>
  <r>
    <s v="SUP125"/>
    <x v="83"/>
    <s v="Europe"/>
    <x v="4"/>
    <s v="Large"/>
    <n v="21625874"/>
    <s v="INV00418"/>
    <n v="22104"/>
    <d v="2025-12-05T00:00:00"/>
    <n v="60"/>
    <n v="4"/>
    <n v="9.5399999999999999E-2"/>
    <n v="4.9200000000000001E-2"/>
    <n v="6"/>
    <s v="Yes"/>
    <s v="Yes"/>
    <n v="0.2"/>
    <n v="346.63916712328762"/>
    <n v="17.876988493150684"/>
    <n v="328.76217863013693"/>
    <n v="54"/>
    <x v="1253"/>
    <n v="1254"/>
  </r>
  <r>
    <s v="SUP063"/>
    <x v="88"/>
    <s v="Mexico"/>
    <x v="0"/>
    <s v="Medium"/>
    <n v="5790128"/>
    <s v="INV01229"/>
    <n v="24696"/>
    <d v="2025-06-03T00:00:00"/>
    <n v="45"/>
    <n v="2"/>
    <n v="9.5799999999999996E-2"/>
    <n v="5.45E-2"/>
    <n v="10"/>
    <s v="No"/>
    <s v="Yes"/>
    <n v="0.2"/>
    <n v="291.68344109589037"/>
    <n v="36.874849315068495"/>
    <n v="254.80859178082187"/>
    <n v="35"/>
    <x v="1254"/>
    <n v="1255"/>
  </r>
  <r>
    <s v="SUP071"/>
    <x v="72"/>
    <s v="APAC"/>
    <x v="0"/>
    <s v="Large"/>
    <n v="11944379"/>
    <s v="INV00749"/>
    <n v="109836"/>
    <d v="2025-11-21T00:00:00"/>
    <n v="60"/>
    <n v="4"/>
    <n v="7.0999999999999994E-2"/>
    <n v="6.1899999999999997E-2"/>
    <n v="8"/>
    <s v="No"/>
    <s v="Yes"/>
    <n v="0.2"/>
    <n v="1281.921534246575"/>
    <n v="149.01585534246576"/>
    <n v="1132.9056789041092"/>
    <n v="52"/>
    <x v="1255"/>
    <n v="1256"/>
  </r>
  <r>
    <s v="SUP042"/>
    <x v="93"/>
    <s v="Europe"/>
    <x v="3"/>
    <s v="Large"/>
    <n v="15261617"/>
    <s v="INV00008"/>
    <n v="33567"/>
    <d v="2025-08-28T00:00:00"/>
    <n v="45"/>
    <n v="5"/>
    <n v="9.3200000000000005E-2"/>
    <n v="6.4299999999999996E-2"/>
    <n v="7"/>
    <s v="No"/>
    <s v="Yes"/>
    <n v="0.2"/>
    <n v="385.69862465753425"/>
    <n v="41.393169041095888"/>
    <n v="344.30545561643839"/>
    <n v="38"/>
    <x v="1256"/>
    <n v="1257"/>
  </r>
  <r>
    <s v="SUP146"/>
    <x v="46"/>
    <s v="US"/>
    <x v="0"/>
    <s v="Large"/>
    <n v="10372464"/>
    <s v="INV01455"/>
    <n v="26249"/>
    <d v="2025-12-17T00:00:00"/>
    <n v="60"/>
    <n v="3"/>
    <n v="8.77E-2"/>
    <n v="5.11E-2"/>
    <n v="7"/>
    <s v="No"/>
    <s v="Yes"/>
    <n v="0.2"/>
    <n v="378.41709041095885"/>
    <n v="25.724020000000003"/>
    <n v="352.69307041095885"/>
    <n v="53"/>
    <x v="1257"/>
    <n v="1258"/>
  </r>
  <r>
    <s v="SUP071"/>
    <x v="72"/>
    <s v="APAC"/>
    <x v="0"/>
    <s v="Large"/>
    <n v="11944379"/>
    <s v="INV01188"/>
    <n v="22852"/>
    <d v="2025-01-31T00:00:00"/>
    <n v="60"/>
    <n v="3"/>
    <n v="7.0999999999999994E-2"/>
    <n v="5.8200000000000002E-2"/>
    <n v="6"/>
    <s v="No"/>
    <s v="Yes"/>
    <n v="0.65"/>
    <n v="266.7110136986301"/>
    <n v="21.862790136986298"/>
    <n v="244.84822356164381"/>
    <n v="54"/>
    <x v="1258"/>
    <n v="1259"/>
  </r>
  <r>
    <s v="SUP088"/>
    <x v="12"/>
    <s v="Mexico"/>
    <x v="1"/>
    <s v="Large"/>
    <n v="22780879"/>
    <s v="INV00436"/>
    <n v="95345"/>
    <d v="2025-05-15T00:00:00"/>
    <n v="30"/>
    <n v="2"/>
    <n v="7.0800000000000002E-2"/>
    <n v="6.1499999999999999E-2"/>
    <n v="8"/>
    <s v="No"/>
    <s v="Yes"/>
    <n v="0.2"/>
    <n v="554.82953424657535"/>
    <n v="128.51983561643834"/>
    <n v="426.30969863013701"/>
    <n v="22"/>
    <x v="1259"/>
    <n v="1260"/>
  </r>
  <r>
    <s v="SUP059"/>
    <x v="84"/>
    <s v="Canada"/>
    <x v="0"/>
    <s v="Large"/>
    <n v="22445214"/>
    <s v="INV00580"/>
    <n v="29395"/>
    <d v="2025-12-18T00:00:00"/>
    <n v="45"/>
    <n v="2"/>
    <n v="8.4000000000000005E-2"/>
    <n v="5.4199999999999998E-2"/>
    <n v="10"/>
    <s v="Yes"/>
    <s v="Yes"/>
    <n v="0.2"/>
    <n v="304.41945205479453"/>
    <n v="43.649561643835618"/>
    <n v="260.76989041095891"/>
    <n v="35"/>
    <x v="1260"/>
    <n v="1261"/>
  </r>
  <r>
    <s v="SUP120"/>
    <x v="19"/>
    <s v="APAC"/>
    <x v="3"/>
    <s v="Large"/>
    <n v="9396117"/>
    <s v="INV00430"/>
    <n v="65562"/>
    <d v="2025-07-12T00:00:00"/>
    <n v="45"/>
    <n v="2"/>
    <n v="7.2400000000000006E-2"/>
    <n v="5.9200000000000003E-2"/>
    <n v="5"/>
    <s v="No"/>
    <s v="Yes"/>
    <n v="0.2"/>
    <n v="585.20820821917812"/>
    <n v="53.168087671232875"/>
    <n v="532.04012054794521"/>
    <n v="40"/>
    <x v="1261"/>
    <n v="1262"/>
  </r>
  <r>
    <s v="SUP051"/>
    <x v="75"/>
    <s v="Mexico"/>
    <x v="1"/>
    <s v="Large"/>
    <n v="8479307"/>
    <s v="INV00994"/>
    <n v="43897"/>
    <d v="2025-06-17T00:00:00"/>
    <n v="45"/>
    <n v="10"/>
    <n v="7.0099999999999996E-2"/>
    <n v="5.8999999999999997E-2"/>
    <n v="5"/>
    <s v="No"/>
    <s v="Yes"/>
    <n v="0.35"/>
    <n v="379.37831917808211"/>
    <n v="35.478397260273965"/>
    <n v="343.89992191780811"/>
    <n v="40"/>
    <x v="1262"/>
    <n v="1263"/>
  </r>
  <r>
    <s v="SUP063"/>
    <x v="88"/>
    <s v="Mexico"/>
    <x v="0"/>
    <s v="Medium"/>
    <n v="5790128"/>
    <s v="INV01192"/>
    <n v="20996"/>
    <d v="2026-01-17T00:00:00"/>
    <n v="45"/>
    <n v="3"/>
    <n v="9.5799999999999996E-2"/>
    <n v="5.8700000000000002E-2"/>
    <n v="10"/>
    <s v="No"/>
    <s v="Yes"/>
    <n v="0.2"/>
    <n v="247.9828931506849"/>
    <n v="33.766169863013701"/>
    <n v="214.21672328767119"/>
    <n v="35"/>
    <x v="1263"/>
    <n v="1264"/>
  </r>
  <r>
    <s v="SUP121"/>
    <x v="46"/>
    <s v="Europe"/>
    <x v="4"/>
    <s v="Large"/>
    <n v="21735545"/>
    <s v="INV00989"/>
    <n v="66149"/>
    <d v="2026-02-18T00:00:00"/>
    <n v="60"/>
    <n v="2"/>
    <n v="7.4999999999999997E-2"/>
    <n v="6.4699999999999994E-2"/>
    <n v="7"/>
    <s v="Yes"/>
    <s v="Yes"/>
    <n v="0.2"/>
    <n v="815.5356164383561"/>
    <n v="82.079129041095896"/>
    <n v="733.45648739726016"/>
    <n v="53"/>
    <x v="1264"/>
    <n v="1265"/>
  </r>
  <r>
    <s v="SUP079"/>
    <x v="55"/>
    <s v="Canada"/>
    <x v="1"/>
    <s v="Large"/>
    <n v="9703738"/>
    <s v="INV00777"/>
    <n v="13352"/>
    <d v="2025-08-05T00:00:00"/>
    <n v="60"/>
    <n v="4"/>
    <n v="7.5499999999999998E-2"/>
    <n v="6.4500000000000002E-2"/>
    <n v="8"/>
    <s v="No"/>
    <s v="Yes"/>
    <n v="0.9"/>
    <n v="165.71112328767123"/>
    <n v="18.875704109589044"/>
    <n v="146.83541917808219"/>
    <n v="52"/>
    <x v="1265"/>
    <n v="1266"/>
  </r>
  <r>
    <s v="SUP113"/>
    <x v="81"/>
    <s v="APAC"/>
    <x v="2"/>
    <s v="Large"/>
    <n v="17195029"/>
    <s v="INV01248"/>
    <n v="58151"/>
    <d v="2025-10-19T00:00:00"/>
    <n v="60"/>
    <n v="7"/>
    <n v="7.3400000000000007E-2"/>
    <n v="6.2100000000000002E-2"/>
    <n v="5"/>
    <s v="No"/>
    <s v="Yes"/>
    <n v="0.2"/>
    <n v="701.63562739726024"/>
    <n v="49.468179452054798"/>
    <n v="652.16744794520548"/>
    <n v="55"/>
    <x v="1266"/>
    <n v="1267"/>
  </r>
  <r>
    <s v="SUP100"/>
    <x v="80"/>
    <s v="Mexico"/>
    <x v="4"/>
    <s v="Large"/>
    <n v="13101534"/>
    <s v="INV01180"/>
    <n v="21103"/>
    <d v="2025-10-12T00:00:00"/>
    <n v="60"/>
    <n v="5"/>
    <n v="8.9499999999999996E-2"/>
    <n v="5.9499999999999997E-2"/>
    <n v="7"/>
    <s v="No"/>
    <s v="Yes"/>
    <n v="0.2"/>
    <n v="310.4742739726027"/>
    <n v="24.080546575342467"/>
    <n v="286.39372739726025"/>
    <n v="53"/>
    <x v="1267"/>
    <n v="1268"/>
  </r>
  <r>
    <s v="SUP053"/>
    <x v="86"/>
    <s v="Canada"/>
    <x v="2"/>
    <s v="Large"/>
    <n v="12001432"/>
    <s v="INV01161"/>
    <n v="22142"/>
    <d v="2025-07-31T00:00:00"/>
    <n v="60"/>
    <n v="4"/>
    <n v="9.1800000000000007E-2"/>
    <n v="6.3299999999999995E-2"/>
    <n v="6"/>
    <s v="No"/>
    <s v="Yes"/>
    <n v="0.2"/>
    <n v="334.13187945205476"/>
    <n v="23.039812602739719"/>
    <n v="311.09206684931502"/>
    <n v="54"/>
    <x v="1268"/>
    <n v="1269"/>
  </r>
  <r>
    <s v="SUP088"/>
    <x v="12"/>
    <s v="Mexico"/>
    <x v="1"/>
    <s v="Large"/>
    <n v="22780879"/>
    <s v="INV00930"/>
    <n v="49200"/>
    <d v="2025-03-29T00:00:00"/>
    <n v="45"/>
    <n v="4"/>
    <n v="7.0800000000000002E-2"/>
    <n v="5.8200000000000002E-2"/>
    <n v="5"/>
    <s v="No"/>
    <s v="Yes"/>
    <n v="0.2"/>
    <n v="429.4553424657534"/>
    <n v="39.22520547945205"/>
    <n v="390.23013698630137"/>
    <n v="40"/>
    <x v="1269"/>
    <n v="1270"/>
  </r>
  <r>
    <s v="SUP088"/>
    <x v="12"/>
    <s v="Mexico"/>
    <x v="1"/>
    <s v="Large"/>
    <n v="22780879"/>
    <s v="INV01170"/>
    <n v="26097"/>
    <d v="2025-08-19T00:00:00"/>
    <n v="60"/>
    <n v="5"/>
    <n v="7.0800000000000002E-2"/>
    <n v="4.9000000000000002E-2"/>
    <n v="7"/>
    <s v="No"/>
    <s v="Yes"/>
    <n v="0.2"/>
    <n v="303.72618082191781"/>
    <n v="24.524030136986305"/>
    <n v="279.2021506849315"/>
    <n v="53"/>
    <x v="1270"/>
    <n v="1271"/>
  </r>
  <r>
    <s v="SUP051"/>
    <x v="75"/>
    <s v="Mexico"/>
    <x v="1"/>
    <s v="Large"/>
    <n v="8479307"/>
    <s v="INV01136"/>
    <n v="50915"/>
    <d v="2025-12-23T00:00:00"/>
    <n v="45"/>
    <n v="4"/>
    <n v="7.0099999999999996E-2"/>
    <n v="6.3799999999999996E-2"/>
    <n v="8"/>
    <s v="No"/>
    <s v="Yes"/>
    <n v="0.35"/>
    <n v="440.03114383561638"/>
    <n v="71.197304109589041"/>
    <n v="368.83383972602735"/>
    <n v="37"/>
    <x v="1271"/>
    <n v="1272"/>
  </r>
  <r>
    <s v="SUP088"/>
    <x v="12"/>
    <s v="Mexico"/>
    <x v="1"/>
    <s v="Large"/>
    <n v="22780879"/>
    <s v="INV00333"/>
    <n v="22592"/>
    <d v="2025-04-18T00:00:00"/>
    <n v="60"/>
    <n v="10"/>
    <n v="7.0800000000000002E-2"/>
    <n v="6.4699999999999994E-2"/>
    <n v="7"/>
    <s v="No"/>
    <s v="Yes"/>
    <n v="0.5"/>
    <n v="262.93374246575343"/>
    <n v="28.032648767123288"/>
    <n v="234.90109369863015"/>
    <n v="53"/>
    <x v="1272"/>
    <n v="1273"/>
  </r>
  <r>
    <s v="SUP014"/>
    <x v="103"/>
    <s v="APAC"/>
    <x v="3"/>
    <s v="Large"/>
    <n v="22396514"/>
    <s v="INV00107"/>
    <n v="15037"/>
    <d v="2025-05-25T00:00:00"/>
    <n v="30"/>
    <n v="5"/>
    <n v="7.5700000000000003E-2"/>
    <n v="5.5100000000000003E-2"/>
    <n v="6"/>
    <s v="Yes"/>
    <s v="Yes"/>
    <n v="0.2"/>
    <n v="93.558978082191771"/>
    <n v="13.619814246575341"/>
    <n v="79.939163835616426"/>
    <n v="24"/>
    <x v="1273"/>
    <n v="1274"/>
  </r>
  <r>
    <s v="SUP120"/>
    <x v="19"/>
    <s v="APAC"/>
    <x v="3"/>
    <s v="Large"/>
    <n v="9396117"/>
    <s v="INV00574"/>
    <n v="14453"/>
    <d v="2025-06-23T00:00:00"/>
    <n v="45"/>
    <n v="10"/>
    <n v="7.2400000000000006E-2"/>
    <n v="5.16E-2"/>
    <n v="7"/>
    <s v="Yes"/>
    <s v="Yes"/>
    <n v="0.2"/>
    <n v="129.00787397260274"/>
    <n v="14.302530410958905"/>
    <n v="114.70534356164383"/>
    <n v="38"/>
    <x v="1274"/>
    <n v="1275"/>
  </r>
  <r>
    <s v="SUP088"/>
    <x v="12"/>
    <s v="Mexico"/>
    <x v="1"/>
    <s v="Large"/>
    <n v="22780879"/>
    <s v="INV00999"/>
    <n v="27218"/>
    <d v="2025-10-30T00:00:00"/>
    <n v="60"/>
    <n v="3"/>
    <n v="7.0800000000000002E-2"/>
    <n v="6.2100000000000002E-2"/>
    <n v="8"/>
    <s v="No"/>
    <s v="Yes"/>
    <n v="0.2"/>
    <n v="316.77277808219179"/>
    <n v="37.046307945205484"/>
    <n v="279.72647013698634"/>
    <n v="52"/>
    <x v="1275"/>
    <n v="1276"/>
  </r>
  <r>
    <s v="SUP071"/>
    <x v="72"/>
    <s v="APAC"/>
    <x v="0"/>
    <s v="Large"/>
    <n v="11944379"/>
    <s v="INV00975"/>
    <n v="13617"/>
    <d v="2025-09-23T00:00:00"/>
    <n v="45"/>
    <n v="2"/>
    <n v="7.0999999999999994E-2"/>
    <n v="5.79E-2"/>
    <n v="8"/>
    <s v="No"/>
    <s v="Yes"/>
    <n v="0.2"/>
    <n v="119.19538356164382"/>
    <n v="17.280532602739726"/>
    <n v="101.9148509589041"/>
    <n v="37"/>
    <x v="1276"/>
    <n v="1277"/>
  </r>
  <r>
    <s v="SUP025"/>
    <x v="96"/>
    <s v="Mexico"/>
    <x v="3"/>
    <s v="Medium"/>
    <n v="2577026"/>
    <s v="INV00005"/>
    <n v="95442"/>
    <d v="2025-11-27T00:00:00"/>
    <n v="45"/>
    <n v="4"/>
    <n v="0.123"/>
    <n v="5.8599999999999999E-2"/>
    <n v="6"/>
    <s v="No"/>
    <s v="No"/>
    <n v="0"/>
    <n v="1447.3190958904108"/>
    <n v="91.938101917808211"/>
    <n v="1355.3809939726027"/>
    <n v="39"/>
    <x v="1277"/>
    <n v="1278"/>
  </r>
  <r>
    <s v="SUP027"/>
    <x v="99"/>
    <s v="US"/>
    <x v="1"/>
    <s v="Large"/>
    <n v="19529913"/>
    <s v="INV00011"/>
    <n v="95695"/>
    <d v="2025-10-15T00:00:00"/>
    <n v="90"/>
    <n v="2"/>
    <n v="8.7499999999999994E-2"/>
    <n v="5.8500000000000003E-2"/>
    <n v="8"/>
    <s v="Yes"/>
    <s v="No"/>
    <n v="0"/>
    <n v="2064.652397260274"/>
    <n v="122.69934246575343"/>
    <n v="1941.9530547945205"/>
    <n v="82"/>
    <x v="1277"/>
    <n v="1278"/>
  </r>
  <r>
    <s v="SUP012"/>
    <x v="34"/>
    <s v="Europe"/>
    <x v="4"/>
    <s v="Medium"/>
    <n v="1969242"/>
    <s v="INV00016"/>
    <n v="42947"/>
    <d v="2025-07-03T00:00:00"/>
    <n v="90"/>
    <n v="2"/>
    <n v="0.10150000000000001"/>
    <n v="6.4600000000000005E-2"/>
    <n v="7"/>
    <s v="No"/>
    <s v="No"/>
    <n v="0"/>
    <n v="1074.8516301369862"/>
    <n v="53.207214794520553"/>
    <n v="1021.6444153424657"/>
    <n v="83"/>
    <x v="1277"/>
    <n v="1278"/>
  </r>
  <r>
    <s v="SUP083"/>
    <x v="45"/>
    <s v="Europe"/>
    <x v="0"/>
    <s v="Medium"/>
    <n v="3350013"/>
    <s v="INV00041"/>
    <n v="64044"/>
    <d v="2025-10-22T00:00:00"/>
    <n v="90"/>
    <n v="2"/>
    <n v="0.1144"/>
    <n v="5.3699999999999998E-2"/>
    <n v="8"/>
    <s v="No"/>
    <s v="No"/>
    <n v="0"/>
    <n v="1806.5671890410958"/>
    <n v="75.378910684931512"/>
    <n v="1731.1882783561643"/>
    <n v="82"/>
    <x v="1277"/>
    <n v="1278"/>
  </r>
  <r>
    <s v="SUP046"/>
    <x v="47"/>
    <s v="Mexico"/>
    <x v="1"/>
    <s v="Small"/>
    <n v="981924"/>
    <s v="INV00045"/>
    <n v="94998"/>
    <d v="2025-11-27T00:00:00"/>
    <n v="45"/>
    <n v="7"/>
    <n v="0.17169999999999999"/>
    <n v="4.8899999999999999E-2"/>
    <n v="7"/>
    <s v="No"/>
    <s v="No"/>
    <n v="0"/>
    <n v="2010.9645123287669"/>
    <n v="89.089905205479454"/>
    <n v="1921.8746071232874"/>
    <n v="38"/>
    <x v="1277"/>
    <n v="1278"/>
  </r>
  <r>
    <s v="SUP146"/>
    <x v="46"/>
    <s v="US"/>
    <x v="0"/>
    <s v="Large"/>
    <n v="10372464"/>
    <s v="INV00052"/>
    <n v="91299"/>
    <d v="2025-06-25T00:00:00"/>
    <n v="60"/>
    <n v="3"/>
    <n v="8.77E-2"/>
    <n v="6.4199999999999993E-2"/>
    <n v="8"/>
    <s v="Yes"/>
    <s v="No"/>
    <n v="0"/>
    <n v="1316.2064054794521"/>
    <n v="128.46894904109587"/>
    <n v="1187.7374564383563"/>
    <n v="52"/>
    <x v="1277"/>
    <n v="1278"/>
  </r>
  <r>
    <s v="SUP030"/>
    <x v="78"/>
    <s v="Canada"/>
    <x v="2"/>
    <s v="Small"/>
    <n v="1267987"/>
    <s v="INV00053"/>
    <n v="105626"/>
    <d v="2025-09-26T00:00:00"/>
    <n v="30"/>
    <n v="10"/>
    <n v="0.125"/>
    <n v="4.8500000000000001E-2"/>
    <n v="6"/>
    <s v="No"/>
    <s v="No"/>
    <n v="0"/>
    <n v="1085.1986301369861"/>
    <n v="84.211413698630125"/>
    <n v="1000.987216438356"/>
    <n v="24"/>
    <x v="1277"/>
    <n v="1278"/>
  </r>
  <r>
    <s v="SUP149"/>
    <x v="72"/>
    <s v="APAC"/>
    <x v="1"/>
    <s v="Medium"/>
    <n v="4709015"/>
    <s v="INV00060"/>
    <n v="32308"/>
    <d v="2025-01-20T00:00:00"/>
    <n v="30"/>
    <n v="2"/>
    <n v="0.121"/>
    <n v="5.5199999999999999E-2"/>
    <n v="10"/>
    <s v="No"/>
    <s v="No"/>
    <n v="0"/>
    <n v="321.30969863013695"/>
    <n v="48.860317808219172"/>
    <n v="272.44938082191777"/>
    <n v="20"/>
    <x v="1277"/>
    <n v="1278"/>
  </r>
  <r>
    <s v="SUP107"/>
    <x v="59"/>
    <s v="APAC"/>
    <x v="4"/>
    <s v="Medium"/>
    <n v="3819447"/>
    <s v="INV00067"/>
    <n v="79286"/>
    <d v="2025-01-14T00:00:00"/>
    <n v="45"/>
    <n v="5"/>
    <n v="0.12620000000000001"/>
    <n v="4.6800000000000001E-2"/>
    <n v="6"/>
    <s v="No"/>
    <s v="No"/>
    <n v="0"/>
    <n v="1233.6032712328768"/>
    <n v="60.995914520547942"/>
    <n v="1172.6073567123287"/>
    <n v="39"/>
    <x v="1277"/>
    <n v="1278"/>
  </r>
  <r>
    <s v="SUP090"/>
    <x v="10"/>
    <s v="APAC"/>
    <x v="1"/>
    <s v="Medium"/>
    <n v="3501061"/>
    <s v="INV00075"/>
    <n v="78535"/>
    <d v="2025-05-10T00:00:00"/>
    <n v="60"/>
    <n v="5"/>
    <n v="9.6299999999999997E-2"/>
    <n v="6.25E-2"/>
    <n v="5"/>
    <s v="No"/>
    <s v="No"/>
    <n v="0"/>
    <n v="1243.219808219178"/>
    <n v="67.23886986301369"/>
    <n v="1175.9809383561644"/>
    <n v="55"/>
    <x v="1277"/>
    <n v="1278"/>
  </r>
  <r>
    <s v="SUP054"/>
    <x v="4"/>
    <s v="Mexico"/>
    <x v="1"/>
    <s v="Small"/>
    <n v="896464"/>
    <s v="INV00084"/>
    <n v="107265"/>
    <d v="2025-01-30T00:00:00"/>
    <n v="90"/>
    <n v="4"/>
    <n v="0.13550000000000001"/>
    <n v="5.7299999999999997E-2"/>
    <n v="8"/>
    <s v="No"/>
    <s v="No"/>
    <n v="0"/>
    <n v="3583.8265068493151"/>
    <n v="134.71308493150684"/>
    <n v="3449.1134219178084"/>
    <n v="82"/>
    <x v="1277"/>
    <n v="1278"/>
  </r>
  <r>
    <s v="SUP127"/>
    <x v="12"/>
    <s v="Europe"/>
    <x v="0"/>
    <s v="Small"/>
    <n v="1089809"/>
    <s v="INV00086"/>
    <n v="69432"/>
    <d v="2025-01-17T00:00:00"/>
    <n v="30"/>
    <n v="2"/>
    <n v="0.16689999999999999"/>
    <n v="4.9700000000000001E-2"/>
    <n v="7"/>
    <s v="No"/>
    <s v="No"/>
    <n v="0"/>
    <n v="952.45486027397249"/>
    <n v="66.179158356164379"/>
    <n v="886.27570191780808"/>
    <n v="23"/>
    <x v="1277"/>
    <n v="1278"/>
  </r>
  <r>
    <s v="SUP073"/>
    <x v="9"/>
    <s v="Europe"/>
    <x v="1"/>
    <s v="Small"/>
    <n v="261628"/>
    <s v="INV00093"/>
    <n v="59303"/>
    <d v="2025-02-03T00:00:00"/>
    <n v="60"/>
    <n v="4"/>
    <n v="0.17249999999999999"/>
    <n v="5.4300000000000001E-2"/>
    <n v="10"/>
    <s v="Yes"/>
    <s v="No"/>
    <n v="0"/>
    <n v="1681.605616438356"/>
    <n v="88.223367123287673"/>
    <n v="1593.3822493150683"/>
    <n v="50"/>
    <x v="1277"/>
    <n v="1278"/>
  </r>
  <r>
    <s v="SUP103"/>
    <x v="79"/>
    <s v="Mexico"/>
    <x v="3"/>
    <s v="Medium"/>
    <n v="2280589"/>
    <s v="INV00105"/>
    <n v="62351"/>
    <d v="2026-01-05T00:00:00"/>
    <n v="90"/>
    <n v="5"/>
    <n v="0.1047"/>
    <n v="0.05"/>
    <n v="6"/>
    <s v="No"/>
    <s v="No"/>
    <n v="0"/>
    <n v="1609.6807479452054"/>
    <n v="51.247397260273971"/>
    <n v="1558.4333506849314"/>
    <n v="84"/>
    <x v="1277"/>
    <n v="1278"/>
  </r>
  <r>
    <s v="SUP018"/>
    <x v="14"/>
    <s v="APAC"/>
    <x v="4"/>
    <s v="Medium"/>
    <n v="6140796"/>
    <s v="INV00106"/>
    <n v="52988"/>
    <d v="2025-09-12T00:00:00"/>
    <n v="45"/>
    <n v="3"/>
    <n v="0.13300000000000001"/>
    <n v="5.5E-2"/>
    <n v="10"/>
    <s v="No"/>
    <s v="No"/>
    <n v="0"/>
    <n v="868.85802739726023"/>
    <n v="79.844931506849321"/>
    <n v="789.01309589041091"/>
    <n v="35"/>
    <x v="1277"/>
    <n v="1278"/>
  </r>
  <r>
    <s v="SUP125"/>
    <x v="83"/>
    <s v="Europe"/>
    <x v="4"/>
    <s v="Large"/>
    <n v="21625874"/>
    <s v="INV00110"/>
    <n v="49827"/>
    <d v="2025-12-15T00:00:00"/>
    <n v="30"/>
    <n v="7"/>
    <n v="9.5399999999999999E-2"/>
    <n v="5.3999999999999999E-2"/>
    <n v="10"/>
    <s v="No"/>
    <s v="No"/>
    <n v="0"/>
    <n v="390.69828493150681"/>
    <n v="73.716657534246565"/>
    <n v="316.98162739726024"/>
    <n v="20"/>
    <x v="1277"/>
    <n v="1278"/>
  </r>
  <r>
    <s v="SUP150"/>
    <x v="25"/>
    <s v="Europe"/>
    <x v="4"/>
    <s v="Small"/>
    <n v="782629"/>
    <s v="INV00123"/>
    <n v="49721"/>
    <d v="2026-02-16T00:00:00"/>
    <n v="45"/>
    <n v="10"/>
    <n v="0.14219999999999999"/>
    <n v="5.5899999999999998E-2"/>
    <n v="8"/>
    <s v="No"/>
    <s v="No"/>
    <n v="0"/>
    <n v="871.68405205479439"/>
    <n v="60.918441643835614"/>
    <n v="810.76561041095874"/>
    <n v="37"/>
    <x v="1277"/>
    <n v="1278"/>
  </r>
  <r>
    <s v="SUP073"/>
    <x v="9"/>
    <s v="Europe"/>
    <x v="1"/>
    <s v="Small"/>
    <n v="261628"/>
    <s v="INV00131"/>
    <n v="49941"/>
    <d v="2025-05-26T00:00:00"/>
    <n v="90"/>
    <n v="2"/>
    <n v="0.17249999999999999"/>
    <n v="5.0999999999999997E-2"/>
    <n v="10"/>
    <s v="Yes"/>
    <s v="No"/>
    <n v="0"/>
    <n v="2124.2028082191782"/>
    <n v="69.780575342465752"/>
    <n v="2054.4222328767123"/>
    <n v="80"/>
    <x v="1277"/>
    <n v="1278"/>
  </r>
  <r>
    <s v="SUP065"/>
    <x v="10"/>
    <s v="Mexico"/>
    <x v="3"/>
    <s v="Medium"/>
    <n v="4269919"/>
    <s v="INV00137"/>
    <n v="20142"/>
    <d v="2025-12-27T00:00:00"/>
    <n v="60"/>
    <n v="5"/>
    <n v="0.1212"/>
    <n v="5.11E-2"/>
    <n v="8"/>
    <s v="No"/>
    <s v="No"/>
    <n v="0"/>
    <n v="401.29486027397257"/>
    <n v="22.55904"/>
    <n v="378.73582027397259"/>
    <n v="52"/>
    <x v="1277"/>
    <n v="1278"/>
  </r>
  <r>
    <s v="SUP050"/>
    <x v="52"/>
    <s v="US"/>
    <x v="2"/>
    <s v="Medium"/>
    <n v="3714458"/>
    <s v="INV00148"/>
    <n v="63518"/>
    <d v="2025-08-26T00:00:00"/>
    <n v="60"/>
    <n v="10"/>
    <n v="0.1153"/>
    <n v="6.4600000000000005E-2"/>
    <n v="5"/>
    <s v="No"/>
    <s v="No"/>
    <n v="0"/>
    <n v="1203.8836273972602"/>
    <n v="56.209079452054795"/>
    <n v="1147.6745479452054"/>
    <n v="55"/>
    <x v="1277"/>
    <n v="1278"/>
  </r>
  <r>
    <s v="SUP021"/>
    <x v="85"/>
    <s v="Canada"/>
    <x v="4"/>
    <s v="Large"/>
    <n v="17014146"/>
    <s v="INV00150"/>
    <n v="107030"/>
    <d v="2025-01-09T00:00:00"/>
    <n v="60"/>
    <n v="2"/>
    <n v="0.1037"/>
    <n v="6.1199999999999997E-2"/>
    <n v="8"/>
    <s v="No"/>
    <s v="No"/>
    <n v="0"/>
    <n v="1824.4949589041096"/>
    <n v="143.56681643835617"/>
    <n v="1680.9281424657534"/>
    <n v="52"/>
    <x v="1277"/>
    <n v="1278"/>
  </r>
  <r>
    <s v="SUP077"/>
    <x v="27"/>
    <s v="Europe"/>
    <x v="1"/>
    <s v="Medium"/>
    <n v="3573998"/>
    <s v="INV00155"/>
    <n v="34955"/>
    <d v="2025-12-10T00:00:00"/>
    <n v="60"/>
    <n v="5"/>
    <n v="0.13200000000000001"/>
    <n v="5.6099999999999997E-2"/>
    <n v="5"/>
    <s v="No"/>
    <s v="No"/>
    <n v="0"/>
    <n v="758.47561643835616"/>
    <n v="26.862678082191781"/>
    <n v="731.61293835616436"/>
    <n v="55"/>
    <x v="1277"/>
    <n v="1278"/>
  </r>
  <r>
    <s v="SUP139"/>
    <x v="55"/>
    <s v="Canada"/>
    <x v="2"/>
    <s v="Large"/>
    <n v="13330124"/>
    <s v="INV00157"/>
    <n v="43584"/>
    <d v="2025-10-15T00:00:00"/>
    <n v="60"/>
    <n v="4"/>
    <n v="0.10920000000000001"/>
    <n v="6.2199999999999998E-2"/>
    <n v="6"/>
    <s v="No"/>
    <s v="No"/>
    <n v="0"/>
    <n v="782.36265205479447"/>
    <n v="44.563147397260266"/>
    <n v="737.79950465753416"/>
    <n v="54"/>
    <x v="1277"/>
    <n v="1278"/>
  </r>
  <r>
    <s v="SUP112"/>
    <x v="25"/>
    <s v="Canada"/>
    <x v="1"/>
    <s v="Medium"/>
    <n v="2121447"/>
    <s v="INV00176"/>
    <n v="17577"/>
    <d v="2025-12-17T00:00:00"/>
    <n v="45"/>
    <n v="10"/>
    <n v="0.11890000000000001"/>
    <n v="6.2799999999999995E-2"/>
    <n v="8"/>
    <s v="No"/>
    <s v="No"/>
    <n v="0"/>
    <n v="257.65955753424657"/>
    <n v="24.193656986301367"/>
    <n v="233.46590054794521"/>
    <n v="37"/>
    <x v="1277"/>
    <n v="1278"/>
  </r>
  <r>
    <s v="SUP123"/>
    <x v="25"/>
    <s v="Mexico"/>
    <x v="3"/>
    <s v="Medium"/>
    <n v="1716971"/>
    <s v="INV00193"/>
    <n v="48739"/>
    <d v="2025-04-03T00:00:00"/>
    <n v="60"/>
    <n v="5"/>
    <n v="9.4600000000000004E-2"/>
    <n v="5.2299999999999999E-2"/>
    <n v="10"/>
    <s v="Yes"/>
    <s v="No"/>
    <n v="0"/>
    <n v="757.92483287671223"/>
    <n v="69.836978082191777"/>
    <n v="688.08785479452047"/>
    <n v="50"/>
    <x v="1277"/>
    <n v="1278"/>
  </r>
  <r>
    <s v="SUP139"/>
    <x v="55"/>
    <s v="Canada"/>
    <x v="2"/>
    <s v="Large"/>
    <n v="13330124"/>
    <s v="INV00197"/>
    <n v="66827"/>
    <d v="2025-02-25T00:00:00"/>
    <n v="60"/>
    <n v="4"/>
    <n v="0.10920000000000001"/>
    <n v="5.8999999999999997E-2"/>
    <n v="10"/>
    <s v="No"/>
    <s v="No"/>
    <n v="0"/>
    <n v="1199.5904219178083"/>
    <n v="108.02172602739725"/>
    <n v="1091.5686958904109"/>
    <n v="50"/>
    <x v="1277"/>
    <n v="1278"/>
  </r>
  <r>
    <s v="SUP065"/>
    <x v="10"/>
    <s v="Mexico"/>
    <x v="3"/>
    <s v="Medium"/>
    <n v="4269919"/>
    <s v="INV00198"/>
    <n v="44536"/>
    <d v="2025-12-13T00:00:00"/>
    <n v="60"/>
    <n v="4"/>
    <n v="0.1212"/>
    <n v="4.8300000000000003E-2"/>
    <n v="10"/>
    <s v="Yes"/>
    <s v="No"/>
    <n v="0"/>
    <n v="887.30353972602745"/>
    <n v="58.933939726027397"/>
    <n v="828.3696000000001"/>
    <n v="50"/>
    <x v="1277"/>
    <n v="1278"/>
  </r>
  <r>
    <s v="SUP036"/>
    <x v="21"/>
    <s v="Europe"/>
    <x v="0"/>
    <s v="Medium"/>
    <n v="3293043"/>
    <s v="INV00212"/>
    <n v="33871"/>
    <d v="2025-01-05T00:00:00"/>
    <n v="60"/>
    <n v="3"/>
    <n v="0.13320000000000001"/>
    <n v="4.87E-2"/>
    <n v="8"/>
    <s v="No"/>
    <s v="No"/>
    <n v="0"/>
    <n v="741.63570410958914"/>
    <n v="36.153812602739727"/>
    <n v="705.48189150684937"/>
    <n v="52"/>
    <x v="1277"/>
    <n v="1278"/>
  </r>
  <r>
    <s v="SUP047"/>
    <x v="35"/>
    <s v="US"/>
    <x v="3"/>
    <s v="Medium"/>
    <n v="6056843"/>
    <s v="INV00218"/>
    <n v="16224"/>
    <d v="2026-02-02T00:00:00"/>
    <n v="60"/>
    <n v="4"/>
    <n v="0.12520000000000001"/>
    <n v="6.2199999999999998E-2"/>
    <n v="5"/>
    <s v="No"/>
    <s v="No"/>
    <n v="0"/>
    <n v="333.90325479452054"/>
    <n v="13.823736986301368"/>
    <n v="320.07951780821918"/>
    <n v="55"/>
    <x v="1277"/>
    <n v="1278"/>
  </r>
  <r>
    <s v="SUP049"/>
    <x v="60"/>
    <s v="Mexico"/>
    <x v="1"/>
    <s v="Medium"/>
    <n v="2803992"/>
    <s v="INV00221"/>
    <n v="34069"/>
    <d v="2025-12-14T00:00:00"/>
    <n v="60"/>
    <n v="10"/>
    <n v="0.1036"/>
    <n v="5.0900000000000001E-2"/>
    <n v="10"/>
    <s v="No"/>
    <s v="No"/>
    <n v="0"/>
    <n v="580.19973698630133"/>
    <n v="47.509920547945207"/>
    <n v="532.68981643835616"/>
    <n v="50"/>
    <x v="1277"/>
    <n v="1278"/>
  </r>
  <r>
    <s v="SUP098"/>
    <x v="1"/>
    <s v="Europe"/>
    <x v="1"/>
    <s v="Small"/>
    <n v="764840"/>
    <s v="INV00227"/>
    <n v="56270"/>
    <d v="2026-01-26T00:00:00"/>
    <n v="60"/>
    <n v="3"/>
    <n v="0.16819999999999999"/>
    <n v="5.6300000000000003E-2"/>
    <n v="8"/>
    <s v="No"/>
    <s v="No"/>
    <n v="0"/>
    <n v="1555.8269589041095"/>
    <n v="69.43563835616439"/>
    <n v="1486.391320547945"/>
    <n v="52"/>
    <x v="1277"/>
    <n v="1278"/>
  </r>
  <r>
    <s v="SUP102"/>
    <x v="72"/>
    <s v="Europe"/>
    <x v="2"/>
    <s v="Medium"/>
    <n v="5598489"/>
    <s v="INV00228"/>
    <n v="18345"/>
    <d v="2025-03-22T00:00:00"/>
    <n v="30"/>
    <n v="10"/>
    <n v="0.1178"/>
    <n v="6.0699999999999997E-2"/>
    <n v="8"/>
    <s v="Yes"/>
    <s v="No"/>
    <n v="0"/>
    <n v="177.61980821917808"/>
    <n v="24.406389041095892"/>
    <n v="153.21341917808218"/>
    <n v="22"/>
    <x v="1277"/>
    <n v="1278"/>
  </r>
  <r>
    <s v="SUP056"/>
    <x v="58"/>
    <s v="Europe"/>
    <x v="0"/>
    <s v="Large"/>
    <n v="14943587"/>
    <s v="INV00232"/>
    <n v="80084"/>
    <d v="2025-08-05T00:00:00"/>
    <n v="60"/>
    <n v="2"/>
    <n v="0.1046"/>
    <n v="4.5199999999999997E-2"/>
    <n v="7"/>
    <s v="No"/>
    <s v="No"/>
    <n v="0"/>
    <n v="1377.0059835616437"/>
    <n v="69.420760547945207"/>
    <n v="1307.5852230136984"/>
    <n v="53"/>
    <x v="1277"/>
    <n v="1278"/>
  </r>
  <r>
    <s v="SUP012"/>
    <x v="34"/>
    <s v="Europe"/>
    <x v="4"/>
    <s v="Medium"/>
    <n v="1969242"/>
    <s v="INV00246"/>
    <n v="109079"/>
    <d v="2025-09-25T00:00:00"/>
    <n v="45"/>
    <n v="2"/>
    <n v="0.10150000000000001"/>
    <n v="5.9200000000000003E-2"/>
    <n v="5"/>
    <s v="Yes"/>
    <s v="No"/>
    <n v="0"/>
    <n v="1364.9817328767122"/>
    <n v="88.458586301369863"/>
    <n v="1276.5231465753423"/>
    <n v="40"/>
    <x v="1277"/>
    <n v="1278"/>
  </r>
  <r>
    <s v="SUP143"/>
    <x v="44"/>
    <s v="US"/>
    <x v="4"/>
    <s v="Medium"/>
    <n v="3723173"/>
    <s v="INV00251"/>
    <n v="44053"/>
    <d v="2025-01-19T00:00:00"/>
    <n v="30"/>
    <n v="4"/>
    <n v="0.1069"/>
    <n v="5.2699999999999997E-2"/>
    <n v="6"/>
    <s v="Yes"/>
    <s v="No"/>
    <n v="0"/>
    <n v="387.06293424657531"/>
    <n v="38.163174246575338"/>
    <n v="348.89975999999996"/>
    <n v="24"/>
    <x v="1277"/>
    <n v="1278"/>
  </r>
  <r>
    <s v="SUP095"/>
    <x v="56"/>
    <s v="US"/>
    <x v="2"/>
    <s v="Small"/>
    <n v="965613"/>
    <s v="INV00273"/>
    <n v="48670"/>
    <d v="2025-10-06T00:00:00"/>
    <n v="60"/>
    <n v="5"/>
    <n v="0.1109"/>
    <n v="4.9000000000000002E-2"/>
    <n v="10"/>
    <s v="Yes"/>
    <s v="No"/>
    <n v="0"/>
    <n v="887.26076712328756"/>
    <n v="65.337808219178072"/>
    <n v="821.92295890410946"/>
    <n v="50"/>
    <x v="1277"/>
    <n v="1278"/>
  </r>
  <r>
    <s v="SUP047"/>
    <x v="35"/>
    <s v="US"/>
    <x v="3"/>
    <s v="Medium"/>
    <n v="6056843"/>
    <s v="INV00275"/>
    <n v="54153"/>
    <d v="2026-02-03T00:00:00"/>
    <n v="60"/>
    <n v="3"/>
    <n v="0.12520000000000001"/>
    <n v="4.5499999999999999E-2"/>
    <n v="10"/>
    <s v="Yes"/>
    <s v="No"/>
    <n v="0"/>
    <n v="1114.5132493150684"/>
    <n v="67.505794520547937"/>
    <n v="1047.0074547945205"/>
    <n v="50"/>
    <x v="1277"/>
    <n v="1278"/>
  </r>
  <r>
    <s v="SUP141"/>
    <x v="92"/>
    <s v="US"/>
    <x v="2"/>
    <s v="Medium"/>
    <n v="1810544"/>
    <s v="INV00276"/>
    <n v="48822"/>
    <d v="2025-02-21T00:00:00"/>
    <n v="30"/>
    <n v="5"/>
    <n v="9.6299999999999997E-2"/>
    <n v="5.5599999999999997E-2"/>
    <n v="10"/>
    <s v="No"/>
    <s v="No"/>
    <n v="0"/>
    <n v="386.42947397260269"/>
    <n v="74.369950684931496"/>
    <n v="312.0595232876712"/>
    <n v="20"/>
    <x v="1277"/>
    <n v="1278"/>
  </r>
  <r>
    <s v="SUP122"/>
    <x v="66"/>
    <s v="Europe"/>
    <x v="4"/>
    <s v="Medium"/>
    <n v="5642255"/>
    <s v="INV00277"/>
    <n v="44487"/>
    <d v="2025-10-22T00:00:00"/>
    <n v="60"/>
    <n v="4"/>
    <n v="0.1119"/>
    <n v="5.57E-2"/>
    <n v="5"/>
    <s v="No"/>
    <s v="No"/>
    <n v="0"/>
    <n v="818.31703561643826"/>
    <n v="33.944190410958903"/>
    <n v="784.37284520547939"/>
    <n v="55"/>
    <x v="1277"/>
    <n v="1278"/>
  </r>
  <r>
    <s v="SUP122"/>
    <x v="66"/>
    <s v="Europe"/>
    <x v="4"/>
    <s v="Medium"/>
    <n v="5642255"/>
    <s v="INV00279"/>
    <n v="15697"/>
    <d v="2026-02-19T00:00:00"/>
    <n v="60"/>
    <n v="4"/>
    <n v="0.1119"/>
    <n v="6.4000000000000001E-2"/>
    <n v="10"/>
    <s v="Yes"/>
    <s v="No"/>
    <n v="0"/>
    <n v="288.73878904109591"/>
    <n v="27.523506849315069"/>
    <n v="261.21528219178083"/>
    <n v="50"/>
    <x v="1277"/>
    <n v="1278"/>
  </r>
  <r>
    <s v="SUP067"/>
    <x v="22"/>
    <s v="Europe"/>
    <x v="3"/>
    <s v="Small"/>
    <n v="1045125"/>
    <s v="INV00282"/>
    <n v="14872"/>
    <d v="2025-02-07T00:00:00"/>
    <n v="45"/>
    <n v="10"/>
    <n v="0.15740000000000001"/>
    <n v="6.3299999999999995E-2"/>
    <n v="5"/>
    <s v="No"/>
    <s v="No"/>
    <n v="0"/>
    <n v="288.5982904109589"/>
    <n v="12.895857534246574"/>
    <n v="275.70243287671235"/>
    <n v="40"/>
    <x v="1277"/>
    <n v="1278"/>
  </r>
  <r>
    <s v="SUP051"/>
    <x v="75"/>
    <s v="Mexico"/>
    <x v="1"/>
    <s v="Large"/>
    <n v="8479307"/>
    <s v="INV00293"/>
    <n v="61212"/>
    <d v="2025-09-05T00:00:00"/>
    <n v="45"/>
    <n v="2"/>
    <n v="7.0099999999999996E-2"/>
    <n v="5.5899999999999998E-2"/>
    <n v="5"/>
    <s v="No"/>
    <s v="No"/>
    <n v="0"/>
    <n v="529.02261369863004"/>
    <n v="46.873298630136979"/>
    <n v="482.14931506849308"/>
    <n v="40"/>
    <x v="1277"/>
    <n v="1278"/>
  </r>
  <r>
    <s v="SUP104"/>
    <x v="33"/>
    <s v="Mexico"/>
    <x v="4"/>
    <s v="Small"/>
    <n v="1410716"/>
    <s v="INV00302"/>
    <n v="42886"/>
    <d v="2026-02-14T00:00:00"/>
    <n v="60"/>
    <n v="2"/>
    <n v="0.1472"/>
    <n v="5.2900000000000003E-2"/>
    <n v="5"/>
    <s v="No"/>
    <s v="No"/>
    <n v="0"/>
    <n v="1037.7237041095889"/>
    <n v="31.077663013698633"/>
    <n v="1006.6460410958903"/>
    <n v="55"/>
    <x v="1277"/>
    <n v="1278"/>
  </r>
  <r>
    <s v="SUP043"/>
    <x v="17"/>
    <s v="Canada"/>
    <x v="4"/>
    <s v="Medium"/>
    <n v="4153903"/>
    <s v="INV00303"/>
    <n v="86905"/>
    <d v="2025-04-19T00:00:00"/>
    <n v="60"/>
    <n v="7"/>
    <n v="0.13669999999999999"/>
    <n v="4.7899999999999998E-2"/>
    <n v="8"/>
    <s v="Yes"/>
    <s v="No"/>
    <n v="0"/>
    <n v="1952.8624931506847"/>
    <n v="91.238345205479447"/>
    <n v="1861.6241479452053"/>
    <n v="52"/>
    <x v="1277"/>
    <n v="1278"/>
  </r>
  <r>
    <s v="SUP086"/>
    <x v="45"/>
    <s v="Mexico"/>
    <x v="1"/>
    <s v="Small"/>
    <n v="1218251"/>
    <s v="INV00311"/>
    <n v="48745"/>
    <d v="2025-08-15T00:00:00"/>
    <n v="60"/>
    <n v="10"/>
    <n v="0.1227"/>
    <n v="5.8700000000000002E-2"/>
    <n v="6"/>
    <s v="Yes"/>
    <s v="No"/>
    <n v="0"/>
    <n v="983.17997260273978"/>
    <n v="47.035586301369861"/>
    <n v="936.14438630136988"/>
    <n v="54"/>
    <x v="1277"/>
    <n v="1278"/>
  </r>
  <r>
    <s v="SUP020"/>
    <x v="75"/>
    <s v="APAC"/>
    <x v="0"/>
    <s v="Large"/>
    <n v="15837870"/>
    <s v="INV00314"/>
    <n v="64872"/>
    <d v="2025-04-13T00:00:00"/>
    <n v="45"/>
    <n v="7"/>
    <n v="0.1089"/>
    <n v="6.2600000000000003E-2"/>
    <n v="5"/>
    <s v="Yes"/>
    <s v="No"/>
    <n v="0"/>
    <n v="870.97324931506841"/>
    <n v="55.629961643835614"/>
    <n v="815.34328767123282"/>
    <n v="40"/>
    <x v="1277"/>
    <n v="1278"/>
  </r>
  <r>
    <s v="SUP066"/>
    <x v="46"/>
    <s v="APAC"/>
    <x v="1"/>
    <s v="Small"/>
    <n v="1106462"/>
    <s v="INV00323"/>
    <n v="101707"/>
    <d v="2025-05-14T00:00:00"/>
    <n v="45"/>
    <n v="2"/>
    <n v="0.1328"/>
    <n v="5.1700000000000003E-2"/>
    <n v="7"/>
    <s v="No"/>
    <s v="No"/>
    <n v="0"/>
    <n v="1665.208306849315"/>
    <n v="100.84318712328768"/>
    <n v="1564.3651197260274"/>
    <n v="38"/>
    <x v="1277"/>
    <n v="1278"/>
  </r>
  <r>
    <s v="SUP103"/>
    <x v="79"/>
    <s v="Mexico"/>
    <x v="3"/>
    <s v="Medium"/>
    <n v="2280589"/>
    <s v="INV00325"/>
    <n v="90647"/>
    <d v="2025-05-13T00:00:00"/>
    <n v="60"/>
    <n v="4"/>
    <n v="0.1047"/>
    <n v="5.8599999999999999E-2"/>
    <n v="5"/>
    <s v="No"/>
    <s v="No"/>
    <n v="0"/>
    <n v="1560.1217917808219"/>
    <n v="72.765947945205482"/>
    <n v="1487.3558438356165"/>
    <n v="55"/>
    <x v="1277"/>
    <n v="1278"/>
  </r>
  <r>
    <s v="SUP077"/>
    <x v="27"/>
    <s v="Europe"/>
    <x v="1"/>
    <s v="Medium"/>
    <n v="3573998"/>
    <s v="INV00329"/>
    <n v="55992"/>
    <d v="2025-07-10T00:00:00"/>
    <n v="60"/>
    <n v="3"/>
    <n v="0.13200000000000001"/>
    <n v="5.21E-2"/>
    <n v="7"/>
    <s v="No"/>
    <s v="No"/>
    <n v="0"/>
    <n v="1214.9496986301369"/>
    <n v="55.94597917808219"/>
    <n v="1159.0037194520548"/>
    <n v="53"/>
    <x v="1277"/>
    <n v="1278"/>
  </r>
  <r>
    <s v="SUP079"/>
    <x v="55"/>
    <s v="Canada"/>
    <x v="1"/>
    <s v="Large"/>
    <n v="9703738"/>
    <s v="INV00332"/>
    <n v="38253"/>
    <d v="2025-04-03T00:00:00"/>
    <n v="60"/>
    <n v="7"/>
    <n v="7.5499999999999998E-2"/>
    <n v="6.2899999999999998E-2"/>
    <n v="8"/>
    <s v="Yes"/>
    <s v="No"/>
    <n v="0"/>
    <n v="474.75641095890404"/>
    <n v="52.736738630136983"/>
    <n v="422.01967232876706"/>
    <n v="52"/>
    <x v="1277"/>
    <n v="1278"/>
  </r>
  <r>
    <s v="SUP083"/>
    <x v="45"/>
    <s v="Europe"/>
    <x v="0"/>
    <s v="Medium"/>
    <n v="3350013"/>
    <s v="INV00336"/>
    <n v="81603"/>
    <d v="2025-06-09T00:00:00"/>
    <n v="45"/>
    <n v="10"/>
    <n v="0.1144"/>
    <n v="4.5100000000000001E-2"/>
    <n v="6"/>
    <s v="Yes"/>
    <s v="No"/>
    <n v="0"/>
    <n v="1150.9376547945205"/>
    <n v="60.498004931506848"/>
    <n v="1090.4396498630138"/>
    <n v="39"/>
    <x v="1277"/>
    <n v="1278"/>
  </r>
  <r>
    <s v="SUP011"/>
    <x v="39"/>
    <s v="APAC"/>
    <x v="1"/>
    <s v="Medium"/>
    <n v="3553623"/>
    <s v="INV00338"/>
    <n v="107398"/>
    <d v="2025-07-03T00:00:00"/>
    <n v="60"/>
    <n v="7"/>
    <n v="9.8199999999999996E-2"/>
    <n v="5.1799999999999999E-2"/>
    <n v="6"/>
    <s v="No"/>
    <s v="No"/>
    <n v="0"/>
    <n v="1733.6685369863012"/>
    <n v="91.450132602739714"/>
    <n v="1642.2184043835614"/>
    <n v="54"/>
    <x v="1277"/>
    <n v="1278"/>
  </r>
  <r>
    <s v="SUP050"/>
    <x v="52"/>
    <s v="US"/>
    <x v="2"/>
    <s v="Medium"/>
    <n v="3714458"/>
    <s v="INV00345"/>
    <n v="38433"/>
    <d v="2025-12-19T00:00:00"/>
    <n v="60"/>
    <n v="5"/>
    <n v="0.1153"/>
    <n v="5.0900000000000001E-2"/>
    <n v="5"/>
    <s v="No"/>
    <s v="No"/>
    <n v="0"/>
    <n v="728.43696986301359"/>
    <n v="26.797804109589041"/>
    <n v="701.63916575342455"/>
    <n v="55"/>
    <x v="1277"/>
    <n v="1278"/>
  </r>
  <r>
    <s v="SUP010"/>
    <x v="10"/>
    <s v="APAC"/>
    <x v="1"/>
    <s v="Small"/>
    <n v="809893"/>
    <s v="INV00352"/>
    <n v="33860"/>
    <d v="2025-09-05T00:00:00"/>
    <n v="45"/>
    <n v="10"/>
    <n v="0.15909999999999999"/>
    <n v="5.9499999999999997E-2"/>
    <n v="6"/>
    <s v="Yes"/>
    <s v="No"/>
    <n v="0"/>
    <n v="664.16621917808209"/>
    <n v="33.117863013698624"/>
    <n v="631.04835616438345"/>
    <n v="39"/>
    <x v="1277"/>
    <n v="1278"/>
  </r>
  <r>
    <s v="SUP039"/>
    <x v="12"/>
    <s v="Mexico"/>
    <x v="0"/>
    <s v="Small"/>
    <n v="372648"/>
    <s v="INV00353"/>
    <n v="86572"/>
    <d v="2026-01-08T00:00:00"/>
    <n v="60"/>
    <n v="3"/>
    <n v="0.15049999999999999"/>
    <n v="5.7200000000000001E-2"/>
    <n v="7"/>
    <s v="No"/>
    <s v="No"/>
    <n v="0"/>
    <n v="2141.7675616438355"/>
    <n v="94.968298082191794"/>
    <n v="2046.7992635616438"/>
    <n v="53"/>
    <x v="1277"/>
    <n v="1278"/>
  </r>
  <r>
    <s v="SUP095"/>
    <x v="56"/>
    <s v="US"/>
    <x v="2"/>
    <s v="Small"/>
    <n v="965613"/>
    <s v="INV00361"/>
    <n v="64879"/>
    <d v="2025-11-23T00:00:00"/>
    <n v="60"/>
    <n v="7"/>
    <n v="0.1109"/>
    <n v="5.6000000000000001E-2"/>
    <n v="5"/>
    <s v="No"/>
    <s v="No"/>
    <n v="0"/>
    <n v="1182.7530575342466"/>
    <n v="49.770191780821918"/>
    <n v="1132.9828657534247"/>
    <n v="55"/>
    <x v="1277"/>
    <n v="1278"/>
  </r>
  <r>
    <s v="SUP003"/>
    <x v="16"/>
    <s v="APAC"/>
    <x v="2"/>
    <s v="Small"/>
    <n v="1309806"/>
    <s v="INV00369"/>
    <n v="84512"/>
    <d v="2025-12-21T00:00:00"/>
    <n v="90"/>
    <n v="7"/>
    <n v="0.15210000000000001"/>
    <n v="5.4699999999999999E-2"/>
    <n v="10"/>
    <s v="No"/>
    <s v="No"/>
    <n v="0"/>
    <n v="3169.5473095890416"/>
    <n v="126.65223013698628"/>
    <n v="3042.8950794520551"/>
    <n v="80"/>
    <x v="1277"/>
    <n v="1278"/>
  </r>
  <r>
    <s v="SUP070"/>
    <x v="3"/>
    <s v="Mexico"/>
    <x v="1"/>
    <s v="Medium"/>
    <n v="6809493"/>
    <s v="INV00379"/>
    <n v="103242"/>
    <d v="2025-12-17T00:00:00"/>
    <n v="45"/>
    <n v="10"/>
    <n v="0.121"/>
    <n v="4.5900000000000003E-2"/>
    <n v="8"/>
    <s v="No"/>
    <s v="No"/>
    <n v="0"/>
    <n v="1540.1443561643835"/>
    <n v="103.86428054794521"/>
    <n v="1436.2800756164384"/>
    <n v="37"/>
    <x v="1277"/>
    <n v="1278"/>
  </r>
  <r>
    <s v="SUP005"/>
    <x v="13"/>
    <s v="US"/>
    <x v="2"/>
    <s v="Small"/>
    <n v="701545"/>
    <s v="INV00380"/>
    <n v="52980"/>
    <d v="2025-08-15T00:00:00"/>
    <n v="90"/>
    <n v="2"/>
    <n v="0.17699999999999999"/>
    <n v="4.53E-2"/>
    <n v="7"/>
    <s v="Yes"/>
    <s v="No"/>
    <n v="0"/>
    <n v="2312.2504109589036"/>
    <n v="46.027282191780827"/>
    <n v="2266.2231287671229"/>
    <n v="83"/>
    <x v="1277"/>
    <n v="1278"/>
  </r>
  <r>
    <s v="SUP042"/>
    <x v="93"/>
    <s v="Europe"/>
    <x v="3"/>
    <s v="Large"/>
    <n v="15261617"/>
    <s v="INV00387"/>
    <n v="98944"/>
    <d v="2026-02-26T00:00:00"/>
    <n v="60"/>
    <n v="4"/>
    <n v="9.3200000000000005E-2"/>
    <n v="5.0900000000000001E-2"/>
    <n v="10"/>
    <s v="No"/>
    <s v="No"/>
    <n v="0"/>
    <n v="1515.8762958904108"/>
    <n v="137.97944109589039"/>
    <n v="1377.8968547945203"/>
    <n v="50"/>
    <x v="1277"/>
    <n v="1278"/>
  </r>
  <r>
    <s v="SUP113"/>
    <x v="81"/>
    <s v="APAC"/>
    <x v="2"/>
    <s v="Large"/>
    <n v="17195029"/>
    <s v="INV00394"/>
    <n v="21600"/>
    <d v="2025-07-28T00:00:00"/>
    <n v="30"/>
    <n v="4"/>
    <n v="7.3400000000000007E-2"/>
    <n v="5.62E-2"/>
    <n v="10"/>
    <s v="No"/>
    <s v="No"/>
    <n v="0"/>
    <n v="130.31013698630136"/>
    <n v="33.258082191780822"/>
    <n v="97.052054794520529"/>
    <n v="20"/>
    <x v="1277"/>
    <n v="1278"/>
  </r>
  <r>
    <s v="SUP124"/>
    <x v="43"/>
    <s v="Mexico"/>
    <x v="1"/>
    <s v="Small"/>
    <n v="617401"/>
    <s v="INV00400"/>
    <n v="63653"/>
    <d v="2025-09-20T00:00:00"/>
    <n v="60"/>
    <n v="2"/>
    <n v="0.1429"/>
    <n v="5.11E-2"/>
    <n v="7"/>
    <s v="Yes"/>
    <s v="No"/>
    <n v="0"/>
    <n v="1495.2351287671231"/>
    <n v="62.379939999999998"/>
    <n v="1432.8551887671231"/>
    <n v="53"/>
    <x v="1277"/>
    <n v="1278"/>
  </r>
  <r>
    <s v="SUP144"/>
    <x v="97"/>
    <s v="APAC"/>
    <x v="0"/>
    <s v="Large"/>
    <n v="24905394"/>
    <s v="INV00407"/>
    <n v="22744"/>
    <d v="2025-02-09T00:00:00"/>
    <n v="60"/>
    <n v="3"/>
    <n v="8.5199999999999998E-2"/>
    <n v="6.2799999999999995E-2"/>
    <n v="6"/>
    <s v="No"/>
    <s v="No"/>
    <n v="0"/>
    <n v="318.54062465753424"/>
    <n v="23.479285479452049"/>
    <n v="295.06133917808216"/>
    <n v="54"/>
    <x v="1277"/>
    <n v="1278"/>
  </r>
  <r>
    <s v="SUP005"/>
    <x v="13"/>
    <s v="US"/>
    <x v="2"/>
    <s v="Small"/>
    <n v="701545"/>
    <s v="INV00445"/>
    <n v="102989"/>
    <d v="2025-08-23T00:00:00"/>
    <n v="60"/>
    <n v="5"/>
    <n v="0.17699999999999999"/>
    <n v="5.6300000000000003E-2"/>
    <n v="6"/>
    <s v="No"/>
    <s v="No"/>
    <n v="0"/>
    <n v="2996.5566575342464"/>
    <n v="95.314203287671234"/>
    <n v="2901.2424542465751"/>
    <n v="54"/>
    <x v="1277"/>
    <n v="1278"/>
  </r>
  <r>
    <s v="SUP109"/>
    <x v="71"/>
    <s v="Mexico"/>
    <x v="1"/>
    <s v="Medium"/>
    <n v="2561855"/>
    <s v="INV00448"/>
    <n v="46517"/>
    <d v="2025-09-01T00:00:00"/>
    <n v="45"/>
    <n v="2"/>
    <n v="0.1037"/>
    <n v="5.2999999999999999E-2"/>
    <n v="7"/>
    <s v="Yes"/>
    <s v="No"/>
    <n v="0"/>
    <n v="594.71665890410952"/>
    <n v="47.281663013698626"/>
    <n v="547.43499589041085"/>
    <n v="38"/>
    <x v="1277"/>
    <n v="1278"/>
  </r>
  <r>
    <s v="SUP140"/>
    <x v="30"/>
    <s v="Europe"/>
    <x v="1"/>
    <s v="Small"/>
    <n v="1241903"/>
    <s v="INV00458"/>
    <n v="101916"/>
    <d v="2025-04-11T00:00:00"/>
    <n v="45"/>
    <n v="2"/>
    <n v="0.15939999999999999"/>
    <n v="5.9400000000000001E-2"/>
    <n v="6"/>
    <s v="No"/>
    <s v="No"/>
    <n v="0"/>
    <n v="2002.8588164383559"/>
    <n v="99.514691506849317"/>
    <n v="1903.3441249315065"/>
    <n v="39"/>
    <x v="1277"/>
    <n v="1278"/>
  </r>
  <r>
    <s v="SUP091"/>
    <x v="64"/>
    <s v="Canada"/>
    <x v="4"/>
    <s v="Medium"/>
    <n v="3649528"/>
    <s v="INV00462"/>
    <n v="85446"/>
    <d v="2025-11-07T00:00:00"/>
    <n v="60"/>
    <n v="4"/>
    <n v="0.1283"/>
    <n v="5.1900000000000002E-2"/>
    <n v="8"/>
    <s v="Yes"/>
    <s v="No"/>
    <n v="0"/>
    <n v="1802.0912547945204"/>
    <n v="97.197751232876712"/>
    <n v="1704.8935035616437"/>
    <n v="52"/>
    <x v="1277"/>
    <n v="1278"/>
  </r>
  <r>
    <s v="SUP081"/>
    <x v="54"/>
    <s v="APAC"/>
    <x v="2"/>
    <s v="Large"/>
    <n v="20068674"/>
    <s v="INV00483"/>
    <n v="31148"/>
    <d v="2025-05-09T00:00:00"/>
    <n v="30"/>
    <n v="5"/>
    <n v="0.1062"/>
    <n v="4.6399999999999997E-2"/>
    <n v="8"/>
    <s v="Yes"/>
    <s v="No"/>
    <n v="0"/>
    <n v="271.8836383561644"/>
    <n v="31.677089315068493"/>
    <n v="240.20654904109591"/>
    <n v="22"/>
    <x v="1277"/>
    <n v="1278"/>
  </r>
  <r>
    <s v="SUP132"/>
    <x v="62"/>
    <s v="US"/>
    <x v="3"/>
    <s v="Large"/>
    <n v="15029491"/>
    <s v="INV00484"/>
    <n v="62014"/>
    <d v="2025-05-07T00:00:00"/>
    <n v="60"/>
    <n v="2"/>
    <n v="9.8400000000000001E-2"/>
    <n v="6.4500000000000002E-2"/>
    <n v="6"/>
    <s v="No"/>
    <s v="No"/>
    <n v="0"/>
    <n v="1003.0976876712328"/>
    <n v="65.7518301369863"/>
    <n v="937.34585753424653"/>
    <n v="54"/>
    <x v="1277"/>
    <n v="1278"/>
  </r>
  <r>
    <s v="SUP137"/>
    <x v="2"/>
    <s v="Canada"/>
    <x v="2"/>
    <s v="Small"/>
    <n v="876116"/>
    <s v="INV00485"/>
    <n v="108681"/>
    <d v="2025-08-31T00:00:00"/>
    <n v="90"/>
    <n v="3"/>
    <n v="0.1686"/>
    <n v="5.4199999999999998E-2"/>
    <n v="5"/>
    <s v="No"/>
    <s v="No"/>
    <n v="0"/>
    <n v="4518.1520383561647"/>
    <n v="80.691920547945202"/>
    <n v="4437.4601178082194"/>
    <n v="85"/>
    <x v="1277"/>
    <n v="1278"/>
  </r>
  <r>
    <s v="SUP082"/>
    <x v="70"/>
    <s v="APAC"/>
    <x v="3"/>
    <s v="Medium"/>
    <n v="4450767"/>
    <s v="INV00487"/>
    <n v="28009"/>
    <d v="2025-04-22T00:00:00"/>
    <n v="45"/>
    <n v="10"/>
    <n v="0.10489999999999999"/>
    <n v="5.0999999999999997E-2"/>
    <n v="7"/>
    <s v="No"/>
    <s v="No"/>
    <n v="0"/>
    <n v="362.23694383561644"/>
    <n v="27.395104109589038"/>
    <n v="334.84183972602739"/>
    <n v="38"/>
    <x v="1277"/>
    <n v="1278"/>
  </r>
  <r>
    <s v="SUP115"/>
    <x v="0"/>
    <s v="APAC"/>
    <x v="0"/>
    <s v="Small"/>
    <n v="1484226"/>
    <s v="INV00500"/>
    <n v="45546"/>
    <d v="2025-12-02T00:00:00"/>
    <n v="30"/>
    <n v="3"/>
    <n v="0.17929999999999999"/>
    <n v="5.7099999999999998E-2"/>
    <n v="5"/>
    <s v="Yes"/>
    <s v="No"/>
    <n v="0"/>
    <n v="671.21077808219172"/>
    <n v="35.625706849315065"/>
    <n v="635.58507123287666"/>
    <n v="25"/>
    <x v="1277"/>
    <n v="1278"/>
  </r>
  <r>
    <s v="SUP053"/>
    <x v="86"/>
    <s v="Canada"/>
    <x v="2"/>
    <s v="Large"/>
    <n v="12001432"/>
    <s v="INV00506"/>
    <n v="56238"/>
    <d v="2025-10-09T00:00:00"/>
    <n v="60"/>
    <n v="7"/>
    <n v="9.1800000000000007E-2"/>
    <n v="6.5000000000000002E-2"/>
    <n v="8"/>
    <s v="No"/>
    <s v="No"/>
    <n v="0"/>
    <n v="848.65453150684925"/>
    <n v="80.119890410958917"/>
    <n v="768.53464109589038"/>
    <n v="52"/>
    <x v="1277"/>
    <n v="1278"/>
  </r>
  <r>
    <s v="SUP002"/>
    <x v="90"/>
    <s v="US"/>
    <x v="0"/>
    <s v="Medium"/>
    <n v="6074867"/>
    <s v="INV00509"/>
    <n v="107199"/>
    <d v="2025-01-04T00:00:00"/>
    <n v="30"/>
    <n v="4"/>
    <n v="9.4299999999999995E-2"/>
    <n v="5.6899999999999999E-2"/>
    <n v="10"/>
    <s v="Yes"/>
    <s v="No"/>
    <n v="0"/>
    <n v="830.86567397260274"/>
    <n v="167.1129616438356"/>
    <n v="663.75271232876707"/>
    <n v="20"/>
    <x v="1277"/>
    <n v="1278"/>
  </r>
  <r>
    <s v="SUP125"/>
    <x v="83"/>
    <s v="Europe"/>
    <x v="4"/>
    <s v="Large"/>
    <n v="21625874"/>
    <s v="INV00510"/>
    <n v="51365"/>
    <d v="2026-02-26T00:00:00"/>
    <n v="90"/>
    <n v="3"/>
    <n v="9.5399999999999999E-2"/>
    <n v="6.2100000000000002E-2"/>
    <n v="5"/>
    <s v="No"/>
    <s v="No"/>
    <n v="0"/>
    <n v="1208.2736712328765"/>
    <n v="43.695431506849317"/>
    <n v="1164.5782397260273"/>
    <n v="85"/>
    <x v="1277"/>
    <n v="1278"/>
  </r>
  <r>
    <s v="SUP104"/>
    <x v="33"/>
    <s v="Mexico"/>
    <x v="4"/>
    <s v="Small"/>
    <n v="1410716"/>
    <s v="INV00515"/>
    <n v="19329"/>
    <d v="2026-01-30T00:00:00"/>
    <n v="90"/>
    <n v="4"/>
    <n v="0.1472"/>
    <n v="5.1999999999999998E-2"/>
    <n v="8"/>
    <s v="No"/>
    <s v="No"/>
    <n v="0"/>
    <n v="701.56326575342462"/>
    <n v="22.029764383561641"/>
    <n v="679.53350136986296"/>
    <n v="82"/>
    <x v="1277"/>
    <n v="1278"/>
  </r>
  <r>
    <s v="SUP105"/>
    <x v="81"/>
    <s v="Canada"/>
    <x v="4"/>
    <s v="Medium"/>
    <n v="3772612"/>
    <s v="INV00530"/>
    <n v="53347"/>
    <d v="2025-10-15T00:00:00"/>
    <n v="60"/>
    <n v="7"/>
    <n v="0.1053"/>
    <n v="5.5599999999999997E-2"/>
    <n v="6"/>
    <s v="Yes"/>
    <s v="No"/>
    <n v="0"/>
    <n v="923.41464657534254"/>
    <n v="48.757696438356156"/>
    <n v="874.65695013698644"/>
    <n v="54"/>
    <x v="1277"/>
    <n v="1278"/>
  </r>
  <r>
    <s v="SUP149"/>
    <x v="72"/>
    <s v="APAC"/>
    <x v="1"/>
    <s v="Medium"/>
    <n v="4709015"/>
    <s v="INV00532"/>
    <n v="57453"/>
    <d v="2025-05-22T00:00:00"/>
    <n v="60"/>
    <n v="4"/>
    <n v="0.121"/>
    <n v="5.7500000000000002E-2"/>
    <n v="6"/>
    <s v="No"/>
    <s v="No"/>
    <n v="0"/>
    <n v="1142.7637808219179"/>
    <n v="54.304890410958897"/>
    <n v="1088.4588904109589"/>
    <n v="54"/>
    <x v="1277"/>
    <n v="1278"/>
  </r>
  <r>
    <s v="SUP134"/>
    <x v="45"/>
    <s v="Europe"/>
    <x v="2"/>
    <s v="Medium"/>
    <n v="3948313"/>
    <s v="INV00533"/>
    <n v="20127"/>
    <d v="2025-04-26T00:00:00"/>
    <n v="60"/>
    <n v="5"/>
    <n v="0.1154"/>
    <n v="6.2799999999999995E-2"/>
    <n v="5"/>
    <s v="No"/>
    <s v="No"/>
    <n v="0"/>
    <n v="381.80643287671234"/>
    <n v="17.314734246575341"/>
    <n v="364.49169863013697"/>
    <n v="55"/>
    <x v="1277"/>
    <n v="1278"/>
  </r>
  <r>
    <s v="SUP112"/>
    <x v="25"/>
    <s v="Canada"/>
    <x v="1"/>
    <s v="Medium"/>
    <n v="2121447"/>
    <s v="INV00537"/>
    <n v="102247"/>
    <d v="2025-03-16T00:00:00"/>
    <n v="60"/>
    <n v="7"/>
    <n v="0.11890000000000001"/>
    <n v="6.3200000000000006E-2"/>
    <n v="8"/>
    <s v="No"/>
    <s v="No"/>
    <n v="0"/>
    <n v="1998.4386246575343"/>
    <n v="141.63310465753426"/>
    <n v="1856.8055200000001"/>
    <n v="52"/>
    <x v="1277"/>
    <n v="1278"/>
  </r>
  <r>
    <s v="SUP004"/>
    <x v="29"/>
    <s v="Europe"/>
    <x v="4"/>
    <s v="Small"/>
    <n v="1485779"/>
    <s v="INV00543"/>
    <n v="33467"/>
    <d v="2025-04-24T00:00:00"/>
    <n v="45"/>
    <n v="2"/>
    <n v="0.1295"/>
    <n v="5.3199999999999997E-2"/>
    <n v="5"/>
    <s v="No"/>
    <s v="No"/>
    <n v="0"/>
    <n v="534.32586986301362"/>
    <n v="24.389649315068489"/>
    <n v="509.93622054794514"/>
    <n v="40"/>
    <x v="1277"/>
    <n v="1278"/>
  </r>
  <r>
    <s v="SUP060"/>
    <x v="1"/>
    <s v="Mexico"/>
    <x v="3"/>
    <s v="Medium"/>
    <n v="4842575"/>
    <s v="INV00544"/>
    <n v="109303"/>
    <d v="2025-08-13T00:00:00"/>
    <n v="60"/>
    <n v="3"/>
    <n v="0.10639999999999999"/>
    <n v="6.0199999999999997E-2"/>
    <n v="5"/>
    <s v="Yes"/>
    <s v="No"/>
    <n v="0"/>
    <n v="1911.7543890410955"/>
    <n v="90.137542465753413"/>
    <n v="1821.6168465753422"/>
    <n v="55"/>
    <x v="1277"/>
    <n v="1278"/>
  </r>
  <r>
    <s v="SUP148"/>
    <x v="105"/>
    <s v="Canada"/>
    <x v="0"/>
    <s v="Medium"/>
    <n v="6247349"/>
    <s v="INV00549"/>
    <n v="49475"/>
    <d v="2025-08-26T00:00:00"/>
    <n v="60"/>
    <n v="5"/>
    <n v="0.1241"/>
    <n v="5.0900000000000001E-2"/>
    <n v="5"/>
    <s v="No"/>
    <s v="No"/>
    <n v="0"/>
    <n v="1009.29"/>
    <n v="34.496952054794519"/>
    <n v="974.79304794520544"/>
    <n v="55"/>
    <x v="1277"/>
    <n v="1278"/>
  </r>
  <r>
    <s v="SUP053"/>
    <x v="86"/>
    <s v="Canada"/>
    <x v="2"/>
    <s v="Large"/>
    <n v="12001432"/>
    <s v="INV00550"/>
    <n v="96685"/>
    <d v="2025-12-23T00:00:00"/>
    <n v="60"/>
    <n v="10"/>
    <n v="9.1800000000000007E-2"/>
    <n v="5.5E-2"/>
    <n v="6"/>
    <s v="No"/>
    <s v="No"/>
    <n v="0"/>
    <n v="1459.0163835616438"/>
    <n v="87.413835616438348"/>
    <n v="1371.6025479452055"/>
    <n v="54"/>
    <x v="1277"/>
    <n v="1278"/>
  </r>
  <r>
    <s v="SUP026"/>
    <x v="16"/>
    <s v="Mexico"/>
    <x v="2"/>
    <s v="Large"/>
    <n v="21198154"/>
    <s v="INV00553"/>
    <n v="70903"/>
    <d v="2025-11-10T00:00:00"/>
    <n v="60"/>
    <n v="2"/>
    <n v="0.1086"/>
    <n v="5.5500000000000001E-2"/>
    <n v="8"/>
    <s v="No"/>
    <s v="No"/>
    <n v="0"/>
    <n v="1265.7642410958904"/>
    <n v="86.249128767123295"/>
    <n v="1179.5151123287671"/>
    <n v="52"/>
    <x v="1277"/>
    <n v="1278"/>
  </r>
  <r>
    <s v="SUP057"/>
    <x v="8"/>
    <s v="Mexico"/>
    <x v="1"/>
    <s v="Small"/>
    <n v="946643"/>
    <s v="INV00559"/>
    <n v="39215"/>
    <d v="2025-12-08T00:00:00"/>
    <n v="30"/>
    <n v="3"/>
    <n v="0.1648"/>
    <n v="4.6100000000000002E-2"/>
    <n v="7"/>
    <s v="Yes"/>
    <s v="No"/>
    <n v="0"/>
    <n v="531.17523287671236"/>
    <n v="34.670357534246577"/>
    <n v="496.50487534246577"/>
    <n v="23"/>
    <x v="1277"/>
    <n v="1278"/>
  </r>
  <r>
    <s v="SUP114"/>
    <x v="77"/>
    <s v="Europe"/>
    <x v="2"/>
    <s v="Medium"/>
    <n v="6687670"/>
    <s v="INV00562"/>
    <n v="87886"/>
    <d v="2026-02-24T00:00:00"/>
    <n v="60"/>
    <n v="2"/>
    <n v="0.1013"/>
    <n v="4.6899999999999997E-2"/>
    <n v="7"/>
    <s v="No"/>
    <s v="No"/>
    <n v="0"/>
    <n v="1463.4824876712328"/>
    <n v="79.049243287671231"/>
    <n v="1384.4332443835615"/>
    <n v="53"/>
    <x v="1277"/>
    <n v="1278"/>
  </r>
  <r>
    <s v="SUP026"/>
    <x v="16"/>
    <s v="Mexico"/>
    <x v="2"/>
    <s v="Large"/>
    <n v="21198154"/>
    <s v="INV00577"/>
    <n v="80825"/>
    <d v="2025-08-16T00:00:00"/>
    <n v="60"/>
    <n v="2"/>
    <n v="0.1086"/>
    <n v="5.2499999999999998E-2"/>
    <n v="5"/>
    <s v="No"/>
    <s v="No"/>
    <n v="0"/>
    <n v="1442.892328767123"/>
    <n v="58.127568493150683"/>
    <n v="1384.7647602739723"/>
    <n v="55"/>
    <x v="1277"/>
    <n v="1278"/>
  </r>
  <r>
    <s v="SUP064"/>
    <x v="28"/>
    <s v="Canada"/>
    <x v="4"/>
    <s v="Medium"/>
    <n v="1514188"/>
    <s v="INV00578"/>
    <n v="78321"/>
    <d v="2026-01-11T00:00:00"/>
    <n v="30"/>
    <n v="5"/>
    <n v="0.11600000000000001"/>
    <n v="6.3100000000000003E-2"/>
    <n v="6"/>
    <s v="Yes"/>
    <s v="No"/>
    <n v="0"/>
    <n v="746.73172602739726"/>
    <n v="81.239261917808221"/>
    <n v="665.49246410958904"/>
    <n v="24"/>
    <x v="1277"/>
    <n v="1278"/>
  </r>
  <r>
    <s v="SUP057"/>
    <x v="8"/>
    <s v="Mexico"/>
    <x v="1"/>
    <s v="Small"/>
    <n v="946643"/>
    <s v="INV00579"/>
    <n v="80632"/>
    <d v="2025-12-13T00:00:00"/>
    <n v="60"/>
    <n v="4"/>
    <n v="0.1648"/>
    <n v="4.7899999999999998E-2"/>
    <n v="5"/>
    <s v="No"/>
    <s v="No"/>
    <n v="0"/>
    <n v="2184.3540164383562"/>
    <n v="52.907846575342461"/>
    <n v="2131.4461698630139"/>
    <n v="55"/>
    <x v="1277"/>
    <n v="1278"/>
  </r>
  <r>
    <s v="SUP060"/>
    <x v="1"/>
    <s v="Mexico"/>
    <x v="3"/>
    <s v="Medium"/>
    <n v="4842575"/>
    <s v="INV00584"/>
    <n v="79378"/>
    <d v="2026-02-16T00:00:00"/>
    <n v="45"/>
    <n v="7"/>
    <n v="0.10639999999999999"/>
    <n v="5.1999999999999998E-2"/>
    <n v="7"/>
    <s v="No"/>
    <s v="No"/>
    <n v="0"/>
    <n v="1041.2653808219177"/>
    <n v="79.160526027397268"/>
    <n v="962.10485479452041"/>
    <n v="38"/>
    <x v="1277"/>
    <n v="1278"/>
  </r>
  <r>
    <s v="SUP091"/>
    <x v="64"/>
    <s v="Canada"/>
    <x v="4"/>
    <s v="Medium"/>
    <n v="3649528"/>
    <s v="INV00589"/>
    <n v="24748"/>
    <d v="2025-03-15T00:00:00"/>
    <n v="60"/>
    <n v="10"/>
    <n v="0.1283"/>
    <n v="5.79E-2"/>
    <n v="8"/>
    <s v="No"/>
    <s v="No"/>
    <n v="0"/>
    <n v="521.94549041095888"/>
    <n v="31.406229041095891"/>
    <n v="490.53926136986297"/>
    <n v="52"/>
    <x v="1277"/>
    <n v="1278"/>
  </r>
  <r>
    <s v="SUP084"/>
    <x v="18"/>
    <s v="APAC"/>
    <x v="3"/>
    <s v="Small"/>
    <n v="1097913"/>
    <s v="INV00590"/>
    <n v="92863"/>
    <d v="2025-08-21T00:00:00"/>
    <n v="45"/>
    <n v="4"/>
    <n v="0.16070000000000001"/>
    <n v="5.28E-2"/>
    <n v="7"/>
    <s v="No"/>
    <s v="No"/>
    <n v="0"/>
    <n v="1839.8322863013698"/>
    <n v="94.033328219178088"/>
    <n v="1745.7989580821918"/>
    <n v="38"/>
    <x v="1277"/>
    <n v="1278"/>
  </r>
  <r>
    <s v="SUP094"/>
    <x v="86"/>
    <s v="Europe"/>
    <x v="4"/>
    <s v="Medium"/>
    <n v="6247387"/>
    <s v="INV00593"/>
    <n v="72420"/>
    <d v="2025-07-16T00:00:00"/>
    <n v="60"/>
    <n v="5"/>
    <n v="0.12909999999999999"/>
    <n v="4.9799999999999997E-2"/>
    <n v="6"/>
    <s v="No"/>
    <s v="No"/>
    <n v="0"/>
    <n v="1536.8912876712325"/>
    <n v="59.285194520547932"/>
    <n v="1477.6060931506845"/>
    <n v="54"/>
    <x v="1277"/>
    <n v="1278"/>
  </r>
  <r>
    <s v="SUP047"/>
    <x v="35"/>
    <s v="US"/>
    <x v="3"/>
    <s v="Medium"/>
    <n v="6056843"/>
    <s v="INV00599"/>
    <n v="37646"/>
    <d v="2026-01-03T00:00:00"/>
    <n v="45"/>
    <n v="4"/>
    <n v="0.12520000000000001"/>
    <n v="5.0999999999999997E-2"/>
    <n v="7"/>
    <s v="No"/>
    <s v="No"/>
    <n v="0"/>
    <n v="581.08921643835617"/>
    <n v="36.820882191780825"/>
    <n v="544.26833424657536"/>
    <n v="38"/>
    <x v="1277"/>
    <n v="1278"/>
  </r>
  <r>
    <s v="SUP059"/>
    <x v="84"/>
    <s v="Canada"/>
    <x v="0"/>
    <s v="Large"/>
    <n v="22445214"/>
    <s v="INV00603"/>
    <n v="39684"/>
    <d v="2025-08-02T00:00:00"/>
    <n v="60"/>
    <n v="5"/>
    <n v="8.4000000000000005E-2"/>
    <n v="4.7800000000000002E-2"/>
    <n v="10"/>
    <s v="No"/>
    <s v="No"/>
    <n v="0"/>
    <n v="547.96536986301373"/>
    <n v="51.969731506849314"/>
    <n v="495.99563835616442"/>
    <n v="50"/>
    <x v="1277"/>
    <n v="1278"/>
  </r>
  <r>
    <s v="SUP118"/>
    <x v="31"/>
    <s v="US"/>
    <x v="1"/>
    <s v="Small"/>
    <n v="735440"/>
    <s v="INV00605"/>
    <n v="98235"/>
    <d v="2025-12-23T00:00:00"/>
    <n v="60"/>
    <n v="3"/>
    <n v="0.13020000000000001"/>
    <n v="4.6699999999999998E-2"/>
    <n v="8"/>
    <s v="No"/>
    <s v="No"/>
    <n v="0"/>
    <n v="2102.4981369863012"/>
    <n v="100.54957808219177"/>
    <n v="2001.9485589041094"/>
    <n v="52"/>
    <x v="1277"/>
    <n v="1278"/>
  </r>
  <r>
    <s v="SUP129"/>
    <x v="57"/>
    <s v="APAC"/>
    <x v="4"/>
    <s v="Medium"/>
    <n v="6051605"/>
    <s v="INV00609"/>
    <n v="75115"/>
    <d v="2026-02-03T00:00:00"/>
    <n v="90"/>
    <n v="2"/>
    <n v="0.11310000000000001"/>
    <n v="4.7800000000000002E-2"/>
    <n v="10"/>
    <s v="No"/>
    <s v="No"/>
    <n v="0"/>
    <n v="2094.7824246575346"/>
    <n v="98.369780821917814"/>
    <n v="1996.4126438356168"/>
    <n v="80"/>
    <x v="1277"/>
    <n v="1278"/>
  </r>
  <r>
    <s v="SUP149"/>
    <x v="72"/>
    <s v="APAC"/>
    <x v="1"/>
    <s v="Medium"/>
    <n v="4709015"/>
    <s v="INV00615"/>
    <n v="22074"/>
    <d v="2025-01-08T00:00:00"/>
    <n v="90"/>
    <n v="4"/>
    <n v="0.121"/>
    <n v="0.05"/>
    <n v="10"/>
    <s v="No"/>
    <s v="No"/>
    <n v="0"/>
    <n v="658.59139726027388"/>
    <n v="30.238356164383561"/>
    <n v="628.35304109589038"/>
    <n v="80"/>
    <x v="1277"/>
    <n v="1278"/>
  </r>
  <r>
    <s v="SUP066"/>
    <x v="46"/>
    <s v="APAC"/>
    <x v="1"/>
    <s v="Small"/>
    <n v="1106462"/>
    <s v="INV00628"/>
    <n v="36217"/>
    <d v="2025-11-24T00:00:00"/>
    <n v="90"/>
    <n v="10"/>
    <n v="0.1328"/>
    <n v="4.87E-2"/>
    <n v="7"/>
    <s v="No"/>
    <s v="No"/>
    <n v="0"/>
    <n v="1185.9331068493152"/>
    <n v="33.825685753424658"/>
    <n v="1152.1074210958905"/>
    <n v="83"/>
    <x v="1277"/>
    <n v="1278"/>
  </r>
  <r>
    <s v="SUP112"/>
    <x v="25"/>
    <s v="Canada"/>
    <x v="1"/>
    <s v="Medium"/>
    <n v="2121447"/>
    <s v="INV00654"/>
    <n v="39277"/>
    <d v="2025-08-31T00:00:00"/>
    <n v="45"/>
    <n v="3"/>
    <n v="0.11890000000000001"/>
    <n v="4.7300000000000002E-2"/>
    <n v="6"/>
    <s v="No"/>
    <s v="No"/>
    <n v="0"/>
    <n v="575.75777671232879"/>
    <n v="30.539212602739724"/>
    <n v="545.21856410958912"/>
    <n v="39"/>
    <x v="1277"/>
    <n v="1278"/>
  </r>
  <r>
    <s v="SUP146"/>
    <x v="46"/>
    <s v="US"/>
    <x v="0"/>
    <s v="Large"/>
    <n v="10372464"/>
    <s v="INV00659"/>
    <n v="40922"/>
    <d v="2025-08-21T00:00:00"/>
    <n v="30"/>
    <n v="7"/>
    <n v="8.77E-2"/>
    <n v="5.4699999999999999E-2"/>
    <n v="8"/>
    <s v="Yes"/>
    <s v="No"/>
    <n v="0"/>
    <n v="294.97474520547939"/>
    <n v="49.061553972602738"/>
    <n v="245.91319123287667"/>
    <n v="22"/>
    <x v="1277"/>
    <n v="1278"/>
  </r>
  <r>
    <s v="SUP074"/>
    <x v="16"/>
    <s v="US"/>
    <x v="2"/>
    <s v="Small"/>
    <n v="1336236"/>
    <s v="INV00660"/>
    <n v="35338"/>
    <d v="2025-04-14T00:00:00"/>
    <n v="60"/>
    <n v="3"/>
    <n v="0.14249999999999999"/>
    <n v="5.4199999999999998E-2"/>
    <n v="6"/>
    <s v="No"/>
    <s v="No"/>
    <n v="0"/>
    <n v="827.7805479452054"/>
    <n v="31.484705753424656"/>
    <n v="796.29584219178071"/>
    <n v="54"/>
    <x v="1277"/>
    <n v="1278"/>
  </r>
  <r>
    <s v="SUP015"/>
    <x v="61"/>
    <s v="Mexico"/>
    <x v="1"/>
    <s v="Small"/>
    <n v="1475965"/>
    <s v="INV00661"/>
    <n v="56025"/>
    <d v="2025-08-23T00:00:00"/>
    <n v="45"/>
    <n v="10"/>
    <n v="0.14000000000000001"/>
    <n v="5.6399999999999999E-2"/>
    <n v="7"/>
    <s v="Yes"/>
    <s v="No"/>
    <n v="0"/>
    <n v="967.00684931506851"/>
    <n v="60.599095890410958"/>
    <n v="906.40775342465759"/>
    <n v="38"/>
    <x v="1277"/>
    <n v="1278"/>
  </r>
  <r>
    <s v="SUP036"/>
    <x v="21"/>
    <s v="Europe"/>
    <x v="0"/>
    <s v="Medium"/>
    <n v="3293043"/>
    <s v="INV00669"/>
    <n v="86760"/>
    <d v="2025-07-27T00:00:00"/>
    <n v="60"/>
    <n v="2"/>
    <n v="0.13320000000000001"/>
    <n v="6.4500000000000002E-2"/>
    <n v="8"/>
    <s v="No"/>
    <s v="No"/>
    <n v="0"/>
    <n v="1899.6874520547944"/>
    <n v="122.65249315068495"/>
    <n v="1777.0349589041095"/>
    <n v="52"/>
    <x v="1277"/>
    <n v="1278"/>
  </r>
  <r>
    <s v="SUP127"/>
    <x v="12"/>
    <s v="Europe"/>
    <x v="0"/>
    <s v="Small"/>
    <n v="1089809"/>
    <s v="INV00675"/>
    <n v="88037"/>
    <d v="2025-09-15T00:00:00"/>
    <n v="90"/>
    <n v="10"/>
    <n v="0.16689999999999999"/>
    <n v="4.9200000000000001E-2"/>
    <n v="6"/>
    <s v="No"/>
    <s v="No"/>
    <n v="0"/>
    <n v="3623.0240465753423"/>
    <n v="71.201431232876701"/>
    <n v="3551.8226153424657"/>
    <n v="84"/>
    <x v="1277"/>
    <n v="1278"/>
  </r>
  <r>
    <s v="SUP075"/>
    <x v="11"/>
    <s v="Europe"/>
    <x v="3"/>
    <s v="Small"/>
    <n v="1224427"/>
    <s v="INV00689"/>
    <n v="74116"/>
    <d v="2025-06-23T00:00:00"/>
    <n v="90"/>
    <n v="7"/>
    <n v="0.15670000000000001"/>
    <n v="5.8299999999999998E-2"/>
    <n v="10"/>
    <s v="No"/>
    <s v="No"/>
    <n v="0"/>
    <n v="2863.720405479452"/>
    <n v="118.38254246575343"/>
    <n v="2745.3378630136986"/>
    <n v="80"/>
    <x v="1277"/>
    <n v="1278"/>
  </r>
  <r>
    <s v="SUP022"/>
    <x v="37"/>
    <s v="APAC"/>
    <x v="4"/>
    <s v="Medium"/>
    <n v="6024640"/>
    <s v="INV00704"/>
    <n v="102869"/>
    <d v="2025-07-02T00:00:00"/>
    <n v="45"/>
    <n v="3"/>
    <n v="0.13769999999999999"/>
    <n v="4.6100000000000002E-2"/>
    <n v="7"/>
    <s v="No"/>
    <s v="No"/>
    <n v="0"/>
    <n v="1746.3774205479451"/>
    <n v="90.947469315068503"/>
    <n v="1655.4299512328766"/>
    <n v="38"/>
    <x v="1277"/>
    <n v="1278"/>
  </r>
  <r>
    <s v="SUP028"/>
    <x v="16"/>
    <s v="APAC"/>
    <x v="1"/>
    <s v="Small"/>
    <n v="959016"/>
    <s v="INV00718"/>
    <n v="82402"/>
    <d v="2025-09-01T00:00:00"/>
    <n v="30"/>
    <n v="10"/>
    <n v="0.1115"/>
    <n v="4.7E-2"/>
    <n v="6"/>
    <s v="No"/>
    <s v="No"/>
    <n v="0"/>
    <n v="755.1635342465753"/>
    <n v="63.664010958904107"/>
    <n v="691.4995232876712"/>
    <n v="24"/>
    <x v="1277"/>
    <n v="1278"/>
  </r>
  <r>
    <s v="SUP077"/>
    <x v="27"/>
    <s v="Europe"/>
    <x v="1"/>
    <s v="Medium"/>
    <n v="3573998"/>
    <s v="INV00723"/>
    <n v="21123"/>
    <d v="2025-09-09T00:00:00"/>
    <n v="90"/>
    <n v="5"/>
    <n v="0.13200000000000001"/>
    <n v="6.3799999999999996E-2"/>
    <n v="7"/>
    <s v="Yes"/>
    <s v="No"/>
    <n v="0"/>
    <n v="687.51024657534253"/>
    <n v="25.845292602739725"/>
    <n v="661.6649539726028"/>
    <n v="83"/>
    <x v="1277"/>
    <n v="1278"/>
  </r>
  <r>
    <s v="SUP047"/>
    <x v="35"/>
    <s v="US"/>
    <x v="3"/>
    <s v="Medium"/>
    <n v="6056843"/>
    <s v="INV00731"/>
    <n v="46296"/>
    <d v="2025-03-02T00:00:00"/>
    <n v="60"/>
    <n v="7"/>
    <n v="0.12520000000000001"/>
    <n v="5.5899999999999998E-2"/>
    <n v="5"/>
    <s v="No"/>
    <s v="No"/>
    <n v="0"/>
    <n v="952.80973150684929"/>
    <n v="35.451320547945201"/>
    <n v="917.35841095890407"/>
    <n v="55"/>
    <x v="1277"/>
    <n v="1278"/>
  </r>
  <r>
    <s v="SUP144"/>
    <x v="97"/>
    <s v="APAC"/>
    <x v="0"/>
    <s v="Large"/>
    <n v="24905394"/>
    <s v="INV00736"/>
    <n v="89393"/>
    <d v="2025-06-24T00:00:00"/>
    <n v="30"/>
    <n v="4"/>
    <n v="8.5199999999999998E-2"/>
    <n v="5.1999999999999998E-2"/>
    <n v="10"/>
    <s v="Yes"/>
    <s v="No"/>
    <n v="0"/>
    <n v="625.99591232876708"/>
    <n v="127.3544109589041"/>
    <n v="498.64150136986297"/>
    <n v="20"/>
    <x v="1277"/>
    <n v="1278"/>
  </r>
  <r>
    <s v="SUP026"/>
    <x v="16"/>
    <s v="Mexico"/>
    <x v="2"/>
    <s v="Large"/>
    <n v="21198154"/>
    <s v="INV00739"/>
    <n v="82571"/>
    <d v="2025-05-17T00:00:00"/>
    <n v="60"/>
    <n v="5"/>
    <n v="0.1086"/>
    <n v="5.8200000000000002E-2"/>
    <n v="8"/>
    <s v="No"/>
    <s v="No"/>
    <n v="0"/>
    <n v="1474.0620164383561"/>
    <n v="105.32892493150685"/>
    <n v="1368.7330915068492"/>
    <n v="52"/>
    <x v="1277"/>
    <n v="1278"/>
  </r>
  <r>
    <s v="SUP134"/>
    <x v="45"/>
    <s v="Europe"/>
    <x v="2"/>
    <s v="Medium"/>
    <n v="3948313"/>
    <s v="INV00743"/>
    <n v="18230"/>
    <d v="2026-01-03T00:00:00"/>
    <n v="45"/>
    <n v="7"/>
    <n v="0.1154"/>
    <n v="5.2999999999999999E-2"/>
    <n v="6"/>
    <s v="No"/>
    <s v="No"/>
    <n v="0"/>
    <n v="259.3654520547945"/>
    <n v="15.882575342465751"/>
    <n v="243.48287671232876"/>
    <n v="39"/>
    <x v="1277"/>
    <n v="1278"/>
  </r>
  <r>
    <s v="SUP149"/>
    <x v="72"/>
    <s v="APAC"/>
    <x v="1"/>
    <s v="Medium"/>
    <n v="4709015"/>
    <s v="INV00758"/>
    <n v="69602"/>
    <d v="2025-06-12T00:00:00"/>
    <n v="60"/>
    <n v="7"/>
    <n v="0.121"/>
    <n v="4.6100000000000002E-2"/>
    <n v="10"/>
    <s v="No"/>
    <s v="No"/>
    <n v="0"/>
    <n v="1384.4123835616438"/>
    <n v="87.908279452054785"/>
    <n v="1296.504104109589"/>
    <n v="50"/>
    <x v="1277"/>
    <n v="1278"/>
  </r>
  <r>
    <s v="SUP138"/>
    <x v="59"/>
    <s v="Europe"/>
    <x v="2"/>
    <s v="Medium"/>
    <n v="4395110"/>
    <s v="INV00759"/>
    <n v="83531"/>
    <d v="2025-07-05T00:00:00"/>
    <n v="60"/>
    <n v="10"/>
    <n v="0.1066"/>
    <n v="4.99E-2"/>
    <n v="7"/>
    <s v="No"/>
    <s v="No"/>
    <n v="0"/>
    <n v="1463.7377424657534"/>
    <n v="79.938022739726037"/>
    <n v="1383.7997197260274"/>
    <n v="53"/>
    <x v="1277"/>
    <n v="1278"/>
  </r>
  <r>
    <s v="SUP083"/>
    <x v="45"/>
    <s v="Europe"/>
    <x v="0"/>
    <s v="Medium"/>
    <n v="3350013"/>
    <s v="INV00762"/>
    <n v="69986"/>
    <d v="2026-01-23T00:00:00"/>
    <n v="60"/>
    <n v="5"/>
    <n v="0.1144"/>
    <n v="6.3600000000000004E-2"/>
    <n v="7"/>
    <s v="No"/>
    <s v="No"/>
    <n v="0"/>
    <n v="1316.1202849315068"/>
    <n v="85.363745753424681"/>
    <n v="1230.7565391780822"/>
    <n v="53"/>
    <x v="1277"/>
    <n v="1278"/>
  </r>
  <r>
    <s v="SUP085"/>
    <x v="25"/>
    <s v="US"/>
    <x v="2"/>
    <s v="Small"/>
    <n v="1076320"/>
    <s v="INV00770"/>
    <n v="66328"/>
    <d v="2025-10-13T00:00:00"/>
    <n v="60"/>
    <n v="5"/>
    <n v="0.15140000000000001"/>
    <n v="6.25E-2"/>
    <n v="10"/>
    <s v="Yes"/>
    <s v="No"/>
    <n v="0"/>
    <n v="1650.7494575342464"/>
    <n v="113.57534246575342"/>
    <n v="1537.1741150684929"/>
    <n v="50"/>
    <x v="1277"/>
    <n v="1278"/>
  </r>
  <r>
    <s v="SUP007"/>
    <x v="100"/>
    <s v="APAC"/>
    <x v="1"/>
    <s v="Small"/>
    <n v="1043844"/>
    <s v="INV00778"/>
    <n v="108482"/>
    <d v="2025-08-30T00:00:00"/>
    <n v="60"/>
    <n v="2"/>
    <n v="0.11550000000000001"/>
    <n v="4.6899999999999997E-2"/>
    <n v="5"/>
    <s v="Yes"/>
    <s v="No"/>
    <n v="0"/>
    <n v="2059.6719452054795"/>
    <n v="69.695969863013701"/>
    <n v="1989.9759753424657"/>
    <n v="55"/>
    <x v="1277"/>
    <n v="1278"/>
  </r>
  <r>
    <s v="SUP105"/>
    <x v="81"/>
    <s v="Canada"/>
    <x v="4"/>
    <s v="Medium"/>
    <n v="3772612"/>
    <s v="INV00780"/>
    <n v="78131"/>
    <d v="2025-01-22T00:00:00"/>
    <n v="60"/>
    <n v="4"/>
    <n v="0.1053"/>
    <n v="6.4600000000000005E-2"/>
    <n v="7"/>
    <s v="Yes"/>
    <s v="No"/>
    <n v="0"/>
    <n v="1352.415501369863"/>
    <n v="96.79681698630138"/>
    <n v="1255.6186843835617"/>
    <n v="53"/>
    <x v="1277"/>
    <n v="1278"/>
  </r>
  <r>
    <s v="SUP025"/>
    <x v="96"/>
    <s v="Mexico"/>
    <x v="3"/>
    <s v="Medium"/>
    <n v="2577026"/>
    <s v="INV00788"/>
    <n v="78681"/>
    <d v="2025-01-03T00:00:00"/>
    <n v="60"/>
    <n v="7"/>
    <n v="0.123"/>
    <n v="6.2799999999999995E-2"/>
    <n v="10"/>
    <s v="Yes"/>
    <s v="No"/>
    <n v="0"/>
    <n v="1590.8651506849312"/>
    <n v="135.37443287671232"/>
    <n v="1455.490717808219"/>
    <n v="50"/>
    <x v="1277"/>
    <n v="1278"/>
  </r>
  <r>
    <s v="SUP070"/>
    <x v="3"/>
    <s v="Mexico"/>
    <x v="1"/>
    <s v="Medium"/>
    <n v="6809493"/>
    <s v="INV00790"/>
    <n v="15402"/>
    <d v="2025-06-15T00:00:00"/>
    <n v="45"/>
    <n v="10"/>
    <n v="0.121"/>
    <n v="4.7399999999999998E-2"/>
    <n v="7"/>
    <s v="No"/>
    <s v="No"/>
    <n v="0"/>
    <n v="229.76408219178083"/>
    <n v="14.001050958904111"/>
    <n v="215.76303123287673"/>
    <n v="38"/>
    <x v="1277"/>
    <n v="1278"/>
  </r>
  <r>
    <s v="SUP070"/>
    <x v="3"/>
    <s v="Mexico"/>
    <x v="1"/>
    <s v="Medium"/>
    <n v="6809493"/>
    <s v="INV00791"/>
    <n v="32155"/>
    <d v="2025-11-01T00:00:00"/>
    <n v="30"/>
    <n v="5"/>
    <n v="0.121"/>
    <n v="6.1600000000000002E-2"/>
    <n v="8"/>
    <s v="No"/>
    <s v="No"/>
    <n v="0"/>
    <n v="319.7880821917808"/>
    <n v="43.413654794520546"/>
    <n v="276.37442739726026"/>
    <n v="22"/>
    <x v="1277"/>
    <n v="1278"/>
  </r>
  <r>
    <s v="SUP051"/>
    <x v="75"/>
    <s v="Mexico"/>
    <x v="1"/>
    <s v="Large"/>
    <n v="8479307"/>
    <s v="INV00794"/>
    <n v="90943"/>
    <d v="2025-02-15T00:00:00"/>
    <n v="60"/>
    <n v="5"/>
    <n v="7.0099999999999996E-2"/>
    <n v="5.0099999999999999E-2"/>
    <n v="6"/>
    <s v="No"/>
    <s v="No"/>
    <n v="0"/>
    <n v="1047.9623506849314"/>
    <n v="74.897166575342467"/>
    <n v="973.06518410958893"/>
    <n v="54"/>
    <x v="1277"/>
    <n v="1278"/>
  </r>
  <r>
    <s v="SUP102"/>
    <x v="72"/>
    <s v="Europe"/>
    <x v="2"/>
    <s v="Medium"/>
    <n v="5598489"/>
    <s v="INV00800"/>
    <n v="23006"/>
    <d v="2025-12-17T00:00:00"/>
    <n v="45"/>
    <n v="5"/>
    <n v="0.1178"/>
    <n v="4.6600000000000003E-2"/>
    <n v="8"/>
    <s v="No"/>
    <s v="No"/>
    <n v="0"/>
    <n v="334.12275616438353"/>
    <n v="23.497635068493153"/>
    <n v="310.62512109589039"/>
    <n v="37"/>
    <x v="1277"/>
    <n v="1278"/>
  </r>
  <r>
    <s v="SUP123"/>
    <x v="25"/>
    <s v="Mexico"/>
    <x v="3"/>
    <s v="Medium"/>
    <n v="1716971"/>
    <s v="INV00816"/>
    <n v="107185"/>
    <d v="2025-06-23T00:00:00"/>
    <n v="45"/>
    <n v="4"/>
    <n v="9.4600000000000004E-2"/>
    <n v="5.3800000000000001E-2"/>
    <n v="10"/>
    <s v="Yes"/>
    <s v="No"/>
    <n v="0"/>
    <n v="1250.1001232876713"/>
    <n v="157.98775342465751"/>
    <n v="1092.1123698630138"/>
    <n v="35"/>
    <x v="1277"/>
    <n v="1278"/>
  </r>
  <r>
    <s v="SUP110"/>
    <x v="82"/>
    <s v="Europe"/>
    <x v="2"/>
    <s v="Medium"/>
    <n v="5617789"/>
    <s v="INV00823"/>
    <n v="91205"/>
    <d v="2026-01-22T00:00:00"/>
    <n v="60"/>
    <n v="10"/>
    <n v="9.5100000000000004E-2"/>
    <n v="4.5999999999999999E-2"/>
    <n v="8"/>
    <s v="No"/>
    <s v="No"/>
    <n v="0"/>
    <n v="1425.7965205479454"/>
    <n v="91.95463013698631"/>
    <n v="1333.8418904109592"/>
    <n v="52"/>
    <x v="1277"/>
    <n v="1278"/>
  </r>
  <r>
    <s v="SUP125"/>
    <x v="83"/>
    <s v="Europe"/>
    <x v="4"/>
    <s v="Large"/>
    <n v="21625874"/>
    <s v="INV00829"/>
    <n v="41908"/>
    <d v="2025-09-22T00:00:00"/>
    <n v="45"/>
    <n v="5"/>
    <n v="9.5399999999999999E-2"/>
    <n v="5.33E-2"/>
    <n v="8"/>
    <s v="No"/>
    <s v="No"/>
    <n v="0"/>
    <n v="492.90696986301367"/>
    <n v="48.957729315068491"/>
    <n v="443.94924054794518"/>
    <n v="37"/>
    <x v="1277"/>
    <n v="1278"/>
  </r>
  <r>
    <s v="SUP033"/>
    <x v="50"/>
    <s v="Europe"/>
    <x v="1"/>
    <s v="Medium"/>
    <n v="2416616"/>
    <s v="INV00837"/>
    <n v="84323"/>
    <d v="2025-10-04T00:00:00"/>
    <n v="60"/>
    <n v="4"/>
    <n v="0.1024"/>
    <n v="6.0100000000000001E-2"/>
    <n v="6"/>
    <s v="Yes"/>
    <s v="No"/>
    <n v="0"/>
    <n v="1419.3986630136985"/>
    <n v="83.306503561643837"/>
    <n v="1336.0921594520546"/>
    <n v="54"/>
    <x v="1277"/>
    <n v="1278"/>
  </r>
  <r>
    <s v="SUP015"/>
    <x v="61"/>
    <s v="Mexico"/>
    <x v="1"/>
    <s v="Small"/>
    <n v="1475965"/>
    <s v="INV00840"/>
    <n v="56430"/>
    <d v="2025-12-07T00:00:00"/>
    <n v="90"/>
    <n v="10"/>
    <n v="0.14000000000000001"/>
    <n v="6.4799999999999996E-2"/>
    <n v="10"/>
    <s v="No"/>
    <s v="No"/>
    <n v="0"/>
    <n v="1947.9945205479453"/>
    <n v="100.18257534246574"/>
    <n v="1847.8119452054796"/>
    <n v="80"/>
    <x v="1277"/>
    <n v="1278"/>
  </r>
  <r>
    <s v="SUP104"/>
    <x v="33"/>
    <s v="Mexico"/>
    <x v="4"/>
    <s v="Small"/>
    <n v="1410716"/>
    <s v="INV00849"/>
    <n v="50532"/>
    <d v="2025-06-06T00:00:00"/>
    <n v="60"/>
    <n v="3"/>
    <n v="0.1472"/>
    <n v="4.7800000000000002E-2"/>
    <n v="10"/>
    <s v="No"/>
    <s v="No"/>
    <n v="0"/>
    <n v="1222.7359561643837"/>
    <n v="66.176153424657528"/>
    <n v="1156.5598027397261"/>
    <n v="50"/>
    <x v="1277"/>
    <n v="1278"/>
  </r>
  <r>
    <s v="SUP149"/>
    <x v="72"/>
    <s v="APAC"/>
    <x v="1"/>
    <s v="Medium"/>
    <n v="4709015"/>
    <s v="INV00855"/>
    <n v="104720"/>
    <d v="2025-10-05T00:00:00"/>
    <n v="60"/>
    <n v="10"/>
    <n v="0.121"/>
    <n v="4.7500000000000001E-2"/>
    <n v="10"/>
    <s v="Yes"/>
    <s v="No"/>
    <n v="0"/>
    <n v="2082.9238356164383"/>
    <n v="136.27945205479452"/>
    <n v="1946.6443835616437"/>
    <n v="50"/>
    <x v="1277"/>
    <n v="1278"/>
  </r>
  <r>
    <s v="SUP073"/>
    <x v="9"/>
    <s v="Europe"/>
    <x v="1"/>
    <s v="Small"/>
    <n v="261628"/>
    <s v="INV00858"/>
    <n v="23094"/>
    <d v="2025-01-12T00:00:00"/>
    <n v="60"/>
    <n v="7"/>
    <n v="0.17249999999999999"/>
    <n v="5.1400000000000001E-2"/>
    <n v="10"/>
    <s v="Yes"/>
    <s v="No"/>
    <n v="0"/>
    <n v="654.85726027397254"/>
    <n v="32.521413698630134"/>
    <n v="622.33584657534243"/>
    <n v="50"/>
    <x v="1277"/>
    <n v="1278"/>
  </r>
  <r>
    <s v="SUP028"/>
    <x v="16"/>
    <s v="APAC"/>
    <x v="1"/>
    <s v="Small"/>
    <n v="959016"/>
    <s v="INV00860"/>
    <n v="83012"/>
    <d v="2025-12-14T00:00:00"/>
    <n v="45"/>
    <n v="3"/>
    <n v="0.1115"/>
    <n v="4.87E-2"/>
    <n v="5"/>
    <s v="Yes"/>
    <s v="No"/>
    <n v="0"/>
    <n v="1141.130712328767"/>
    <n v="55.379238356164379"/>
    <n v="1085.7514739726025"/>
    <n v="40"/>
    <x v="1277"/>
    <n v="1278"/>
  </r>
  <r>
    <s v="SUP065"/>
    <x v="10"/>
    <s v="Mexico"/>
    <x v="3"/>
    <s v="Medium"/>
    <n v="4269919"/>
    <s v="INV00865"/>
    <n v="28458"/>
    <d v="2025-07-11T00:00:00"/>
    <n v="60"/>
    <n v="5"/>
    <n v="0.1212"/>
    <n v="5.3900000000000003E-2"/>
    <n v="10"/>
    <s v="Yes"/>
    <s v="No"/>
    <n v="0"/>
    <n v="566.97692054794516"/>
    <n v="42.024279452054799"/>
    <n v="524.95264109589039"/>
    <n v="50"/>
    <x v="1277"/>
    <n v="1278"/>
  </r>
  <r>
    <s v="SUP089"/>
    <x v="98"/>
    <s v="Canada"/>
    <x v="0"/>
    <s v="Medium"/>
    <n v="6967315"/>
    <s v="INV00867"/>
    <n v="72902"/>
    <d v="2025-09-04T00:00:00"/>
    <n v="90"/>
    <n v="7"/>
    <n v="9.1999999999999998E-2"/>
    <n v="5.0799999999999998E-2"/>
    <n v="6"/>
    <s v="Yes"/>
    <s v="No"/>
    <n v="0"/>
    <n v="1653.7768767123287"/>
    <n v="60.878163287671221"/>
    <n v="1592.8987134246574"/>
    <n v="84"/>
    <x v="1277"/>
    <n v="1278"/>
  </r>
  <r>
    <s v="SUP117"/>
    <x v="56"/>
    <s v="APAC"/>
    <x v="2"/>
    <s v="Small"/>
    <n v="407422"/>
    <s v="INV00875"/>
    <n v="62692"/>
    <d v="2025-08-16T00:00:00"/>
    <n v="45"/>
    <n v="10"/>
    <n v="0.121"/>
    <n v="6.4699999999999994E-2"/>
    <n v="5"/>
    <s v="No"/>
    <s v="No"/>
    <n v="0"/>
    <n v="935.22723287671226"/>
    <n v="55.564005479452042"/>
    <n v="879.66322739726024"/>
    <n v="40"/>
    <x v="1277"/>
    <n v="1278"/>
  </r>
  <r>
    <s v="SUP047"/>
    <x v="35"/>
    <s v="US"/>
    <x v="3"/>
    <s v="Medium"/>
    <n v="6056843"/>
    <s v="INV00877"/>
    <n v="106084"/>
    <d v="2025-12-28T00:00:00"/>
    <n v="45"/>
    <n v="5"/>
    <n v="0.12520000000000001"/>
    <n v="6.4299999999999996E-2"/>
    <n v="5"/>
    <s v="No"/>
    <s v="No"/>
    <n v="0"/>
    <n v="1637.4719342465753"/>
    <n v="93.441112328767105"/>
    <n v="1544.0308219178082"/>
    <n v="40"/>
    <x v="1277"/>
    <n v="1278"/>
  </r>
  <r>
    <s v="SUP082"/>
    <x v="70"/>
    <s v="APAC"/>
    <x v="3"/>
    <s v="Medium"/>
    <n v="4450767"/>
    <s v="INV00882"/>
    <n v="100224"/>
    <d v="2025-05-21T00:00:00"/>
    <n v="90"/>
    <n v="2"/>
    <n v="0.10489999999999999"/>
    <n v="6.2100000000000002E-2"/>
    <n v="7"/>
    <s v="No"/>
    <s v="No"/>
    <n v="0"/>
    <n v="2592.3692712328761"/>
    <n v="119.36266520547947"/>
    <n v="2473.0066060273966"/>
    <n v="83"/>
    <x v="1277"/>
    <n v="1278"/>
  </r>
  <r>
    <s v="SUP139"/>
    <x v="55"/>
    <s v="Canada"/>
    <x v="2"/>
    <s v="Large"/>
    <n v="13330124"/>
    <s v="INV00883"/>
    <n v="27953"/>
    <d v="2025-04-25T00:00:00"/>
    <n v="60"/>
    <n v="5"/>
    <n v="0.10920000000000001"/>
    <n v="5.4899999999999997E-2"/>
    <n v="10"/>
    <s v="No"/>
    <s v="No"/>
    <n v="0"/>
    <n v="501.77549589041092"/>
    <n v="42.044375342465749"/>
    <n v="459.73112054794518"/>
    <n v="50"/>
    <x v="1277"/>
    <n v="1278"/>
  </r>
  <r>
    <s v="SUP063"/>
    <x v="88"/>
    <s v="Mexico"/>
    <x v="0"/>
    <s v="Medium"/>
    <n v="5790128"/>
    <s v="INV00885"/>
    <n v="15325"/>
    <d v="2025-04-11T00:00:00"/>
    <n v="90"/>
    <n v="3"/>
    <n v="9.5799999999999996E-2"/>
    <n v="6.4600000000000005E-2"/>
    <n v="8"/>
    <s v="No"/>
    <s v="No"/>
    <n v="0"/>
    <n v="362.0058904109589"/>
    <n v="21.698520547945208"/>
    <n v="340.30736986301372"/>
    <n v="82"/>
    <x v="1277"/>
    <n v="1278"/>
  </r>
  <r>
    <s v="SUP044"/>
    <x v="9"/>
    <s v="US"/>
    <x v="2"/>
    <s v="Small"/>
    <n v="879139"/>
    <s v="INV00900"/>
    <n v="51273"/>
    <d v="2025-11-24T00:00:00"/>
    <n v="60"/>
    <n v="3"/>
    <n v="0.14199999999999999"/>
    <n v="4.7100000000000003E-2"/>
    <n v="5"/>
    <s v="No"/>
    <s v="No"/>
    <n v="0"/>
    <n v="1196.8382465753423"/>
    <n v="33.081620547945207"/>
    <n v="1163.756626027397"/>
    <n v="55"/>
    <x v="1277"/>
    <n v="1278"/>
  </r>
  <r>
    <s v="SUP141"/>
    <x v="92"/>
    <s v="US"/>
    <x v="2"/>
    <s v="Medium"/>
    <n v="1810544"/>
    <s v="INV00919"/>
    <n v="109676"/>
    <d v="2026-01-21T00:00:00"/>
    <n v="60"/>
    <n v="10"/>
    <n v="9.6299999999999997E-2"/>
    <n v="6.1899999999999997E-2"/>
    <n v="6"/>
    <s v="No"/>
    <s v="No"/>
    <n v="0"/>
    <n v="1736.186104109589"/>
    <n v="111.59908602739723"/>
    <n v="1624.5870180821917"/>
    <n v="54"/>
    <x v="1277"/>
    <n v="1278"/>
  </r>
  <r>
    <s v="SUP009"/>
    <x v="104"/>
    <s v="Canada"/>
    <x v="4"/>
    <s v="Large"/>
    <n v="19754920"/>
    <s v="INV00921"/>
    <n v="88015"/>
    <d v="2025-07-23T00:00:00"/>
    <n v="60"/>
    <n v="2"/>
    <n v="8.1100000000000005E-2"/>
    <n v="5.4399999999999997E-2"/>
    <n v="10"/>
    <s v="No"/>
    <s v="No"/>
    <n v="0"/>
    <n v="1173.3725753424658"/>
    <n v="131.1785205479452"/>
    <n v="1042.1940547945205"/>
    <n v="50"/>
    <x v="1277"/>
    <n v="1278"/>
  </r>
  <r>
    <s v="SUP027"/>
    <x v="99"/>
    <s v="US"/>
    <x v="1"/>
    <s v="Large"/>
    <n v="19529913"/>
    <s v="INV00923"/>
    <n v="72476"/>
    <d v="2025-08-02T00:00:00"/>
    <n v="60"/>
    <n v="2"/>
    <n v="8.7499999999999994E-2"/>
    <n v="5.1299999999999998E-2"/>
    <n v="6"/>
    <s v="No"/>
    <s v="No"/>
    <n v="0"/>
    <n v="1042.46301369863"/>
    <n v="61.118117260273962"/>
    <n v="981.34489643835605"/>
    <n v="54"/>
    <x v="1277"/>
    <n v="1278"/>
  </r>
  <r>
    <s v="SUP065"/>
    <x v="10"/>
    <s v="Mexico"/>
    <x v="3"/>
    <s v="Medium"/>
    <n v="4269919"/>
    <s v="INV00934"/>
    <n v="30702"/>
    <d v="2025-09-09T00:00:00"/>
    <n v="60"/>
    <n v="5"/>
    <n v="0.1212"/>
    <n v="5.7099999999999998E-2"/>
    <n v="6"/>
    <s v="No"/>
    <s v="No"/>
    <n v="0"/>
    <n v="611.68477808219177"/>
    <n v="28.817822465753423"/>
    <n v="582.8669556164383"/>
    <n v="54"/>
    <x v="1277"/>
    <n v="1278"/>
  </r>
  <r>
    <s v="SUP006"/>
    <x v="4"/>
    <s v="Europe"/>
    <x v="3"/>
    <s v="Small"/>
    <n v="971327"/>
    <s v="INV00935"/>
    <n v="72319"/>
    <d v="2025-06-27T00:00:00"/>
    <n v="60"/>
    <n v="2"/>
    <n v="0.15229999999999999"/>
    <n v="5.9700000000000003E-2"/>
    <n v="7"/>
    <s v="No"/>
    <s v="No"/>
    <n v="0"/>
    <n v="1810.5507452054792"/>
    <n v="82.800301643835624"/>
    <n v="1727.7504435616436"/>
    <n v="53"/>
    <x v="1277"/>
    <n v="1278"/>
  </r>
  <r>
    <s v="SUP136"/>
    <x v="28"/>
    <s v="Mexico"/>
    <x v="0"/>
    <s v="Small"/>
    <n v="1120197"/>
    <s v="INV00952"/>
    <n v="60362"/>
    <d v="2025-12-31T00:00:00"/>
    <n v="30"/>
    <n v="3"/>
    <n v="0.1338"/>
    <n v="5.3199999999999997E-2"/>
    <n v="10"/>
    <s v="No"/>
    <s v="No"/>
    <n v="0"/>
    <n v="663.81662465753425"/>
    <n v="87.97968219178081"/>
    <n v="575.8369424657534"/>
    <n v="20"/>
    <x v="1277"/>
    <n v="1278"/>
  </r>
  <r>
    <s v="SUP122"/>
    <x v="66"/>
    <s v="Europe"/>
    <x v="4"/>
    <s v="Medium"/>
    <n v="5642255"/>
    <s v="INV00953"/>
    <n v="82278"/>
    <d v="2025-12-23T00:00:00"/>
    <n v="60"/>
    <n v="7"/>
    <n v="0.1119"/>
    <n v="4.8399999999999999E-2"/>
    <n v="5"/>
    <s v="No"/>
    <s v="No"/>
    <n v="0"/>
    <n v="1513.4643616438354"/>
    <n v="54.551441095890411"/>
    <n v="1458.9129205479451"/>
    <n v="55"/>
    <x v="1277"/>
    <n v="1278"/>
  </r>
  <r>
    <s v="SUP138"/>
    <x v="59"/>
    <s v="Europe"/>
    <x v="2"/>
    <s v="Medium"/>
    <n v="4395110"/>
    <s v="INV00954"/>
    <n v="62930"/>
    <d v="2025-06-12T00:00:00"/>
    <n v="60"/>
    <n v="10"/>
    <n v="0.1066"/>
    <n v="4.7699999999999999E-2"/>
    <n v="6"/>
    <s v="No"/>
    <s v="No"/>
    <n v="0"/>
    <n v="1102.7404931506849"/>
    <n v="49.344016438356157"/>
    <n v="1053.3964767123286"/>
    <n v="54"/>
    <x v="1277"/>
    <n v="1278"/>
  </r>
  <r>
    <s v="SUP081"/>
    <x v="54"/>
    <s v="APAC"/>
    <x v="2"/>
    <s v="Large"/>
    <n v="20068674"/>
    <s v="INV00970"/>
    <n v="60908"/>
    <d v="2025-03-05T00:00:00"/>
    <n v="60"/>
    <n v="4"/>
    <n v="0.1062"/>
    <n v="5.7799999999999997E-2"/>
    <n v="10"/>
    <s v="Yes"/>
    <s v="No"/>
    <n v="0"/>
    <n v="1063.3034958904109"/>
    <n v="96.451572602739716"/>
    <n v="966.85192328767118"/>
    <n v="50"/>
    <x v="1277"/>
    <n v="1278"/>
  </r>
  <r>
    <s v="SUP021"/>
    <x v="85"/>
    <s v="Canada"/>
    <x v="4"/>
    <s v="Large"/>
    <n v="17014146"/>
    <s v="INV00972"/>
    <n v="78795"/>
    <d v="2026-01-12T00:00:00"/>
    <n v="60"/>
    <n v="10"/>
    <n v="0.1037"/>
    <n v="5.8799999999999998E-2"/>
    <n v="5"/>
    <s v="No"/>
    <s v="No"/>
    <n v="0"/>
    <n v="1343.1849041095891"/>
    <n v="63.467753424657531"/>
    <n v="1279.7171506849315"/>
    <n v="55"/>
    <x v="1277"/>
    <n v="1278"/>
  </r>
  <r>
    <s v="SUP062"/>
    <x v="89"/>
    <s v="Mexico"/>
    <x v="4"/>
    <s v="Medium"/>
    <n v="3726894"/>
    <s v="INV00988"/>
    <n v="103654"/>
    <d v="2025-09-21T00:00:00"/>
    <n v="60"/>
    <n v="3"/>
    <n v="9.1899999999999996E-2"/>
    <n v="5.2400000000000002E-2"/>
    <n v="10"/>
    <s v="No"/>
    <s v="No"/>
    <n v="0"/>
    <n v="1565.8853589041094"/>
    <n v="148.80738630136986"/>
    <n v="1417.0779726027395"/>
    <n v="50"/>
    <x v="1277"/>
    <n v="1278"/>
  </r>
  <r>
    <s v="SUP120"/>
    <x v="19"/>
    <s v="APAC"/>
    <x v="3"/>
    <s v="Large"/>
    <n v="9396117"/>
    <s v="INV00996"/>
    <n v="82063"/>
    <d v="2026-01-28T00:00:00"/>
    <n v="60"/>
    <n v="5"/>
    <n v="7.2400000000000006E-2"/>
    <n v="4.6800000000000001E-2"/>
    <n v="7"/>
    <s v="No"/>
    <s v="No"/>
    <n v="0"/>
    <n v="976.66211506849311"/>
    <n v="73.654352876712338"/>
    <n v="903.00776219178078"/>
    <n v="53"/>
    <x v="1277"/>
    <n v="1278"/>
  </r>
  <r>
    <s v="SUP001"/>
    <x v="20"/>
    <s v="Canada"/>
    <x v="0"/>
    <s v="Medium"/>
    <n v="1709806"/>
    <s v="INV01010"/>
    <n v="40591"/>
    <d v="2025-02-22T00:00:00"/>
    <n v="60"/>
    <n v="3"/>
    <n v="0.12709999999999999"/>
    <n v="5.9700000000000003E-2"/>
    <n v="5"/>
    <s v="No"/>
    <s v="No"/>
    <n v="0"/>
    <n v="848.0738794520546"/>
    <n v="33.195653424657536"/>
    <n v="814.87822602739709"/>
    <n v="55"/>
    <x v="1277"/>
    <n v="1278"/>
  </r>
  <r>
    <s v="SUP020"/>
    <x v="75"/>
    <s v="APAC"/>
    <x v="0"/>
    <s v="Large"/>
    <n v="15837870"/>
    <s v="INV01014"/>
    <n v="34608"/>
    <d v="2025-11-29T00:00:00"/>
    <n v="60"/>
    <n v="5"/>
    <n v="0.1089"/>
    <n v="6.0499999999999998E-2"/>
    <n v="5"/>
    <s v="No"/>
    <s v="No"/>
    <n v="0"/>
    <n v="619.53060821917802"/>
    <n v="28.681972602739727"/>
    <n v="590.84863561643829"/>
    <n v="55"/>
    <x v="1277"/>
    <n v="1278"/>
  </r>
  <r>
    <s v="SUP057"/>
    <x v="8"/>
    <s v="Mexico"/>
    <x v="1"/>
    <s v="Small"/>
    <n v="946643"/>
    <s v="INV01026"/>
    <n v="45419"/>
    <d v="2025-12-13T00:00:00"/>
    <n v="45"/>
    <n v="10"/>
    <n v="0.1648"/>
    <n v="6.3100000000000003E-2"/>
    <n v="8"/>
    <s v="No"/>
    <s v="No"/>
    <n v="0"/>
    <n v="922.81453150684922"/>
    <n v="62.815099178082193"/>
    <n v="859.99943232876706"/>
    <n v="37"/>
    <x v="1277"/>
    <n v="1278"/>
  </r>
  <r>
    <s v="SUP013"/>
    <x v="7"/>
    <s v="Europe"/>
    <x v="2"/>
    <s v="Small"/>
    <n v="1439462"/>
    <s v="INV01032"/>
    <n v="52180"/>
    <d v="2025-10-10T00:00:00"/>
    <n v="60"/>
    <n v="5"/>
    <n v="0.17130000000000001"/>
    <n v="4.6899999999999997E-2"/>
    <n v="7"/>
    <s v="No"/>
    <s v="No"/>
    <n v="0"/>
    <n v="1469.3316164383564"/>
    <n v="46.933408219178077"/>
    <n v="1422.3982082191783"/>
    <n v="53"/>
    <x v="1277"/>
    <n v="1278"/>
  </r>
  <r>
    <s v="SUP108"/>
    <x v="101"/>
    <s v="Mexico"/>
    <x v="0"/>
    <s v="Large"/>
    <n v="13513506"/>
    <s v="INV01037"/>
    <n v="49594"/>
    <d v="2025-06-06T00:00:00"/>
    <n v="45"/>
    <n v="5"/>
    <n v="8.1799999999999998E-2"/>
    <n v="5.5399999999999998E-2"/>
    <n v="6"/>
    <s v="No"/>
    <s v="No"/>
    <n v="0"/>
    <n v="500.15209315068489"/>
    <n v="45.164508493150677"/>
    <n v="454.98758465753423"/>
    <n v="39"/>
    <x v="1277"/>
    <n v="1278"/>
  </r>
  <r>
    <s v="SUP021"/>
    <x v="85"/>
    <s v="Canada"/>
    <x v="4"/>
    <s v="Large"/>
    <n v="17014146"/>
    <s v="INV01038"/>
    <n v="65282"/>
    <d v="2025-03-26T00:00:00"/>
    <n v="60"/>
    <n v="2"/>
    <n v="0.1037"/>
    <n v="5.7700000000000001E-2"/>
    <n v="5"/>
    <s v="No"/>
    <s v="No"/>
    <n v="0"/>
    <n v="1112.8345315068493"/>
    <n v="51.59960821917808"/>
    <n v="1061.2349232876713"/>
    <n v="55"/>
    <x v="1277"/>
    <n v="1278"/>
  </r>
  <r>
    <s v="SUP096"/>
    <x v="73"/>
    <s v="APAC"/>
    <x v="4"/>
    <s v="Large"/>
    <n v="22426293"/>
    <s v="INV01046"/>
    <n v="51953"/>
    <d v="2025-09-07T00:00:00"/>
    <n v="90"/>
    <n v="10"/>
    <n v="9.8299999999999998E-2"/>
    <n v="5.5300000000000002E-2"/>
    <n v="5"/>
    <s v="No"/>
    <s v="No"/>
    <n v="0"/>
    <n v="1259.2553178082192"/>
    <n v="39.356176712328768"/>
    <n v="1219.8991410958904"/>
    <n v="85"/>
    <x v="1277"/>
    <n v="1278"/>
  </r>
  <r>
    <s v="SUP026"/>
    <x v="16"/>
    <s v="Mexico"/>
    <x v="2"/>
    <s v="Large"/>
    <n v="21198154"/>
    <s v="INV01052"/>
    <n v="67188"/>
    <d v="2025-05-17T00:00:00"/>
    <n v="60"/>
    <n v="2"/>
    <n v="0.1086"/>
    <n v="4.82E-2"/>
    <n v="6"/>
    <s v="No"/>
    <s v="No"/>
    <n v="0"/>
    <n v="1199.4438575342465"/>
    <n v="53.234985205479447"/>
    <n v="1146.208872328767"/>
    <n v="54"/>
    <x v="1277"/>
    <n v="1278"/>
  </r>
  <r>
    <s v="SUP057"/>
    <x v="8"/>
    <s v="Mexico"/>
    <x v="1"/>
    <s v="Small"/>
    <n v="946643"/>
    <s v="INV01060"/>
    <n v="23919"/>
    <d v="2025-04-24T00:00:00"/>
    <n v="90"/>
    <n v="5"/>
    <n v="0.1648"/>
    <n v="5.3100000000000001E-2"/>
    <n v="7"/>
    <s v="No"/>
    <s v="No"/>
    <n v="0"/>
    <n v="971.96330958904105"/>
    <n v="24.358061095890413"/>
    <n v="947.60524849315061"/>
    <n v="83"/>
    <x v="1277"/>
    <n v="1278"/>
  </r>
  <r>
    <s v="SUP003"/>
    <x v="16"/>
    <s v="APAC"/>
    <x v="2"/>
    <s v="Small"/>
    <n v="1309806"/>
    <s v="INV01078"/>
    <n v="54550"/>
    <d v="2025-04-01T00:00:00"/>
    <n v="90"/>
    <n v="10"/>
    <n v="0.15210000000000001"/>
    <n v="6.13E-2"/>
    <n v="7"/>
    <s v="Yes"/>
    <s v="No"/>
    <n v="0"/>
    <n v="2045.8491780821917"/>
    <n v="64.129876712328766"/>
    <n v="1981.7193013698629"/>
    <n v="83"/>
    <x v="1277"/>
    <n v="1278"/>
  </r>
  <r>
    <s v="SUP025"/>
    <x v="96"/>
    <s v="Mexico"/>
    <x v="3"/>
    <s v="Medium"/>
    <n v="2577026"/>
    <s v="INV01086"/>
    <n v="29324"/>
    <d v="2026-02-10T00:00:00"/>
    <n v="45"/>
    <n v="2"/>
    <n v="0.123"/>
    <n v="5.04E-2"/>
    <n v="10"/>
    <s v="Yes"/>
    <s v="No"/>
    <n v="0"/>
    <n v="444.68038356164379"/>
    <n v="40.491221917808218"/>
    <n v="404.18916164383558"/>
    <n v="35"/>
    <x v="1277"/>
    <n v="1278"/>
  </r>
  <r>
    <s v="SUP014"/>
    <x v="103"/>
    <s v="APAC"/>
    <x v="3"/>
    <s v="Large"/>
    <n v="22396514"/>
    <s v="INV01091"/>
    <n v="102015"/>
    <d v="2025-05-25T00:00:00"/>
    <n v="90"/>
    <n v="2"/>
    <n v="7.5700000000000003E-2"/>
    <n v="5.4800000000000001E-2"/>
    <n v="5"/>
    <s v="Yes"/>
    <s v="No"/>
    <n v="0"/>
    <n v="1904.1868356164382"/>
    <n v="76.581123287671232"/>
    <n v="1827.6057123287669"/>
    <n v="85"/>
    <x v="1277"/>
    <n v="1278"/>
  </r>
  <r>
    <s v="SUP016"/>
    <x v="87"/>
    <s v="US"/>
    <x v="1"/>
    <s v="Large"/>
    <n v="11641644"/>
    <s v="INV01094"/>
    <n v="49618"/>
    <d v="2026-02-20T00:00:00"/>
    <n v="60"/>
    <n v="2"/>
    <n v="9.0399999999999994E-2"/>
    <n v="5.04E-2"/>
    <n v="8"/>
    <s v="No"/>
    <s v="No"/>
    <n v="0"/>
    <n v="737.33707397260275"/>
    <n v="54.810897534246571"/>
    <n v="682.52617643835617"/>
    <n v="52"/>
    <x v="1277"/>
    <n v="1278"/>
  </r>
  <r>
    <s v="SUP114"/>
    <x v="77"/>
    <s v="Europe"/>
    <x v="2"/>
    <s v="Medium"/>
    <n v="6687670"/>
    <s v="INV01096"/>
    <n v="70549"/>
    <d v="2025-05-23T00:00:00"/>
    <n v="60"/>
    <n v="5"/>
    <n v="0.1013"/>
    <n v="6.13E-2"/>
    <n v="5"/>
    <s v="No"/>
    <s v="No"/>
    <n v="0"/>
    <n v="1174.7858136986301"/>
    <n v="59.241831506849309"/>
    <n v="1115.5439821917807"/>
    <n v="55"/>
    <x v="1277"/>
    <n v="1278"/>
  </r>
  <r>
    <s v="SUP002"/>
    <x v="90"/>
    <s v="US"/>
    <x v="0"/>
    <s v="Medium"/>
    <n v="6074867"/>
    <s v="INV01101"/>
    <n v="29510"/>
    <d v="2026-02-24T00:00:00"/>
    <n v="90"/>
    <n v="2"/>
    <n v="9.4299999999999995E-2"/>
    <n v="6.3200000000000006E-2"/>
    <n v="7"/>
    <s v="No"/>
    <s v="No"/>
    <n v="0"/>
    <n v="686.16813698630131"/>
    <n v="35.767736986301372"/>
    <n v="650.40039999999999"/>
    <n v="83"/>
    <x v="1277"/>
    <n v="1278"/>
  </r>
  <r>
    <s v="SUP035"/>
    <x v="3"/>
    <s v="Canada"/>
    <x v="2"/>
    <s v="Small"/>
    <n v="1383695"/>
    <s v="INV01102"/>
    <n v="30264"/>
    <d v="2025-05-05T00:00:00"/>
    <n v="45"/>
    <n v="3"/>
    <n v="0.16850000000000001"/>
    <n v="6.1699999999999998E-2"/>
    <n v="10"/>
    <s v="No"/>
    <s v="No"/>
    <n v="0"/>
    <n v="628.70350684931509"/>
    <n v="51.158597260273972"/>
    <n v="577.54490958904114"/>
    <n v="35"/>
    <x v="1277"/>
    <n v="1278"/>
  </r>
  <r>
    <s v="SUP097"/>
    <x v="67"/>
    <s v="APAC"/>
    <x v="4"/>
    <s v="Medium"/>
    <n v="6014522"/>
    <s v="INV01110"/>
    <n v="39769"/>
    <d v="2025-11-06T00:00:00"/>
    <n v="60"/>
    <n v="2"/>
    <n v="0.12870000000000001"/>
    <n v="4.9399999999999999E-2"/>
    <n v="6"/>
    <s v="No"/>
    <s v="No"/>
    <n v="0"/>
    <n v="841.35950136986298"/>
    <n v="32.294607123287669"/>
    <n v="809.06489424657536"/>
    <n v="54"/>
    <x v="1277"/>
    <n v="1278"/>
  </r>
  <r>
    <s v="SUP124"/>
    <x v="43"/>
    <s v="Mexico"/>
    <x v="1"/>
    <s v="Small"/>
    <n v="617401"/>
    <s v="INV01113"/>
    <n v="48989"/>
    <d v="2025-04-07T00:00:00"/>
    <n v="45"/>
    <n v="2"/>
    <n v="0.1429"/>
    <n v="4.6300000000000001E-2"/>
    <n v="10"/>
    <s v="Yes"/>
    <s v="No"/>
    <n v="0"/>
    <n v="863.07880684931501"/>
    <n v="62.142210958904109"/>
    <n v="800.9365958904109"/>
    <n v="35"/>
    <x v="1277"/>
    <n v="1278"/>
  </r>
  <r>
    <s v="SUP108"/>
    <x v="101"/>
    <s v="Mexico"/>
    <x v="0"/>
    <s v="Large"/>
    <n v="13513506"/>
    <s v="INV01117"/>
    <n v="78005"/>
    <d v="2025-01-20T00:00:00"/>
    <n v="45"/>
    <n v="3"/>
    <n v="8.1799999999999998E-2"/>
    <n v="4.5499999999999999E-2"/>
    <n v="8"/>
    <s v="No"/>
    <s v="No"/>
    <n v="0"/>
    <n v="786.6750821917808"/>
    <n v="77.79128767123288"/>
    <n v="708.88379452054789"/>
    <n v="37"/>
    <x v="1277"/>
    <n v="1278"/>
  </r>
  <r>
    <s v="SUP120"/>
    <x v="19"/>
    <s v="APAC"/>
    <x v="3"/>
    <s v="Large"/>
    <n v="9396117"/>
    <s v="INV01120"/>
    <n v="56749"/>
    <d v="2025-01-21T00:00:00"/>
    <n v="60"/>
    <n v="3"/>
    <n v="7.2400000000000006E-2"/>
    <n v="5.1799999999999999E-2"/>
    <n v="7"/>
    <s v="No"/>
    <s v="No"/>
    <n v="0"/>
    <n v="675.39083835616441"/>
    <n v="56.375855890410961"/>
    <n v="619.01498246575341"/>
    <n v="53"/>
    <x v="1277"/>
    <n v="1278"/>
  </r>
  <r>
    <s v="SUP088"/>
    <x v="12"/>
    <s v="Mexico"/>
    <x v="1"/>
    <s v="Large"/>
    <n v="22780879"/>
    <s v="INV01121"/>
    <n v="105423"/>
    <d v="2025-10-18T00:00:00"/>
    <n v="60"/>
    <n v="5"/>
    <n v="7.0800000000000002E-2"/>
    <n v="4.9799999999999997E-2"/>
    <n v="10"/>
    <s v="No"/>
    <s v="No"/>
    <n v="0"/>
    <n v="1226.9504219178082"/>
    <n v="143.83740821917806"/>
    <n v="1083.1130136986301"/>
    <n v="50"/>
    <x v="1277"/>
    <n v="1278"/>
  </r>
  <r>
    <s v="SUP104"/>
    <x v="33"/>
    <s v="Mexico"/>
    <x v="4"/>
    <s v="Small"/>
    <n v="1410716"/>
    <s v="INV01134"/>
    <n v="95320"/>
    <d v="2025-08-20T00:00:00"/>
    <n v="45"/>
    <n v="3"/>
    <n v="0.1472"/>
    <n v="4.6399999999999997E-2"/>
    <n v="8"/>
    <s v="Yes"/>
    <s v="No"/>
    <n v="0"/>
    <n v="1729.8621369863013"/>
    <n v="96.939134246575335"/>
    <n v="1632.9230027397259"/>
    <n v="37"/>
    <x v="1277"/>
    <n v="1278"/>
  </r>
  <r>
    <s v="SUP038"/>
    <x v="76"/>
    <s v="Canada"/>
    <x v="4"/>
    <s v="Medium"/>
    <n v="6162123"/>
    <s v="INV01137"/>
    <n v="69250"/>
    <d v="2025-04-12T00:00:00"/>
    <n v="60"/>
    <n v="10"/>
    <n v="0.1231"/>
    <n v="5.6399999999999999E-2"/>
    <n v="5"/>
    <s v="No"/>
    <s v="No"/>
    <n v="0"/>
    <n v="1401.3164383561641"/>
    <n v="53.502739726027393"/>
    <n v="1347.8136986301367"/>
    <n v="55"/>
    <x v="1277"/>
    <n v="1278"/>
  </r>
  <r>
    <s v="SUP024"/>
    <x v="15"/>
    <s v="US"/>
    <x v="3"/>
    <s v="Small"/>
    <n v="1439833"/>
    <s v="INV01140"/>
    <n v="100335"/>
    <d v="2025-11-21T00:00:00"/>
    <n v="60"/>
    <n v="7"/>
    <n v="0.17630000000000001"/>
    <n v="5.9400000000000001E-2"/>
    <n v="8"/>
    <s v="No"/>
    <s v="No"/>
    <n v="0"/>
    <n v="2907.7907671232874"/>
    <n v="130.62792328767125"/>
    <n v="2777.1628438356161"/>
    <n v="52"/>
    <x v="1277"/>
    <n v="1278"/>
  </r>
  <r>
    <s v="SUP084"/>
    <x v="18"/>
    <s v="APAC"/>
    <x v="3"/>
    <s v="Small"/>
    <n v="1097913"/>
    <s v="INV01149"/>
    <n v="27007"/>
    <d v="2025-07-31T00:00:00"/>
    <n v="45"/>
    <n v="5"/>
    <n v="0.16070000000000001"/>
    <n v="6.4000000000000001E-2"/>
    <n v="7"/>
    <s v="No"/>
    <s v="No"/>
    <n v="0"/>
    <n v="535.07156301369866"/>
    <n v="33.148317808219183"/>
    <n v="501.92324520547947"/>
    <n v="38"/>
    <x v="1277"/>
    <n v="1278"/>
  </r>
  <r>
    <s v="SUP039"/>
    <x v="12"/>
    <s v="Mexico"/>
    <x v="0"/>
    <s v="Small"/>
    <n v="372648"/>
    <s v="INV01160"/>
    <n v="25555"/>
    <d v="2025-02-17T00:00:00"/>
    <n v="45"/>
    <n v="7"/>
    <n v="0.15049999999999999"/>
    <n v="4.7500000000000001E-2"/>
    <n v="6"/>
    <s v="No"/>
    <s v="No"/>
    <n v="0"/>
    <n v="474.16777397260267"/>
    <n v="19.95390410958904"/>
    <n v="454.21386986301366"/>
    <n v="39"/>
    <x v="1277"/>
    <n v="1278"/>
  </r>
  <r>
    <s v="SUP077"/>
    <x v="27"/>
    <s v="Europe"/>
    <x v="1"/>
    <s v="Medium"/>
    <n v="3573998"/>
    <s v="INV01163"/>
    <n v="33116"/>
    <d v="2025-03-02T00:00:00"/>
    <n v="45"/>
    <n v="2"/>
    <n v="0.13200000000000001"/>
    <n v="6.3100000000000003E-2"/>
    <n v="10"/>
    <s v="No"/>
    <s v="No"/>
    <n v="0"/>
    <n v="538.9288767123287"/>
    <n v="57.249852054794516"/>
    <n v="481.67902465753417"/>
    <n v="35"/>
    <x v="1277"/>
    <n v="1278"/>
  </r>
  <r>
    <s v="SUP116"/>
    <x v="74"/>
    <s v="Canada"/>
    <x v="1"/>
    <s v="Large"/>
    <n v="13972206"/>
    <s v="INV01167"/>
    <n v="104809"/>
    <d v="2025-04-09T00:00:00"/>
    <n v="60"/>
    <n v="4"/>
    <n v="9.5000000000000001E-2"/>
    <n v="5.4300000000000001E-2"/>
    <n v="8"/>
    <s v="No"/>
    <s v="No"/>
    <n v="0"/>
    <n v="1636.7432876712328"/>
    <n v="124.73706739726028"/>
    <n v="1512.0062202739725"/>
    <n v="52"/>
    <x v="1277"/>
    <n v="1278"/>
  </r>
  <r>
    <s v="SUP002"/>
    <x v="90"/>
    <s v="US"/>
    <x v="0"/>
    <s v="Medium"/>
    <n v="6074867"/>
    <s v="INV01178"/>
    <n v="42988"/>
    <d v="2025-05-26T00:00:00"/>
    <n v="60"/>
    <n v="4"/>
    <n v="9.4299999999999995E-2"/>
    <n v="4.5400000000000003E-2"/>
    <n v="10"/>
    <s v="No"/>
    <s v="No"/>
    <n v="0"/>
    <n v="666.37288767123277"/>
    <n v="53.470005479452055"/>
    <n v="612.90288219178069"/>
    <n v="50"/>
    <x v="1277"/>
    <n v="1278"/>
  </r>
  <r>
    <s v="SUP121"/>
    <x v="46"/>
    <s v="Europe"/>
    <x v="4"/>
    <s v="Large"/>
    <n v="21735545"/>
    <s v="INV01182"/>
    <n v="92999"/>
    <d v="2025-12-19T00:00:00"/>
    <n v="45"/>
    <n v="3"/>
    <n v="7.4999999999999997E-2"/>
    <n v="4.5999999999999999E-2"/>
    <n v="5"/>
    <s v="Yes"/>
    <s v="No"/>
    <n v="0"/>
    <n v="859.9222602739726"/>
    <n v="58.602109589041092"/>
    <n v="801.32015068493149"/>
    <n v="40"/>
    <x v="1277"/>
    <n v="1278"/>
  </r>
  <r>
    <s v="SUP127"/>
    <x v="12"/>
    <s v="Europe"/>
    <x v="0"/>
    <s v="Small"/>
    <n v="1089809"/>
    <s v="INV01206"/>
    <n v="13777"/>
    <d v="2025-11-02T00:00:00"/>
    <n v="60"/>
    <n v="4"/>
    <n v="0.16689999999999999"/>
    <n v="5.9200000000000003E-2"/>
    <n v="10"/>
    <s v="No"/>
    <s v="No"/>
    <n v="0"/>
    <n v="377.98048767123288"/>
    <n v="22.345161643835617"/>
    <n v="355.63532602739724"/>
    <n v="50"/>
    <x v="1277"/>
    <n v="1278"/>
  </r>
  <r>
    <s v="SUP036"/>
    <x v="21"/>
    <s v="Europe"/>
    <x v="0"/>
    <s v="Medium"/>
    <n v="3293043"/>
    <s v="INV01210"/>
    <n v="46774"/>
    <d v="2025-05-22T00:00:00"/>
    <n v="90"/>
    <n v="4"/>
    <n v="0.13320000000000001"/>
    <n v="6.2799999999999995E-2"/>
    <n v="8"/>
    <s v="No"/>
    <s v="No"/>
    <n v="0"/>
    <n v="1536.2375671232878"/>
    <n v="64.381527671232874"/>
    <n v="1471.856039452055"/>
    <n v="82"/>
    <x v="1277"/>
    <n v="1278"/>
  </r>
  <r>
    <s v="SUP089"/>
    <x v="98"/>
    <s v="Canada"/>
    <x v="0"/>
    <s v="Medium"/>
    <n v="6967315"/>
    <s v="INV01217"/>
    <n v="58482"/>
    <d v="2025-05-14T00:00:00"/>
    <n v="45"/>
    <n v="10"/>
    <n v="9.1999999999999998E-2"/>
    <n v="5.7700000000000001E-2"/>
    <n v="8"/>
    <s v="No"/>
    <s v="No"/>
    <n v="0"/>
    <n v="663.33008219178078"/>
    <n v="73.959701917808218"/>
    <n v="589.37038027397261"/>
    <n v="37"/>
    <x v="1277"/>
    <n v="1278"/>
  </r>
  <r>
    <s v="SUP038"/>
    <x v="76"/>
    <s v="Canada"/>
    <x v="4"/>
    <s v="Medium"/>
    <n v="6162123"/>
    <s v="INV01219"/>
    <n v="29785"/>
    <d v="2025-08-25T00:00:00"/>
    <n v="60"/>
    <n v="3"/>
    <n v="0.1231"/>
    <n v="5.0999999999999997E-2"/>
    <n v="5"/>
    <s v="No"/>
    <s v="No"/>
    <n v="0"/>
    <n v="602.71783561643838"/>
    <n v="20.808698630136984"/>
    <n v="581.90913698630141"/>
    <n v="55"/>
    <x v="1277"/>
    <n v="1278"/>
  </r>
  <r>
    <s v="SUP140"/>
    <x v="30"/>
    <s v="Europe"/>
    <x v="1"/>
    <s v="Small"/>
    <n v="1241903"/>
    <s v="INV01221"/>
    <n v="58865"/>
    <d v="2025-01-14T00:00:00"/>
    <n v="60"/>
    <n v="5"/>
    <n v="0.15939999999999999"/>
    <n v="5.4300000000000001E-2"/>
    <n v="8"/>
    <s v="No"/>
    <s v="No"/>
    <n v="0"/>
    <n v="1542.4242739726024"/>
    <n v="70.057413698630143"/>
    <n v="1472.3668602739722"/>
    <n v="52"/>
    <x v="1277"/>
    <n v="1278"/>
  </r>
  <r>
    <s v="SUP101"/>
    <x v="85"/>
    <s v="US"/>
    <x v="1"/>
    <s v="Large"/>
    <n v="16270036"/>
    <s v="INV01228"/>
    <n v="75564"/>
    <d v="2025-09-24T00:00:00"/>
    <n v="60"/>
    <n v="3"/>
    <n v="9.2200000000000004E-2"/>
    <n v="4.7300000000000002E-2"/>
    <n v="5"/>
    <s v="Yes"/>
    <s v="No"/>
    <n v="0"/>
    <n v="1145.2604054794522"/>
    <n v="48.961331506849312"/>
    <n v="1096.2990739726029"/>
    <n v="55"/>
    <x v="1277"/>
    <n v="1278"/>
  </r>
  <r>
    <s v="SUP088"/>
    <x v="12"/>
    <s v="Mexico"/>
    <x v="1"/>
    <s v="Large"/>
    <n v="22780879"/>
    <s v="INV01260"/>
    <n v="89151"/>
    <d v="2025-01-08T00:00:00"/>
    <n v="30"/>
    <n v="5"/>
    <n v="7.0800000000000002E-2"/>
    <n v="5.9900000000000002E-2"/>
    <n v="10"/>
    <s v="No"/>
    <s v="No"/>
    <n v="0"/>
    <n v="518.78554520547948"/>
    <n v="146.3053397260274"/>
    <n v="372.48020547945208"/>
    <n v="20"/>
    <x v="1277"/>
    <n v="1278"/>
  </r>
  <r>
    <s v="SUP008"/>
    <x v="48"/>
    <s v="US"/>
    <x v="1"/>
    <s v="Medium"/>
    <n v="1884403"/>
    <s v="INV01263"/>
    <n v="22066"/>
    <d v="2025-08-16T00:00:00"/>
    <n v="30"/>
    <n v="7"/>
    <n v="0.1231"/>
    <n v="4.9099999999999998E-2"/>
    <n v="7"/>
    <s v="No"/>
    <s v="No"/>
    <n v="0"/>
    <n v="223.25955616438355"/>
    <n v="20.778312876712327"/>
    <n v="202.48124328767122"/>
    <n v="23"/>
    <x v="1277"/>
    <n v="1278"/>
  </r>
  <r>
    <s v="SUP105"/>
    <x v="81"/>
    <s v="Canada"/>
    <x v="4"/>
    <s v="Medium"/>
    <n v="3772612"/>
    <s v="INV01270"/>
    <n v="57587"/>
    <d v="2026-02-19T00:00:00"/>
    <n v="90"/>
    <n v="7"/>
    <n v="0.1053"/>
    <n v="6.0100000000000001E-2"/>
    <n v="7"/>
    <s v="No"/>
    <s v="No"/>
    <n v="0"/>
    <n v="1495.2109561643836"/>
    <n v="66.374933972602747"/>
    <n v="1428.8360221917808"/>
    <n v="83"/>
    <x v="1277"/>
    <n v="1278"/>
  </r>
  <r>
    <s v="SUP118"/>
    <x v="31"/>
    <s v="US"/>
    <x v="1"/>
    <s v="Small"/>
    <n v="735440"/>
    <s v="INV01272"/>
    <n v="19486"/>
    <d v="2025-08-26T00:00:00"/>
    <n v="60"/>
    <n v="7"/>
    <n v="0.13020000000000001"/>
    <n v="5.28E-2"/>
    <n v="7"/>
    <s v="No"/>
    <s v="No"/>
    <n v="0"/>
    <n v="417.05378630136988"/>
    <n v="19.73157698630137"/>
    <n v="397.32220931506851"/>
    <n v="53"/>
    <x v="1277"/>
    <n v="1278"/>
  </r>
  <r>
    <s v="SUP007"/>
    <x v="100"/>
    <s v="APAC"/>
    <x v="1"/>
    <s v="Small"/>
    <n v="1043844"/>
    <s v="INV01278"/>
    <n v="19678"/>
    <d v="2025-08-14T00:00:00"/>
    <n v="60"/>
    <n v="2"/>
    <n v="0.11550000000000001"/>
    <n v="5.0500000000000003E-2"/>
    <n v="10"/>
    <s v="No"/>
    <s v="No"/>
    <n v="0"/>
    <n v="373.61243835616438"/>
    <n v="27.225726027397261"/>
    <n v="346.38671232876709"/>
    <n v="50"/>
    <x v="1277"/>
    <n v="1278"/>
  </r>
  <r>
    <s v="SUP023"/>
    <x v="19"/>
    <s v="Canada"/>
    <x v="0"/>
    <s v="Medium"/>
    <n v="2438415"/>
    <s v="INV01280"/>
    <n v="97980"/>
    <d v="2025-10-24T00:00:00"/>
    <n v="30"/>
    <n v="2"/>
    <n v="0.13650000000000001"/>
    <n v="5.8099999999999999E-2"/>
    <n v="6"/>
    <s v="No"/>
    <s v="No"/>
    <n v="0"/>
    <n v="1099.2550684931507"/>
    <n v="93.577610958904103"/>
    <n v="1005.6774575342466"/>
    <n v="24"/>
    <x v="1277"/>
    <n v="1278"/>
  </r>
  <r>
    <s v="SUP075"/>
    <x v="11"/>
    <s v="Europe"/>
    <x v="3"/>
    <s v="Small"/>
    <n v="1224427"/>
    <s v="INV01286"/>
    <n v="53039"/>
    <d v="2025-07-13T00:00:00"/>
    <n v="60"/>
    <n v="10"/>
    <n v="0.15670000000000001"/>
    <n v="5.5199999999999999E-2"/>
    <n v="10"/>
    <s v="No"/>
    <s v="No"/>
    <n v="0"/>
    <n v="1366.2265150684932"/>
    <n v="80.212405479452045"/>
    <n v="1286.0141095890413"/>
    <n v="50"/>
    <x v="1277"/>
    <n v="1278"/>
  </r>
  <r>
    <s v="SUP094"/>
    <x v="86"/>
    <s v="Europe"/>
    <x v="4"/>
    <s v="Medium"/>
    <n v="6247387"/>
    <s v="INV01287"/>
    <n v="88373"/>
    <d v="2025-04-25T00:00:00"/>
    <n v="30"/>
    <n v="10"/>
    <n v="0.12909999999999999"/>
    <n v="4.8000000000000001E-2"/>
    <n v="5"/>
    <s v="No"/>
    <s v="No"/>
    <n v="0"/>
    <n v="937.72227123287666"/>
    <n v="58.108273972602746"/>
    <n v="879.61399726027389"/>
    <n v="25"/>
    <x v="1277"/>
    <n v="1278"/>
  </r>
  <r>
    <s v="SUP105"/>
    <x v="81"/>
    <s v="Canada"/>
    <x v="4"/>
    <s v="Medium"/>
    <n v="3772612"/>
    <s v="INV01296"/>
    <n v="16466"/>
    <d v="2025-07-18T00:00:00"/>
    <n v="60"/>
    <n v="2"/>
    <n v="0.1053"/>
    <n v="5.8799999999999998E-2"/>
    <n v="5"/>
    <s v="Yes"/>
    <s v="No"/>
    <n v="0"/>
    <n v="285.01969315068493"/>
    <n v="13.263024657534245"/>
    <n v="271.7566684931507"/>
    <n v="55"/>
    <x v="1277"/>
    <n v="1278"/>
  </r>
  <r>
    <s v="SUP149"/>
    <x v="72"/>
    <s v="APAC"/>
    <x v="1"/>
    <s v="Medium"/>
    <n v="4709015"/>
    <s v="INV01298"/>
    <n v="91791"/>
    <d v="2025-11-19T00:00:00"/>
    <n v="60"/>
    <n v="10"/>
    <n v="0.121"/>
    <n v="4.5900000000000003E-2"/>
    <n v="7"/>
    <s v="No"/>
    <s v="No"/>
    <n v="0"/>
    <n v="1825.7607123287669"/>
    <n v="80.801228219178086"/>
    <n v="1744.9594841095889"/>
    <n v="53"/>
    <x v="1277"/>
    <n v="1278"/>
  </r>
  <r>
    <s v="SUP049"/>
    <x v="60"/>
    <s v="Mexico"/>
    <x v="1"/>
    <s v="Medium"/>
    <n v="2803992"/>
    <s v="INV01312"/>
    <n v="25164"/>
    <d v="2025-01-19T00:00:00"/>
    <n v="90"/>
    <n v="7"/>
    <n v="0.1036"/>
    <n v="5.1400000000000001E-2"/>
    <n v="10"/>
    <s v="No"/>
    <s v="No"/>
    <n v="0"/>
    <n v="642.81955068493153"/>
    <n v="35.436427397260267"/>
    <n v="607.38312328767131"/>
    <n v="80"/>
    <x v="1277"/>
    <n v="1278"/>
  </r>
  <r>
    <s v="SUP017"/>
    <x v="70"/>
    <s v="APAC"/>
    <x v="2"/>
    <s v="Medium"/>
    <n v="5041335"/>
    <s v="INV01325"/>
    <n v="84468"/>
    <d v="2025-10-02T00:00:00"/>
    <n v="30"/>
    <n v="2"/>
    <n v="0.1198"/>
    <n v="5.5399999999999998E-2"/>
    <n v="7"/>
    <s v="No"/>
    <s v="No"/>
    <n v="0"/>
    <n v="831.72052602739723"/>
    <n v="89.744357260273972"/>
    <n v="741.97616876712323"/>
    <n v="23"/>
    <x v="1277"/>
    <n v="1278"/>
  </r>
  <r>
    <s v="SUP144"/>
    <x v="97"/>
    <s v="APAC"/>
    <x v="0"/>
    <s v="Large"/>
    <n v="24905394"/>
    <s v="INV01329"/>
    <n v="28206"/>
    <d v="2025-02-13T00:00:00"/>
    <n v="60"/>
    <n v="5"/>
    <n v="8.5199999999999998E-2"/>
    <n v="5.8099999999999999E-2"/>
    <n v="6"/>
    <s v="No"/>
    <s v="No"/>
    <n v="0"/>
    <n v="395.03855342465749"/>
    <n v="26.938661917808215"/>
    <n v="368.0998915068493"/>
    <n v="54"/>
    <x v="1277"/>
    <n v="1278"/>
  </r>
  <r>
    <s v="SUP040"/>
    <x v="38"/>
    <s v="US"/>
    <x v="3"/>
    <s v="Small"/>
    <n v="1249897"/>
    <s v="INV01331"/>
    <n v="31902"/>
    <d v="2026-02-06T00:00:00"/>
    <n v="30"/>
    <n v="7"/>
    <n v="0.1452"/>
    <n v="6.0900000000000003E-2"/>
    <n v="6"/>
    <s v="No"/>
    <s v="No"/>
    <n v="0"/>
    <n v="380.72633424657533"/>
    <n v="31.93696109589041"/>
    <n v="348.78937315068492"/>
    <n v="24"/>
    <x v="1277"/>
    <n v="1278"/>
  </r>
  <r>
    <s v="SUP061"/>
    <x v="14"/>
    <s v="Mexico"/>
    <x v="1"/>
    <s v="Small"/>
    <n v="1374525"/>
    <s v="INV01342"/>
    <n v="67598"/>
    <d v="2025-08-03T00:00:00"/>
    <n v="60"/>
    <n v="10"/>
    <n v="0.13320000000000001"/>
    <n v="6.1100000000000002E-2"/>
    <n v="8"/>
    <s v="Yes"/>
    <s v="No"/>
    <n v="0"/>
    <n v="1480.1184000000001"/>
    <n v="90.525759999999991"/>
    <n v="1389.5926400000001"/>
    <n v="52"/>
    <x v="1277"/>
    <n v="1278"/>
  </r>
  <r>
    <s v="SUP040"/>
    <x v="38"/>
    <s v="US"/>
    <x v="3"/>
    <s v="Small"/>
    <n v="1249897"/>
    <s v="INV01343"/>
    <n v="64350"/>
    <d v="2025-05-19T00:00:00"/>
    <n v="30"/>
    <n v="2"/>
    <n v="0.1452"/>
    <n v="5.3699999999999998E-2"/>
    <n v="7"/>
    <s v="No"/>
    <s v="No"/>
    <n v="0"/>
    <n v="767.96876712328753"/>
    <n v="66.271684931506854"/>
    <n v="701.69708219178074"/>
    <n v="23"/>
    <x v="1277"/>
    <n v="1278"/>
  </r>
  <r>
    <s v="SUP041"/>
    <x v="3"/>
    <s v="Europe"/>
    <x v="0"/>
    <s v="Small"/>
    <n v="639703"/>
    <s v="INV01364"/>
    <n v="29255"/>
    <d v="2025-05-23T00:00:00"/>
    <n v="30"/>
    <n v="2"/>
    <n v="0.1148"/>
    <n v="4.6100000000000002E-2"/>
    <n v="5"/>
    <s v="No"/>
    <s v="No"/>
    <n v="0"/>
    <n v="276.03895890410956"/>
    <n v="18.474732876712327"/>
    <n v="257.56422602739724"/>
    <n v="25"/>
    <x v="1277"/>
    <n v="1278"/>
  </r>
  <r>
    <s v="SUP054"/>
    <x v="4"/>
    <s v="Mexico"/>
    <x v="1"/>
    <s v="Small"/>
    <n v="896464"/>
    <s v="INV01381"/>
    <n v="45105"/>
    <d v="2025-04-30T00:00:00"/>
    <n v="60"/>
    <n v="7"/>
    <n v="0.13550000000000001"/>
    <n v="5.1799999999999999E-2"/>
    <n v="8"/>
    <s v="No"/>
    <s v="No"/>
    <n v="0"/>
    <n v="1004.6675342465754"/>
    <n v="51.209621917808214"/>
    <n v="953.45791232876718"/>
    <n v="52"/>
    <x v="1277"/>
    <n v="1278"/>
  </r>
  <r>
    <s v="SUP025"/>
    <x v="96"/>
    <s v="Mexico"/>
    <x v="3"/>
    <s v="Medium"/>
    <n v="2577026"/>
    <s v="INV01387"/>
    <n v="74566"/>
    <d v="2025-12-09T00:00:00"/>
    <n v="45"/>
    <n v="2"/>
    <n v="0.123"/>
    <n v="5.4399999999999997E-2"/>
    <n v="8"/>
    <s v="No"/>
    <s v="No"/>
    <n v="0"/>
    <n v="1130.7474246575343"/>
    <n v="88.907186849315067"/>
    <n v="1041.8402378082192"/>
    <n v="37"/>
    <x v="1277"/>
    <n v="1278"/>
  </r>
  <r>
    <s v="SUP053"/>
    <x v="86"/>
    <s v="Canada"/>
    <x v="2"/>
    <s v="Large"/>
    <n v="12001432"/>
    <s v="INV01398"/>
    <n v="81692"/>
    <d v="2025-10-30T00:00:00"/>
    <n v="60"/>
    <n v="10"/>
    <n v="9.1800000000000007E-2"/>
    <n v="4.6600000000000003E-2"/>
    <n v="5"/>
    <s v="No"/>
    <s v="No"/>
    <n v="0"/>
    <n v="1232.7658520547945"/>
    <n v="52.148591780821917"/>
    <n v="1180.6172602739725"/>
    <n v="55"/>
    <x v="1277"/>
    <n v="1278"/>
  </r>
  <r>
    <s v="SUP138"/>
    <x v="59"/>
    <s v="Europe"/>
    <x v="2"/>
    <s v="Medium"/>
    <n v="4395110"/>
    <s v="INV01420"/>
    <n v="76858"/>
    <d v="2025-07-24T00:00:00"/>
    <n v="60"/>
    <n v="4"/>
    <n v="0.1066"/>
    <n v="6.1499999999999999E-2"/>
    <n v="8"/>
    <s v="Yes"/>
    <s v="No"/>
    <n v="0"/>
    <n v="1346.8048438356163"/>
    <n v="103.60037260273972"/>
    <n v="1243.2044712328766"/>
    <n v="52"/>
    <x v="1277"/>
    <n v="1278"/>
  </r>
  <r>
    <s v="SUP120"/>
    <x v="19"/>
    <s v="APAC"/>
    <x v="3"/>
    <s v="Large"/>
    <n v="9396117"/>
    <s v="INV01425"/>
    <n v="37301"/>
    <d v="2025-04-13T00:00:00"/>
    <n v="90"/>
    <n v="3"/>
    <n v="7.2400000000000006E-2"/>
    <n v="5.4199999999999998E-2"/>
    <n v="6"/>
    <s v="Yes"/>
    <s v="No"/>
    <n v="0"/>
    <n v="665.89949589041089"/>
    <n v="33.233658082191774"/>
    <n v="632.66583780821907"/>
    <n v="84"/>
    <x v="1277"/>
    <n v="1278"/>
  </r>
  <r>
    <s v="SUP049"/>
    <x v="60"/>
    <s v="Mexico"/>
    <x v="1"/>
    <s v="Medium"/>
    <n v="2803992"/>
    <s v="INV01439"/>
    <n v="96390"/>
    <d v="2025-11-28T00:00:00"/>
    <n v="45"/>
    <n v="7"/>
    <n v="0.1036"/>
    <n v="5.1299999999999998E-2"/>
    <n v="7"/>
    <s v="No"/>
    <s v="No"/>
    <n v="0"/>
    <n v="1231.1511780821916"/>
    <n v="94.831915068493146"/>
    <n v="1136.3192630136984"/>
    <n v="38"/>
    <x v="1277"/>
    <n v="1278"/>
  </r>
  <r>
    <s v="SUP029"/>
    <x v="34"/>
    <s v="US"/>
    <x v="3"/>
    <s v="Small"/>
    <n v="373467"/>
    <s v="INV01440"/>
    <n v="34167"/>
    <d v="2025-06-25T00:00:00"/>
    <n v="90"/>
    <n v="5"/>
    <n v="0.126"/>
    <n v="4.8500000000000001E-2"/>
    <n v="8"/>
    <s v="Yes"/>
    <s v="No"/>
    <n v="0"/>
    <n v="1061.5172054794521"/>
    <n v="36.319989041095894"/>
    <n v="1025.1972164383562"/>
    <n v="82"/>
    <x v="1277"/>
    <n v="1278"/>
  </r>
  <r>
    <s v="SUP148"/>
    <x v="105"/>
    <s v="Canada"/>
    <x v="0"/>
    <s v="Medium"/>
    <n v="6247349"/>
    <s v="INV01451"/>
    <n v="47486"/>
    <d v="2025-06-03T00:00:00"/>
    <n v="60"/>
    <n v="3"/>
    <n v="0.1241"/>
    <n v="5.16E-2"/>
    <n v="8"/>
    <s v="No"/>
    <s v="No"/>
    <n v="0"/>
    <n v="968.71439999999996"/>
    <n v="53.704714520547945"/>
    <n v="915.00968547945206"/>
    <n v="52"/>
    <x v="1277"/>
    <n v="1278"/>
  </r>
  <r>
    <s v="SUP026"/>
    <x v="16"/>
    <s v="Mexico"/>
    <x v="2"/>
    <s v="Large"/>
    <n v="21198154"/>
    <s v="INV01457"/>
    <n v="34515"/>
    <d v="2025-12-01T00:00:00"/>
    <n v="90"/>
    <n v="7"/>
    <n v="0.1086"/>
    <n v="5.8299999999999998E-2"/>
    <n v="7"/>
    <s v="No"/>
    <s v="No"/>
    <n v="0"/>
    <n v="924.24550684931501"/>
    <n v="38.590606849315066"/>
    <n v="885.6549"/>
    <n v="83"/>
    <x v="1277"/>
    <n v="1278"/>
  </r>
  <r>
    <s v="SUP005"/>
    <x v="13"/>
    <s v="US"/>
    <x v="2"/>
    <s v="Small"/>
    <n v="701545"/>
    <s v="INV01458"/>
    <n v="90017"/>
    <d v="2025-06-05T00:00:00"/>
    <n v="60"/>
    <n v="10"/>
    <n v="0.17699999999999999"/>
    <n v="5.04E-2"/>
    <n v="7"/>
    <s v="No"/>
    <s v="No"/>
    <n v="0"/>
    <n v="2619.1247671232877"/>
    <n v="87.008212602739746"/>
    <n v="2532.1165545205481"/>
    <n v="53"/>
    <x v="1277"/>
    <n v="1278"/>
  </r>
  <r>
    <s v="SUP147"/>
    <x v="51"/>
    <s v="Canada"/>
    <x v="1"/>
    <s v="Small"/>
    <n v="367690"/>
    <s v="INV01463"/>
    <n v="21755"/>
    <d v="2025-01-24T00:00:00"/>
    <n v="45"/>
    <n v="4"/>
    <n v="0.1305"/>
    <n v="5.9499999999999997E-2"/>
    <n v="10"/>
    <s v="No"/>
    <s v="No"/>
    <n v="0"/>
    <n v="350.01708904109591"/>
    <n v="35.463630136986296"/>
    <n v="314.55345890410962"/>
    <n v="35"/>
    <x v="1277"/>
    <n v="1278"/>
  </r>
  <r>
    <s v="SUP065"/>
    <x v="10"/>
    <s v="Mexico"/>
    <x v="3"/>
    <s v="Medium"/>
    <n v="4269919"/>
    <s v="INV01471"/>
    <n v="65841"/>
    <d v="2025-07-11T00:00:00"/>
    <n v="60"/>
    <n v="5"/>
    <n v="0.1212"/>
    <n v="6.0999999999999999E-2"/>
    <n v="10"/>
    <s v="Yes"/>
    <s v="No"/>
    <n v="0"/>
    <n v="1311.7691835616438"/>
    <n v="110.03564383561643"/>
    <n v="1201.7335397260274"/>
    <n v="50"/>
    <x v="1277"/>
    <n v="1278"/>
  </r>
  <r>
    <s v="SUP042"/>
    <x v="93"/>
    <s v="Europe"/>
    <x v="3"/>
    <s v="Large"/>
    <n v="15261617"/>
    <s v="INV01486"/>
    <n v="12951"/>
    <d v="2025-02-03T00:00:00"/>
    <n v="60"/>
    <n v="5"/>
    <n v="9.3200000000000005E-2"/>
    <n v="5.2999999999999999E-2"/>
    <n v="5"/>
    <s v="No"/>
    <s v="No"/>
    <n v="0"/>
    <n v="198.41641643835618"/>
    <n v="9.4027808219178084"/>
    <n v="189.01363561643836"/>
    <n v="55"/>
    <x v="1277"/>
    <n v="1278"/>
  </r>
  <r>
    <s v="SUP090"/>
    <x v="10"/>
    <s v="APAC"/>
    <x v="1"/>
    <s v="Medium"/>
    <n v="3501061"/>
    <s v="INV01495"/>
    <n v="29616"/>
    <d v="2025-03-07T00:00:00"/>
    <n v="90"/>
    <n v="10"/>
    <n v="9.6299999999999997E-2"/>
    <n v="4.4999999999999998E-2"/>
    <n v="8"/>
    <s v="No"/>
    <s v="No"/>
    <n v="0"/>
    <n v="703.238005479452"/>
    <n v="29.210301369863014"/>
    <n v="674.02770410958897"/>
    <n v="82"/>
    <x v="1277"/>
    <n v="1278"/>
  </r>
  <r>
    <s v="SUP041"/>
    <x v="3"/>
    <s v="Europe"/>
    <x v="0"/>
    <s v="Small"/>
    <n v="639703"/>
    <s v="INV01499"/>
    <n v="105121"/>
    <d v="2026-01-25T00:00:00"/>
    <n v="90"/>
    <n v="10"/>
    <n v="0.1148"/>
    <n v="5.6800000000000003E-2"/>
    <n v="10"/>
    <s v="No"/>
    <s v="No"/>
    <n v="0"/>
    <n v="2975.6443068493145"/>
    <n v="163.58555616438355"/>
    <n v="2812.0587506849311"/>
    <n v="80"/>
    <x v="1277"/>
    <n v="1278"/>
  </r>
  <r>
    <s v="SUP001"/>
    <x v="20"/>
    <s v="Canada"/>
    <x v="0"/>
    <s v="Medium"/>
    <n v="1709806"/>
    <s v="INV01500"/>
    <n v="29263"/>
    <d v="2026-01-18T00:00:00"/>
    <n v="60"/>
    <n v="4"/>
    <n v="0.12709999999999999"/>
    <n v="5.8200000000000002E-2"/>
    <n v="10"/>
    <s v="No"/>
    <s v="No"/>
    <n v="0"/>
    <n v="611.39626849315061"/>
    <n v="46.660454794520547"/>
    <n v="564.73581369863007"/>
    <n v="50"/>
    <x v="1277"/>
    <n v="12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9D5CC-7301-A248-AEB1-5A6A34454A9D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0" firstHeaderRow="1" firstDataRow="1" firstDataCol="1"/>
  <pivotFields count="23">
    <pivotField showAll="0"/>
    <pivotField axis="axisRow" showAll="0" sortType="descending">
      <items count="107">
        <item x="18"/>
        <item x="67"/>
        <item x="29"/>
        <item x="14"/>
        <item x="82"/>
        <item x="98"/>
        <item x="36"/>
        <item x="104"/>
        <item x="43"/>
        <item x="42"/>
        <item x="100"/>
        <item x="32"/>
        <item x="62"/>
        <item x="0"/>
        <item x="31"/>
        <item x="1"/>
        <item x="3"/>
        <item x="41"/>
        <item x="87"/>
        <item x="15"/>
        <item x="73"/>
        <item x="94"/>
        <item x="8"/>
        <item x="33"/>
        <item x="90"/>
        <item x="56"/>
        <item x="17"/>
        <item x="50"/>
        <item x="5"/>
        <item x="44"/>
        <item x="46"/>
        <item x="68"/>
        <item x="13"/>
        <item x="7"/>
        <item x="97"/>
        <item x="61"/>
        <item x="92"/>
        <item x="88"/>
        <item x="54"/>
        <item x="2"/>
        <item x="101"/>
        <item x="51"/>
        <item x="80"/>
        <item x="86"/>
        <item x="21"/>
        <item x="93"/>
        <item x="34"/>
        <item x="57"/>
        <item x="71"/>
        <item x="63"/>
        <item x="38"/>
        <item x="77"/>
        <item x="85"/>
        <item x="37"/>
        <item x="99"/>
        <item x="76"/>
        <item x="83"/>
        <item x="70"/>
        <item x="40"/>
        <item x="39"/>
        <item x="79"/>
        <item x="105"/>
        <item x="64"/>
        <item x="53"/>
        <item x="22"/>
        <item x="89"/>
        <item x="60"/>
        <item x="35"/>
        <item x="66"/>
        <item x="58"/>
        <item x="30"/>
        <item x="19"/>
        <item x="84"/>
        <item x="28"/>
        <item x="4"/>
        <item x="65"/>
        <item x="102"/>
        <item x="10"/>
        <item x="25"/>
        <item x="75"/>
        <item x="26"/>
        <item x="9"/>
        <item x="48"/>
        <item x="59"/>
        <item x="49"/>
        <item x="91"/>
        <item x="6"/>
        <item x="103"/>
        <item x="78"/>
        <item x="45"/>
        <item x="74"/>
        <item x="27"/>
        <item x="52"/>
        <item x="23"/>
        <item x="96"/>
        <item x="69"/>
        <item x="11"/>
        <item x="16"/>
        <item x="12"/>
        <item x="95"/>
        <item x="55"/>
        <item x="81"/>
        <item x="47"/>
        <item x="24"/>
        <item x="20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ascending">
      <items count="6">
        <item x="4"/>
        <item x="1"/>
        <item x="2"/>
        <item x="3"/>
        <item x="0"/>
        <item t="default"/>
      </items>
    </pivotField>
    <pivotField showAll="0"/>
    <pivotField numFmtId="165" showAll="0"/>
    <pivotField showAll="0"/>
    <pivotField numFmtId="165" showAll="0"/>
    <pivotField numFmtId="14" showAll="0"/>
    <pivotField numFmtId="1" showAll="0"/>
    <pivotField numFmtId="1" showAll="0"/>
    <pivotField numFmtId="10" showAll="0"/>
    <pivotField numFmtId="10" showAll="0"/>
    <pivotField numFmtId="1" showAll="0"/>
    <pivotField showAll="0"/>
    <pivotField showAll="0"/>
    <pivotField numFmtId="9" showAll="0"/>
    <pivotField numFmtId="164" showAll="0"/>
    <pivotField numFmtId="164" showAll="0"/>
    <pivotField numFmtId="164" showAll="0"/>
    <pivotField numFmtId="1" showAll="0"/>
    <pivotField dataField="1" numFmtId="2" showAll="0">
      <items count="1279"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2" showAll="0"/>
  </pivotFields>
  <rowFields count="1">
    <field x="1"/>
  </rowFields>
  <rowItems count="107">
    <i>
      <x v="74"/>
    </i>
    <i>
      <x v="97"/>
    </i>
    <i>
      <x v="98"/>
    </i>
    <i>
      <x v="77"/>
    </i>
    <i>
      <x v="73"/>
    </i>
    <i>
      <x v="71"/>
    </i>
    <i>
      <x v="78"/>
    </i>
    <i>
      <x v="15"/>
    </i>
    <i>
      <x v="89"/>
    </i>
    <i>
      <x v="53"/>
    </i>
    <i>
      <x v="22"/>
    </i>
    <i>
      <x v="81"/>
    </i>
    <i>
      <x v="19"/>
    </i>
    <i>
      <x v="3"/>
    </i>
    <i>
      <x v="16"/>
    </i>
    <i>
      <x v="59"/>
    </i>
    <i>
      <x v="57"/>
    </i>
    <i>
      <x v="30"/>
    </i>
    <i>
      <x v="70"/>
    </i>
    <i>
      <x v="93"/>
    </i>
    <i>
      <x v="26"/>
    </i>
    <i>
      <x v="25"/>
    </i>
    <i>
      <x v="103"/>
    </i>
    <i>
      <x v="27"/>
    </i>
    <i>
      <x v="28"/>
    </i>
    <i>
      <x v="33"/>
    </i>
    <i>
      <x v="39"/>
    </i>
    <i>
      <x v="83"/>
    </i>
    <i>
      <x v="14"/>
    </i>
    <i>
      <x v="62"/>
    </i>
    <i>
      <x v="69"/>
    </i>
    <i>
      <x v="96"/>
    </i>
    <i>
      <x v="82"/>
    </i>
    <i>
      <x v="29"/>
    </i>
    <i>
      <x v="46"/>
    </i>
    <i>
      <x v="102"/>
    </i>
    <i>
      <x v="2"/>
    </i>
    <i>
      <x v="1"/>
    </i>
    <i>
      <x v="35"/>
    </i>
    <i>
      <x v="50"/>
    </i>
    <i>
      <x v="13"/>
    </i>
    <i>
      <x v="63"/>
    </i>
    <i>
      <x v="6"/>
    </i>
    <i>
      <x v="32"/>
    </i>
    <i>
      <x v="23"/>
    </i>
    <i>
      <x v="41"/>
    </i>
    <i>
      <x v="92"/>
    </i>
    <i>
      <x v="11"/>
    </i>
    <i>
      <x v="44"/>
    </i>
    <i>
      <x v="80"/>
    </i>
    <i>
      <x v="17"/>
    </i>
    <i>
      <x v="49"/>
    </i>
    <i>
      <x v="79"/>
    </i>
    <i>
      <x v="86"/>
    </i>
    <i>
      <x v="75"/>
    </i>
    <i>
      <x v="67"/>
    </i>
    <i>
      <x v="31"/>
    </i>
    <i>
      <x/>
    </i>
    <i>
      <x v="43"/>
    </i>
    <i>
      <x v="100"/>
    </i>
    <i>
      <x v="104"/>
    </i>
    <i>
      <x v="58"/>
    </i>
    <i>
      <x v="64"/>
    </i>
    <i>
      <x v="105"/>
    </i>
    <i>
      <x v="8"/>
    </i>
    <i>
      <x v="52"/>
    </i>
    <i>
      <x v="91"/>
    </i>
    <i>
      <x v="101"/>
    </i>
    <i>
      <x v="12"/>
    </i>
    <i>
      <x v="88"/>
    </i>
    <i>
      <x v="51"/>
    </i>
    <i>
      <x v="95"/>
    </i>
    <i>
      <x v="60"/>
    </i>
    <i>
      <x v="20"/>
    </i>
    <i>
      <x v="4"/>
    </i>
    <i>
      <x v="90"/>
    </i>
    <i>
      <x v="36"/>
    </i>
    <i>
      <x v="9"/>
    </i>
    <i>
      <x v="38"/>
    </i>
    <i>
      <x v="66"/>
    </i>
    <i>
      <x v="5"/>
    </i>
    <i>
      <x v="72"/>
    </i>
    <i>
      <x v="54"/>
    </i>
    <i>
      <x v="18"/>
    </i>
    <i>
      <x v="42"/>
    </i>
    <i>
      <x v="37"/>
    </i>
    <i>
      <x v="56"/>
    </i>
    <i>
      <x v="40"/>
    </i>
    <i>
      <x v="47"/>
    </i>
    <i>
      <x v="21"/>
    </i>
    <i>
      <x v="68"/>
    </i>
    <i>
      <x v="94"/>
    </i>
    <i>
      <x v="99"/>
    </i>
    <i>
      <x v="24"/>
    </i>
    <i>
      <x v="65"/>
    </i>
    <i>
      <x v="84"/>
    </i>
    <i>
      <x v="10"/>
    </i>
    <i>
      <x v="45"/>
    </i>
    <i>
      <x v="55"/>
    </i>
    <i>
      <x v="48"/>
    </i>
    <i>
      <x v="87"/>
    </i>
    <i>
      <x v="85"/>
    </i>
    <i>
      <x v="7"/>
    </i>
    <i>
      <x v="34"/>
    </i>
    <i>
      <x v="61"/>
    </i>
    <i>
      <x v="76"/>
    </i>
    <i t="grand">
      <x/>
    </i>
  </rowItems>
  <colItems count="1">
    <i/>
  </colItems>
  <dataFields count="1">
    <dataField name="Sum of Opportunity_Score" fld="2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DB7C2-609F-8C47-BB63-BCFF68E12F53}" name="tbl_scf_raw" displayName="tbl_scf_raw" ref="A1:W1501" totalsRowShown="0" headerRowDxfId="17" headerRowBorderDxfId="16" tableBorderDxfId="15">
  <autoFilter ref="A1:W1501" xr:uid="{FC9DB7C2-609F-8C47-BB63-BCFF68E12F53}"/>
  <sortState xmlns:xlrd2="http://schemas.microsoft.com/office/spreadsheetml/2017/richdata2" ref="A2:W1501">
    <sortCondition descending="1" ref="V7:V1501"/>
  </sortState>
  <tableColumns count="23">
    <tableColumn id="1" xr3:uid="{22093A15-62A6-0743-8DEC-FFC71EDA1E52}" name="Supplier_ID"/>
    <tableColumn id="2" xr3:uid="{815765E7-99A2-9B49-A714-B2F66950E8EE}" name="Supplier_Name"/>
    <tableColumn id="3" xr3:uid="{9850AA52-3599-0140-85CB-F6A3A54E1402}" name="Region"/>
    <tableColumn id="4" xr3:uid="{95C2BBD5-64CC-BE4B-BDE7-6CC5720456D0}" name="Industry"/>
    <tableColumn id="5" xr3:uid="{3965001A-B5EC-764A-AE74-5F98DB86810B}" name="Supplier_Size"/>
    <tableColumn id="6" xr3:uid="{F78FA6D1-0DCC-1B40-91C2-FDED0E68C28E}" name="Annual_Spend" dataDxfId="14"/>
    <tableColumn id="7" xr3:uid="{FB73918C-7EEF-544C-B25C-75BE3047586A}" name="Invoice_ID"/>
    <tableColumn id="8" xr3:uid="{17169FE9-C346-5846-9CEE-B8FEA43EBE2E}" name="Invoice_Amount" dataDxfId="13"/>
    <tableColumn id="9" xr3:uid="{05A1EFB7-51B4-DC45-918C-A2FE35539A85}" name="Invoice_Date" dataDxfId="12"/>
    <tableColumn id="10" xr3:uid="{EF5A19D0-A108-F844-AB9C-0CC2F0EF0ABE}" name="Payment_Terms_Days" dataDxfId="11"/>
    <tableColumn id="11" xr3:uid="{AE4BA625-6A39-7B41-8893-A63340BD0255}" name="Days_To_Approval" dataDxfId="10"/>
    <tableColumn id="12" xr3:uid="{4E0CA327-FA66-6140-BE41-B43616F1FA22}" name="Supplier_Borrowing_Rate" dataDxfId="9"/>
    <tableColumn id="13" xr3:uid="{4F2C9393-3740-4843-9552-5B9335D77C6F}" name="SCF_Rate" dataDxfId="8"/>
    <tableColumn id="14" xr3:uid="{8B7C65F8-74F6-5A41-AA2A-0D6ABD2D4431}" name="Early_Payment_Days" dataDxfId="7"/>
    <tableColumn id="15" xr3:uid="{31025CEC-BEBB-0849-AE6A-BC35B29C894D}" name="Critical_Supplier_Flag"/>
    <tableColumn id="16" xr3:uid="{BC4EA620-58EC-8D40-9D9F-A16DFAF54A55}" name="Program_Eligible"/>
    <tableColumn id="17" xr3:uid="{24BFA0C6-BF75-DD47-9053-5EE85BC5CC23}" name="Estimated_Adoption" dataDxfId="6" dataCellStyle="Percent"/>
    <tableColumn id="18" xr3:uid="{30DB666E-8A48-184C-B729-8EA66F4C5E64}" name="Financing_Cost_Without_SCF" dataDxfId="5">
      <calculatedColumnFormula>H2*L2*(J2/365)</calculatedColumnFormula>
    </tableColumn>
    <tableColumn id="19" xr3:uid="{369E6AAB-ED7E-104B-9986-1B23601E65DF}" name="Financing_Cost_With_SCF" dataDxfId="4">
      <calculatedColumnFormula>H2*M2*(N2/365)</calculatedColumnFormula>
    </tableColumn>
    <tableColumn id="20" xr3:uid="{97D18162-B518-DC49-A808-F7437BD457D0}" name="Supplier_Savings" dataDxfId="3">
      <calculatedColumnFormula>R2-S2</calculatedColumnFormula>
    </tableColumn>
    <tableColumn id="21" xr3:uid="{DBC66082-4894-A64E-BD59-539FD51FA68C}" name="Liquidity_Days_Improved" dataDxfId="2">
      <calculatedColumnFormula>J2-N2</calculatedColumnFormula>
    </tableColumn>
    <tableColumn id="22" xr3:uid="{8157A870-5A27-4547-A1EB-EF5E6893E45F}" name="Opportunity_Score" dataDxfId="1">
      <calculatedColumnFormula>Q2*(L2-M2)*H2</calculatedColumnFormula>
    </tableColumn>
    <tableColumn id="23" xr3:uid="{293CDD48-59C7-5E4D-994A-405359254544}" name="Opportunity_Rank" dataDxfId="0">
      <calculatedColumnFormula>RANK(V2,$V$2:$V$1501)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B24D65-9B94-B84F-9B33-A06ED0DF0B88}" name="Table5" displayName="Table5" ref="A36:D46" totalsRowShown="0" headerRowDxfId="23" dataDxfId="22">
  <autoFilter ref="A36:D46" xr:uid="{95B24D65-9B94-B84F-9B33-A06ED0DF0B88}"/>
  <tableColumns count="4">
    <tableColumn id="1" xr3:uid="{E6F182AC-2CE7-2244-8B8A-D3108FCEF2FC}" name="Supplier Name" dataDxfId="21"/>
    <tableColumn id="2" xr3:uid="{47145AEE-1B95-E14E-87E6-2E6393B76E3E}" name="Region" dataDxfId="20">
      <calculatedColumnFormula>_xlfn.XLOOKUP(A37,Raw_Data!B:B,Raw_Data!C:C)</calculatedColumnFormula>
    </tableColumn>
    <tableColumn id="3" xr3:uid="{3216815C-59CF-D548-9282-55579ECB6C64}" name="Industry" dataDxfId="19">
      <calculatedColumnFormula>_xlfn.XLOOKUP(A37,Raw_Data!B:B,Raw_Data!D:D)</calculatedColumnFormula>
    </tableColumn>
    <tableColumn id="4" xr3:uid="{258AF0D1-486C-5343-99DE-64690B097B63}" name="Opportunity Score" dataDxf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93B5-8BC7-2947-AA4B-6BC06740A91B}">
  <dimension ref="A3:B110"/>
  <sheetViews>
    <sheetView workbookViewId="0">
      <selection activeCell="B4" sqref="B4:B13"/>
    </sheetView>
  </sheetViews>
  <sheetFormatPr baseColWidth="10" defaultRowHeight="15" x14ac:dyDescent="0.2"/>
  <cols>
    <col min="1" max="1" width="19.5" bestFit="1" customWidth="1"/>
    <col min="2" max="2" width="21.6640625" bestFit="1" customWidth="1"/>
    <col min="3" max="3" width="10" bestFit="1" customWidth="1"/>
    <col min="4" max="6" width="9.6640625" bestFit="1" customWidth="1"/>
    <col min="7" max="7" width="10.6640625" bestFit="1" customWidth="1"/>
    <col min="8" max="371" width="6.6640625" bestFit="1" customWidth="1"/>
    <col min="372" max="1274" width="7.6640625" bestFit="1" customWidth="1"/>
    <col min="1275" max="1279" width="8.6640625" bestFit="1" customWidth="1"/>
    <col min="1280" max="1280" width="10" bestFit="1" customWidth="1"/>
    <col min="1281" max="1286" width="7.6640625" bestFit="1" customWidth="1"/>
    <col min="1287" max="1287" width="8.6640625" bestFit="1" customWidth="1"/>
    <col min="1288" max="1288" width="12.83203125" bestFit="1" customWidth="1"/>
    <col min="1289" max="1289" width="10.6640625" bestFit="1" customWidth="1"/>
  </cols>
  <sheetData>
    <row r="3" spans="1:2" x14ac:dyDescent="0.2">
      <c r="A3" s="20" t="s">
        <v>1808</v>
      </c>
      <c r="B3" t="s">
        <v>1810</v>
      </c>
    </row>
    <row r="4" spans="1:2" x14ac:dyDescent="0.2">
      <c r="A4" s="21" t="s">
        <v>89</v>
      </c>
      <c r="B4" s="3">
        <v>113236.74668499998</v>
      </c>
    </row>
    <row r="5" spans="1:2" x14ac:dyDescent="0.2">
      <c r="A5" s="21" t="s">
        <v>76</v>
      </c>
      <c r="B5" s="3">
        <v>110222.05858500002</v>
      </c>
    </row>
    <row r="6" spans="1:2" x14ac:dyDescent="0.2">
      <c r="A6" s="21" t="s">
        <v>47</v>
      </c>
      <c r="B6" s="3">
        <v>96743.935830000017</v>
      </c>
    </row>
    <row r="7" spans="1:2" x14ac:dyDescent="0.2">
      <c r="A7" s="21" t="s">
        <v>59</v>
      </c>
      <c r="B7" s="3">
        <v>94542.149734999999</v>
      </c>
    </row>
    <row r="8" spans="1:2" x14ac:dyDescent="0.2">
      <c r="A8" s="21" t="s">
        <v>218</v>
      </c>
      <c r="B8" s="3">
        <v>76858.182570000004</v>
      </c>
    </row>
    <row r="9" spans="1:2" x14ac:dyDescent="0.2">
      <c r="A9" s="21" t="s">
        <v>439</v>
      </c>
      <c r="B9" s="3">
        <v>62917.974925000017</v>
      </c>
    </row>
    <row r="10" spans="1:2" x14ac:dyDescent="0.2">
      <c r="A10" s="21" t="s">
        <v>204</v>
      </c>
      <c r="B10" s="3">
        <v>55904.582054999999</v>
      </c>
    </row>
    <row r="11" spans="1:2" x14ac:dyDescent="0.2">
      <c r="A11" s="21" t="s">
        <v>194</v>
      </c>
      <c r="B11" s="3">
        <v>53927.990264999993</v>
      </c>
    </row>
    <row r="12" spans="1:2" x14ac:dyDescent="0.2">
      <c r="A12" s="21" t="s">
        <v>62</v>
      </c>
      <c r="B12" s="3">
        <v>53896.690144999986</v>
      </c>
    </row>
    <row r="13" spans="1:2" x14ac:dyDescent="0.2">
      <c r="A13" s="21" t="s">
        <v>118</v>
      </c>
      <c r="B13" s="3">
        <v>52902.960139999996</v>
      </c>
    </row>
    <row r="14" spans="1:2" x14ac:dyDescent="0.2">
      <c r="A14" s="21" t="s">
        <v>83</v>
      </c>
      <c r="B14" s="3">
        <v>52862.902770000008</v>
      </c>
    </row>
    <row r="15" spans="1:2" x14ac:dyDescent="0.2">
      <c r="A15" s="21" t="s">
        <v>128</v>
      </c>
      <c r="B15" s="3">
        <v>51598.753405000003</v>
      </c>
    </row>
    <row r="16" spans="1:2" x14ac:dyDescent="0.2">
      <c r="A16" s="21" t="s">
        <v>352</v>
      </c>
      <c r="B16" s="3">
        <v>51294.825434999999</v>
      </c>
    </row>
    <row r="17" spans="1:2" x14ac:dyDescent="0.2">
      <c r="A17" s="21" t="s">
        <v>286</v>
      </c>
      <c r="B17" s="3">
        <v>49966.881830000013</v>
      </c>
    </row>
    <row r="18" spans="1:2" x14ac:dyDescent="0.2">
      <c r="A18" s="21" t="s">
        <v>110</v>
      </c>
      <c r="B18" s="3">
        <v>48074.362685</v>
      </c>
    </row>
    <row r="19" spans="1:2" x14ac:dyDescent="0.2">
      <c r="A19" s="21" t="s">
        <v>30</v>
      </c>
      <c r="B19" s="3">
        <v>46018.256859999994</v>
      </c>
    </row>
    <row r="20" spans="1:2" x14ac:dyDescent="0.2">
      <c r="A20" s="21" t="s">
        <v>264</v>
      </c>
      <c r="B20" s="3">
        <v>44589.282805000003</v>
      </c>
    </row>
    <row r="21" spans="1:2" x14ac:dyDescent="0.2">
      <c r="A21" s="21" t="s">
        <v>131</v>
      </c>
      <c r="B21" s="3">
        <v>42853.518829999994</v>
      </c>
    </row>
    <row r="22" spans="1:2" x14ac:dyDescent="0.2">
      <c r="A22" s="21" t="s">
        <v>416</v>
      </c>
      <c r="B22" s="3">
        <v>41974.891320000002</v>
      </c>
    </row>
    <row r="23" spans="1:2" x14ac:dyDescent="0.2">
      <c r="A23" s="21" t="s">
        <v>257</v>
      </c>
      <c r="B23" s="3">
        <v>40001.769750000007</v>
      </c>
    </row>
    <row r="24" spans="1:2" x14ac:dyDescent="0.2">
      <c r="A24" s="21" t="s">
        <v>402</v>
      </c>
      <c r="B24" s="3">
        <v>36901.522269999994</v>
      </c>
    </row>
    <row r="25" spans="1:2" x14ac:dyDescent="0.2">
      <c r="A25" s="21" t="s">
        <v>190</v>
      </c>
      <c r="B25" s="3">
        <v>36713.827695000007</v>
      </c>
    </row>
    <row r="26" spans="1:2" x14ac:dyDescent="0.2">
      <c r="A26" s="21" t="s">
        <v>502</v>
      </c>
      <c r="B26" s="3">
        <v>36506.175379999993</v>
      </c>
    </row>
    <row r="27" spans="1:2" x14ac:dyDescent="0.2">
      <c r="A27" s="21" t="s">
        <v>412</v>
      </c>
      <c r="B27" s="3">
        <v>35372.701845000003</v>
      </c>
    </row>
    <row r="28" spans="1:2" x14ac:dyDescent="0.2">
      <c r="A28" s="21" t="s">
        <v>106</v>
      </c>
      <c r="B28" s="3">
        <v>35128.288979999998</v>
      </c>
    </row>
    <row r="29" spans="1:2" x14ac:dyDescent="0.2">
      <c r="A29" s="21" t="s">
        <v>717</v>
      </c>
      <c r="B29" s="3">
        <v>35031.533175000004</v>
      </c>
    </row>
    <row r="30" spans="1:2" x14ac:dyDescent="0.2">
      <c r="A30" s="21" t="s">
        <v>52</v>
      </c>
      <c r="B30" s="3">
        <v>33537.053495</v>
      </c>
    </row>
    <row r="31" spans="1:2" x14ac:dyDescent="0.2">
      <c r="A31" s="21" t="s">
        <v>207</v>
      </c>
      <c r="B31" s="3">
        <v>33343.611380000009</v>
      </c>
    </row>
    <row r="32" spans="1:2" x14ac:dyDescent="0.2">
      <c r="A32" s="21" t="s">
        <v>143</v>
      </c>
      <c r="B32" s="3">
        <v>32985.314604999992</v>
      </c>
    </row>
    <row r="33" spans="1:2" x14ac:dyDescent="0.2">
      <c r="A33" s="21" t="s">
        <v>187</v>
      </c>
      <c r="B33" s="3">
        <v>32734.13148</v>
      </c>
    </row>
    <row r="34" spans="1:2" x14ac:dyDescent="0.2">
      <c r="A34" s="21" t="s">
        <v>121</v>
      </c>
      <c r="B34" s="3">
        <v>32731.347309999997</v>
      </c>
    </row>
    <row r="35" spans="1:2" x14ac:dyDescent="0.2">
      <c r="A35" s="21" t="s">
        <v>309</v>
      </c>
      <c r="B35" s="3">
        <v>32443.108705000002</v>
      </c>
    </row>
    <row r="36" spans="1:2" x14ac:dyDescent="0.2">
      <c r="A36" s="21" t="s">
        <v>245</v>
      </c>
      <c r="B36" s="3">
        <v>32225.247890000002</v>
      </c>
    </row>
    <row r="37" spans="1:2" x14ac:dyDescent="0.2">
      <c r="A37" s="21" t="s">
        <v>231</v>
      </c>
      <c r="B37" s="3">
        <v>32035.50344</v>
      </c>
    </row>
    <row r="38" spans="1:2" x14ac:dyDescent="0.2">
      <c r="A38" s="21" t="s">
        <v>80</v>
      </c>
      <c r="B38" s="3">
        <v>31815.162085000004</v>
      </c>
    </row>
    <row r="39" spans="1:2" x14ac:dyDescent="0.2">
      <c r="A39" s="21" t="s">
        <v>157</v>
      </c>
      <c r="B39" s="3">
        <v>30810.138894999996</v>
      </c>
    </row>
    <row r="40" spans="1:2" x14ac:dyDescent="0.2">
      <c r="A40" s="21" t="s">
        <v>240</v>
      </c>
      <c r="B40" s="3">
        <v>30397.25547</v>
      </c>
    </row>
    <row r="41" spans="1:2" x14ac:dyDescent="0.2">
      <c r="A41" s="21" t="s">
        <v>184</v>
      </c>
      <c r="B41" s="3">
        <v>30296.737420000001</v>
      </c>
    </row>
    <row r="42" spans="1:2" x14ac:dyDescent="0.2">
      <c r="A42" s="21" t="s">
        <v>335</v>
      </c>
      <c r="B42" s="3">
        <v>29839.175470000009</v>
      </c>
    </row>
    <row r="43" spans="1:2" x14ac:dyDescent="0.2">
      <c r="A43" s="21" t="s">
        <v>298</v>
      </c>
      <c r="B43" s="3">
        <v>29667.437530000003</v>
      </c>
    </row>
    <row r="44" spans="1:2" x14ac:dyDescent="0.2">
      <c r="A44" s="21" t="s">
        <v>101</v>
      </c>
      <c r="B44" s="3">
        <v>27548.017914999997</v>
      </c>
    </row>
    <row r="45" spans="1:2" x14ac:dyDescent="0.2">
      <c r="A45" s="21" t="s">
        <v>170</v>
      </c>
      <c r="B45" s="3">
        <v>27314.004604999998</v>
      </c>
    </row>
    <row r="46" spans="1:2" x14ac:dyDescent="0.2">
      <c r="A46" s="21" t="s">
        <v>86</v>
      </c>
      <c r="B46" s="3">
        <v>27035.710760000002</v>
      </c>
    </row>
    <row r="47" spans="1:2" x14ac:dyDescent="0.2">
      <c r="A47" s="21" t="s">
        <v>531</v>
      </c>
      <c r="B47" s="3">
        <v>26668.389574999997</v>
      </c>
    </row>
    <row r="48" spans="1:2" x14ac:dyDescent="0.2">
      <c r="A48" s="21" t="s">
        <v>454</v>
      </c>
      <c r="B48" s="3">
        <v>26384.900494999998</v>
      </c>
    </row>
    <row r="49" spans="1:2" x14ac:dyDescent="0.2">
      <c r="A49" s="21" t="s">
        <v>154</v>
      </c>
      <c r="B49" s="3">
        <v>26051.92848000001</v>
      </c>
    </row>
    <row r="50" spans="1:2" x14ac:dyDescent="0.2">
      <c r="A50" s="21" t="s">
        <v>35</v>
      </c>
      <c r="B50" s="3">
        <v>25944.813415000001</v>
      </c>
    </row>
    <row r="51" spans="1:2" x14ac:dyDescent="0.2">
      <c r="A51" s="21" t="s">
        <v>69</v>
      </c>
      <c r="B51" s="3">
        <v>24772.621374999999</v>
      </c>
    </row>
    <row r="52" spans="1:2" x14ac:dyDescent="0.2">
      <c r="A52" s="21" t="s">
        <v>378</v>
      </c>
      <c r="B52" s="3">
        <v>24725.756105000004</v>
      </c>
    </row>
    <row r="53" spans="1:2" x14ac:dyDescent="0.2">
      <c r="A53" s="21" t="s">
        <v>342</v>
      </c>
      <c r="B53" s="3">
        <v>24462.372409999996</v>
      </c>
    </row>
    <row r="54" spans="1:2" x14ac:dyDescent="0.2">
      <c r="A54" s="21" t="s">
        <v>167</v>
      </c>
      <c r="B54" s="3">
        <v>24393.410800000001</v>
      </c>
    </row>
    <row r="55" spans="1:2" x14ac:dyDescent="0.2">
      <c r="A55" s="21" t="s">
        <v>95</v>
      </c>
      <c r="B55" s="3">
        <v>23846.421895000007</v>
      </c>
    </row>
    <row r="56" spans="1:2" x14ac:dyDescent="0.2">
      <c r="A56" s="21" t="s">
        <v>161</v>
      </c>
      <c r="B56" s="3">
        <v>23439.05487</v>
      </c>
    </row>
    <row r="57" spans="1:2" x14ac:dyDescent="0.2">
      <c r="A57" s="21" t="s">
        <v>326</v>
      </c>
      <c r="B57" s="3">
        <v>23400.881924999998</v>
      </c>
    </row>
    <row r="58" spans="1:2" x14ac:dyDescent="0.2">
      <c r="A58" s="21" t="s">
        <v>279</v>
      </c>
      <c r="B58" s="3">
        <v>23002.277040000001</v>
      </c>
    </row>
    <row r="59" spans="1:2" x14ac:dyDescent="0.2">
      <c r="A59" s="21" t="s">
        <v>134</v>
      </c>
      <c r="B59" s="3">
        <v>22027.547500000001</v>
      </c>
    </row>
    <row r="60" spans="1:2" x14ac:dyDescent="0.2">
      <c r="A60" s="21" t="s">
        <v>224</v>
      </c>
      <c r="B60" s="3">
        <v>21913.347215000005</v>
      </c>
    </row>
    <row r="61" spans="1:2" x14ac:dyDescent="0.2">
      <c r="A61" s="21" t="s">
        <v>723</v>
      </c>
      <c r="B61" s="3">
        <v>21836.756105</v>
      </c>
    </row>
    <row r="62" spans="1:2" x14ac:dyDescent="0.2">
      <c r="A62" s="21" t="s">
        <v>274</v>
      </c>
      <c r="B62" s="3">
        <v>21647.404340000001</v>
      </c>
    </row>
    <row r="63" spans="1:2" x14ac:dyDescent="0.2">
      <c r="A63" s="21" t="s">
        <v>367</v>
      </c>
      <c r="B63" s="3">
        <v>21419.882430000001</v>
      </c>
    </row>
    <row r="64" spans="1:2" x14ac:dyDescent="0.2">
      <c r="A64" s="21" t="s">
        <v>751</v>
      </c>
      <c r="B64" s="3">
        <v>20572.703864999999</v>
      </c>
    </row>
    <row r="65" spans="1:2" x14ac:dyDescent="0.2">
      <c r="A65" s="21" t="s">
        <v>221</v>
      </c>
      <c r="B65" s="3">
        <v>20189.074544999999</v>
      </c>
    </row>
    <row r="66" spans="1:2" x14ac:dyDescent="0.2">
      <c r="A66" s="21" t="s">
        <v>113</v>
      </c>
      <c r="B66" s="3">
        <v>19260.439110000003</v>
      </c>
    </row>
    <row r="67" spans="1:2" x14ac:dyDescent="0.2">
      <c r="A67" s="21" t="s">
        <v>164</v>
      </c>
      <c r="B67" s="3">
        <v>18933.583029999998</v>
      </c>
    </row>
    <row r="68" spans="1:2" x14ac:dyDescent="0.2">
      <c r="A68" s="21" t="s">
        <v>522</v>
      </c>
      <c r="B68" s="3">
        <v>18601.555240000002</v>
      </c>
    </row>
    <row r="69" spans="1:2" x14ac:dyDescent="0.2">
      <c r="A69" s="21" t="s">
        <v>211</v>
      </c>
      <c r="B69" s="3">
        <v>17972.133895000003</v>
      </c>
    </row>
    <row r="70" spans="1:2" x14ac:dyDescent="0.2">
      <c r="A70" s="21" t="s">
        <v>363</v>
      </c>
      <c r="B70" s="3">
        <v>17772.168655000005</v>
      </c>
    </row>
    <row r="71" spans="1:2" x14ac:dyDescent="0.2">
      <c r="A71" s="21" t="s">
        <v>383</v>
      </c>
      <c r="B71" s="3">
        <v>16150.165075000004</v>
      </c>
    </row>
    <row r="72" spans="1:2" x14ac:dyDescent="0.2">
      <c r="A72" s="21" t="s">
        <v>92</v>
      </c>
      <c r="B72" s="3">
        <v>16101.900460000001</v>
      </c>
    </row>
    <row r="73" spans="1:2" x14ac:dyDescent="0.2">
      <c r="A73" s="21" t="s">
        <v>175</v>
      </c>
      <c r="B73" s="3">
        <v>15966.529929999999</v>
      </c>
    </row>
    <row r="74" spans="1:2" x14ac:dyDescent="0.2">
      <c r="A74" s="21" t="s">
        <v>489</v>
      </c>
      <c r="B74" s="3">
        <v>15856.414855000001</v>
      </c>
    </row>
    <row r="75" spans="1:2" x14ac:dyDescent="0.2">
      <c r="A75" s="21" t="s">
        <v>301</v>
      </c>
      <c r="B75" s="3">
        <v>13915.896495000003</v>
      </c>
    </row>
    <row r="76" spans="1:2" x14ac:dyDescent="0.2">
      <c r="A76" s="21" t="s">
        <v>22</v>
      </c>
      <c r="B76" s="3">
        <v>13799.049939999999</v>
      </c>
    </row>
    <row r="77" spans="1:2" x14ac:dyDescent="0.2">
      <c r="A77" s="21" t="s">
        <v>214</v>
      </c>
      <c r="B77" s="3">
        <v>13625.064855000002</v>
      </c>
    </row>
    <row r="78" spans="1:2" x14ac:dyDescent="0.2">
      <c r="A78" s="21" t="s">
        <v>387</v>
      </c>
      <c r="B78" s="3">
        <v>13428.274130000002</v>
      </c>
    </row>
    <row r="79" spans="1:2" x14ac:dyDescent="0.2">
      <c r="A79" s="21" t="s">
        <v>422</v>
      </c>
      <c r="B79" s="3">
        <v>13346.439060000001</v>
      </c>
    </row>
    <row r="80" spans="1:2" x14ac:dyDescent="0.2">
      <c r="A80" s="21" t="s">
        <v>269</v>
      </c>
      <c r="B80" s="3">
        <v>13135.114444999999</v>
      </c>
    </row>
    <row r="81" spans="1:2" x14ac:dyDescent="0.2">
      <c r="A81" s="21" t="s">
        <v>594</v>
      </c>
      <c r="B81" s="3">
        <v>13009.066500000003</v>
      </c>
    </row>
    <row r="82" spans="1:2" x14ac:dyDescent="0.2">
      <c r="A82" s="21" t="s">
        <v>260</v>
      </c>
      <c r="B82" s="3">
        <v>12938.444150000003</v>
      </c>
    </row>
    <row r="83" spans="1:2" x14ac:dyDescent="0.2">
      <c r="A83" s="21" t="s">
        <v>250</v>
      </c>
      <c r="B83" s="3">
        <v>12684.789279999999</v>
      </c>
    </row>
    <row r="84" spans="1:2" x14ac:dyDescent="0.2">
      <c r="A84" s="21" t="s">
        <v>519</v>
      </c>
      <c r="B84" s="3">
        <v>12105.31155</v>
      </c>
    </row>
    <row r="85" spans="1:2" x14ac:dyDescent="0.2">
      <c r="A85" s="21" t="s">
        <v>430</v>
      </c>
      <c r="B85" s="3">
        <v>11984.719645000001</v>
      </c>
    </row>
    <row r="86" spans="1:2" x14ac:dyDescent="0.2">
      <c r="A86" s="21" t="s">
        <v>65</v>
      </c>
      <c r="B86" s="3">
        <v>11639.398469999996</v>
      </c>
    </row>
    <row r="87" spans="1:2" x14ac:dyDescent="0.2">
      <c r="A87" s="21" t="s">
        <v>304</v>
      </c>
      <c r="B87" s="3">
        <v>10996.603489999998</v>
      </c>
    </row>
    <row r="88" spans="1:2" x14ac:dyDescent="0.2">
      <c r="A88" s="21" t="s">
        <v>393</v>
      </c>
      <c r="B88" s="3">
        <v>10923.912334999999</v>
      </c>
    </row>
    <row r="89" spans="1:2" x14ac:dyDescent="0.2">
      <c r="A89" s="21" t="s">
        <v>146</v>
      </c>
      <c r="B89" s="3">
        <v>10587.00423</v>
      </c>
    </row>
    <row r="90" spans="1:2" x14ac:dyDescent="0.2">
      <c r="A90" s="21" t="s">
        <v>73</v>
      </c>
      <c r="B90" s="3">
        <v>9310.0154700000003</v>
      </c>
    </row>
    <row r="91" spans="1:2" x14ac:dyDescent="0.2">
      <c r="A91" s="21" t="s">
        <v>198</v>
      </c>
      <c r="B91" s="3">
        <v>9092.1886549999981</v>
      </c>
    </row>
    <row r="92" spans="1:2" x14ac:dyDescent="0.2">
      <c r="A92" s="21" t="s">
        <v>838</v>
      </c>
      <c r="B92" s="3">
        <v>8831.3464200000017</v>
      </c>
    </row>
    <row r="93" spans="1:2" x14ac:dyDescent="0.2">
      <c r="A93" s="21" t="s">
        <v>137</v>
      </c>
      <c r="B93" s="3">
        <v>8396.5497450000003</v>
      </c>
    </row>
    <row r="94" spans="1:2" x14ac:dyDescent="0.2">
      <c r="A94" s="21" t="s">
        <v>124</v>
      </c>
      <c r="B94" s="3">
        <v>8394.7185850000005</v>
      </c>
    </row>
    <row r="95" spans="1:2" x14ac:dyDescent="0.2">
      <c r="A95" s="21" t="s">
        <v>44</v>
      </c>
      <c r="B95" s="3">
        <v>7925.6361999999999</v>
      </c>
    </row>
    <row r="96" spans="1:2" x14ac:dyDescent="0.2">
      <c r="A96" s="21" t="s">
        <v>320</v>
      </c>
      <c r="B96" s="3">
        <v>7726.2112349999998</v>
      </c>
    </row>
    <row r="97" spans="1:2" x14ac:dyDescent="0.2">
      <c r="A97" s="21" t="s">
        <v>180</v>
      </c>
      <c r="B97" s="3">
        <v>7478.2632699999995</v>
      </c>
    </row>
    <row r="98" spans="1:2" x14ac:dyDescent="0.2">
      <c r="A98" s="21" t="s">
        <v>312</v>
      </c>
      <c r="B98" s="3">
        <v>7436.3590399999994</v>
      </c>
    </row>
    <row r="99" spans="1:2" x14ac:dyDescent="0.2">
      <c r="A99" s="21" t="s">
        <v>560</v>
      </c>
      <c r="B99" s="3">
        <v>7284.8262900000018</v>
      </c>
    </row>
    <row r="100" spans="1:2" x14ac:dyDescent="0.2">
      <c r="A100" s="21" t="s">
        <v>397</v>
      </c>
      <c r="B100" s="3">
        <v>7175.0299100000002</v>
      </c>
    </row>
    <row r="101" spans="1:2" x14ac:dyDescent="0.2">
      <c r="A101" s="21" t="s">
        <v>55</v>
      </c>
      <c r="B101" s="3">
        <v>7022.1163100000012</v>
      </c>
    </row>
    <row r="102" spans="1:2" x14ac:dyDescent="0.2">
      <c r="A102" s="21" t="s">
        <v>40</v>
      </c>
      <c r="B102" s="3">
        <v>6830.4447500000006</v>
      </c>
    </row>
    <row r="103" spans="1:2" x14ac:dyDescent="0.2">
      <c r="A103" s="21" t="s">
        <v>356</v>
      </c>
      <c r="B103" s="3">
        <v>6610.922454999999</v>
      </c>
    </row>
    <row r="104" spans="1:2" x14ac:dyDescent="0.2">
      <c r="A104" s="21" t="s">
        <v>140</v>
      </c>
      <c r="B104" s="3">
        <v>5766.5909200000006</v>
      </c>
    </row>
    <row r="105" spans="1:2" x14ac:dyDescent="0.2">
      <c r="A105" s="21" t="s">
        <v>372</v>
      </c>
      <c r="B105" s="3">
        <v>5518.0833400000001</v>
      </c>
    </row>
    <row r="106" spans="1:2" x14ac:dyDescent="0.2">
      <c r="A106" s="21" t="s">
        <v>98</v>
      </c>
      <c r="B106" s="3">
        <v>5234.4389100000008</v>
      </c>
    </row>
    <row r="107" spans="1:2" x14ac:dyDescent="0.2">
      <c r="A107" s="21" t="s">
        <v>609</v>
      </c>
      <c r="B107" s="3">
        <v>5161.3591499999993</v>
      </c>
    </row>
    <row r="108" spans="1:2" x14ac:dyDescent="0.2">
      <c r="A108" s="21" t="s">
        <v>495</v>
      </c>
      <c r="B108" s="3">
        <v>3696.1412200000004</v>
      </c>
    </row>
    <row r="109" spans="1:2" x14ac:dyDescent="0.2">
      <c r="A109" s="21" t="s">
        <v>1058</v>
      </c>
      <c r="B109" s="3">
        <v>3474.950385000001</v>
      </c>
    </row>
    <row r="110" spans="1:2" x14ac:dyDescent="0.2">
      <c r="A110" s="21" t="s">
        <v>1809</v>
      </c>
      <c r="B110" s="3">
        <v>2912601.4398949998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1"/>
  <sheetViews>
    <sheetView tabSelected="1" topLeftCell="R1" workbookViewId="0">
      <selection activeCell="Q1" sqref="Q1:Q1048576"/>
    </sheetView>
  </sheetViews>
  <sheetFormatPr baseColWidth="10" defaultColWidth="8.83203125" defaultRowHeight="15" x14ac:dyDescent="0.2"/>
  <cols>
    <col min="1" max="1" width="12.5" customWidth="1"/>
    <col min="2" max="2" width="18.5" customWidth="1"/>
    <col min="4" max="4" width="9.83203125" customWidth="1"/>
    <col min="5" max="5" width="13.83203125" customWidth="1"/>
    <col min="6" max="6" width="14.6640625" style="7" customWidth="1"/>
    <col min="7" max="7" width="11.6640625" customWidth="1"/>
    <col min="8" max="8" width="16.33203125" style="5" customWidth="1"/>
    <col min="9" max="9" width="24.33203125" style="12" customWidth="1"/>
    <col min="10" max="10" width="20.1640625" style="15" customWidth="1"/>
    <col min="11" max="11" width="17.5" style="15" customWidth="1"/>
    <col min="12" max="12" width="23.1640625" style="9" customWidth="1"/>
    <col min="13" max="13" width="13.1640625" style="9" customWidth="1"/>
    <col min="14" max="14" width="19.1640625" style="15" customWidth="1"/>
    <col min="15" max="15" width="20.1640625" customWidth="1"/>
    <col min="16" max="16" width="16.5" customWidth="1"/>
    <col min="17" max="17" width="19.33203125" style="24" customWidth="1"/>
    <col min="18" max="18" width="25.83203125" style="5" customWidth="1"/>
    <col min="19" max="19" width="23.1640625" style="5" customWidth="1"/>
    <col min="20" max="20" width="16.33203125" style="5" customWidth="1"/>
    <col min="21" max="21" width="23" style="15" customWidth="1"/>
    <col min="22" max="22" width="20.83203125" style="3" bestFit="1" customWidth="1"/>
    <col min="23" max="23" width="20.1640625" style="3" bestFit="1" customWidth="1"/>
    <col min="25" max="25" width="11.16406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4" t="s">
        <v>7</v>
      </c>
      <c r="I1" s="11" t="s">
        <v>8</v>
      </c>
      <c r="J1" s="14" t="s">
        <v>9</v>
      </c>
      <c r="K1" s="14" t="s">
        <v>10</v>
      </c>
      <c r="L1" s="8" t="s">
        <v>11</v>
      </c>
      <c r="M1" s="8" t="s">
        <v>12</v>
      </c>
      <c r="N1" s="14" t="s">
        <v>13</v>
      </c>
      <c r="O1" s="1" t="s">
        <v>14</v>
      </c>
      <c r="P1" s="1" t="s">
        <v>15</v>
      </c>
      <c r="Q1" s="23" t="s">
        <v>16</v>
      </c>
      <c r="R1" s="4" t="s">
        <v>17</v>
      </c>
      <c r="S1" s="4" t="s">
        <v>18</v>
      </c>
      <c r="T1" s="4" t="s">
        <v>19</v>
      </c>
      <c r="U1" s="14" t="s">
        <v>20</v>
      </c>
      <c r="V1" s="13" t="s">
        <v>1803</v>
      </c>
      <c r="W1" s="13" t="s">
        <v>1804</v>
      </c>
    </row>
    <row r="2" spans="1:23" x14ac:dyDescent="0.2">
      <c r="A2" t="s">
        <v>100</v>
      </c>
      <c r="B2" t="s">
        <v>101</v>
      </c>
      <c r="C2" t="s">
        <v>77</v>
      </c>
      <c r="D2" t="s">
        <v>48</v>
      </c>
      <c r="E2" t="s">
        <v>49</v>
      </c>
      <c r="F2" s="7">
        <v>1484226</v>
      </c>
      <c r="G2" t="s">
        <v>1353</v>
      </c>
      <c r="H2" s="5">
        <v>105268</v>
      </c>
      <c r="I2" s="12">
        <v>45822</v>
      </c>
      <c r="J2" s="15">
        <v>60</v>
      </c>
      <c r="K2" s="15">
        <v>4</v>
      </c>
      <c r="L2" s="9">
        <v>0.17929999999999999</v>
      </c>
      <c r="M2" s="9">
        <v>6.2899999999999998E-2</v>
      </c>
      <c r="N2" s="15">
        <v>6</v>
      </c>
      <c r="O2" t="s">
        <v>28</v>
      </c>
      <c r="P2" t="s">
        <v>28</v>
      </c>
      <c r="Q2" s="24">
        <v>0.9</v>
      </c>
      <c r="R2" s="5">
        <f t="shared" ref="R2:R65" si="0">H2*L2*(J2/365)</f>
        <v>3102.666147945205</v>
      </c>
      <c r="S2" s="5">
        <f t="shared" ref="S2:S65" si="1">H2*M2*(N2/365)</f>
        <v>108.84422794520546</v>
      </c>
      <c r="T2" s="5">
        <f t="shared" ref="T2:T65" si="2">R2-S2</f>
        <v>2993.8219199999994</v>
      </c>
      <c r="U2" s="15">
        <f t="shared" ref="U2:U65" si="3">J2-N2</f>
        <v>54</v>
      </c>
      <c r="V2" s="3">
        <f t="shared" ref="V2:V65" si="4">Q2*(L2-M2)*H2</f>
        <v>11027.875679999999</v>
      </c>
      <c r="W2" s="3">
        <f t="shared" ref="W2:W65" si="5">RANK(V2,$V$2:$V$1501)</f>
        <v>1</v>
      </c>
    </row>
    <row r="3" spans="1:23" x14ac:dyDescent="0.2">
      <c r="A3" t="s">
        <v>193</v>
      </c>
      <c r="B3" t="s">
        <v>194</v>
      </c>
      <c r="C3" t="s">
        <v>31</v>
      </c>
      <c r="D3" t="s">
        <v>66</v>
      </c>
      <c r="E3" t="s">
        <v>49</v>
      </c>
      <c r="F3" s="7">
        <v>764840</v>
      </c>
      <c r="G3" t="s">
        <v>436</v>
      </c>
      <c r="H3" s="5">
        <v>109891</v>
      </c>
      <c r="I3" s="12">
        <v>45959</v>
      </c>
      <c r="J3" s="15">
        <v>60</v>
      </c>
      <c r="K3" s="15">
        <v>7</v>
      </c>
      <c r="L3" s="9">
        <v>0.16819999999999999</v>
      </c>
      <c r="M3" s="9">
        <v>5.8799999999999998E-2</v>
      </c>
      <c r="N3" s="15">
        <v>6</v>
      </c>
      <c r="O3" t="s">
        <v>27</v>
      </c>
      <c r="P3" t="s">
        <v>28</v>
      </c>
      <c r="Q3" s="24">
        <v>0.9</v>
      </c>
      <c r="R3" s="5">
        <f t="shared" si="0"/>
        <v>3038.4108821917807</v>
      </c>
      <c r="S3" s="5">
        <f t="shared" si="1"/>
        <v>106.21793095890409</v>
      </c>
      <c r="T3" s="5">
        <f t="shared" si="2"/>
        <v>2932.1929512328766</v>
      </c>
      <c r="U3" s="15">
        <f t="shared" si="3"/>
        <v>54</v>
      </c>
      <c r="V3" s="3">
        <f t="shared" si="4"/>
        <v>10819.86786</v>
      </c>
      <c r="W3" s="3">
        <f t="shared" si="5"/>
        <v>2</v>
      </c>
    </row>
    <row r="4" spans="1:23" x14ac:dyDescent="0.2">
      <c r="A4" t="s">
        <v>193</v>
      </c>
      <c r="B4" t="s">
        <v>194</v>
      </c>
      <c r="C4" t="s">
        <v>31</v>
      </c>
      <c r="D4" t="s">
        <v>66</v>
      </c>
      <c r="E4" t="s">
        <v>49</v>
      </c>
      <c r="F4" s="7">
        <v>764840</v>
      </c>
      <c r="G4" t="s">
        <v>195</v>
      </c>
      <c r="H4" s="5">
        <v>98760</v>
      </c>
      <c r="I4" s="12">
        <v>46052</v>
      </c>
      <c r="J4" s="15">
        <v>60</v>
      </c>
      <c r="K4" s="15">
        <v>7</v>
      </c>
      <c r="L4" s="9">
        <v>0.16819999999999999</v>
      </c>
      <c r="M4" s="9">
        <v>4.7600000000000003E-2</v>
      </c>
      <c r="N4" s="15">
        <v>8</v>
      </c>
      <c r="O4" t="s">
        <v>28</v>
      </c>
      <c r="P4" t="s">
        <v>28</v>
      </c>
      <c r="Q4" s="24">
        <v>0.9</v>
      </c>
      <c r="R4" s="5">
        <f t="shared" si="0"/>
        <v>2730.6463561643827</v>
      </c>
      <c r="S4" s="5">
        <f t="shared" si="1"/>
        <v>103.03509041095892</v>
      </c>
      <c r="T4" s="5">
        <f t="shared" si="2"/>
        <v>2627.6112657534236</v>
      </c>
      <c r="U4" s="15">
        <f t="shared" si="3"/>
        <v>52</v>
      </c>
      <c r="V4" s="3">
        <f t="shared" si="4"/>
        <v>10719.410399999999</v>
      </c>
      <c r="W4" s="3">
        <f t="shared" si="5"/>
        <v>3</v>
      </c>
    </row>
    <row r="5" spans="1:23" x14ac:dyDescent="0.2">
      <c r="A5" t="s">
        <v>51</v>
      </c>
      <c r="B5" t="s">
        <v>52</v>
      </c>
      <c r="C5" t="s">
        <v>41</v>
      </c>
      <c r="D5" t="s">
        <v>37</v>
      </c>
      <c r="E5" t="s">
        <v>49</v>
      </c>
      <c r="F5" s="7">
        <v>876116</v>
      </c>
      <c r="G5" t="s">
        <v>53</v>
      </c>
      <c r="H5" s="5">
        <v>109973</v>
      </c>
      <c r="I5" s="12">
        <v>45797</v>
      </c>
      <c r="J5" s="15">
        <v>60</v>
      </c>
      <c r="K5" s="15">
        <v>3</v>
      </c>
      <c r="L5" s="9">
        <v>0.1686</v>
      </c>
      <c r="M5" s="9">
        <v>4.7600000000000003E-2</v>
      </c>
      <c r="N5" s="15">
        <v>10</v>
      </c>
      <c r="O5" t="s">
        <v>27</v>
      </c>
      <c r="P5" t="s">
        <v>28</v>
      </c>
      <c r="Q5" s="24">
        <v>0.8</v>
      </c>
      <c r="R5" s="5">
        <f t="shared" si="0"/>
        <v>3047.9092273972606</v>
      </c>
      <c r="S5" s="5">
        <f t="shared" si="1"/>
        <v>143.41684383561645</v>
      </c>
      <c r="T5" s="5">
        <f t="shared" si="2"/>
        <v>2904.4923835616441</v>
      </c>
      <c r="U5" s="15">
        <f t="shared" si="3"/>
        <v>50</v>
      </c>
      <c r="V5" s="3">
        <f t="shared" si="4"/>
        <v>10645.386399999999</v>
      </c>
      <c r="W5" s="3">
        <f t="shared" si="5"/>
        <v>4</v>
      </c>
    </row>
    <row r="6" spans="1:23" x14ac:dyDescent="0.2">
      <c r="A6" t="s">
        <v>109</v>
      </c>
      <c r="B6" t="s">
        <v>110</v>
      </c>
      <c r="C6" t="s">
        <v>41</v>
      </c>
      <c r="D6" t="s">
        <v>37</v>
      </c>
      <c r="E6" t="s">
        <v>49</v>
      </c>
      <c r="F6" s="7">
        <v>1383695</v>
      </c>
      <c r="G6" t="s">
        <v>238</v>
      </c>
      <c r="H6" s="5">
        <v>109426</v>
      </c>
      <c r="I6" s="12">
        <v>45794</v>
      </c>
      <c r="J6" s="15">
        <v>60</v>
      </c>
      <c r="K6" s="15">
        <v>5</v>
      </c>
      <c r="L6" s="9">
        <v>0.16850000000000001</v>
      </c>
      <c r="M6" s="9">
        <v>5.1799999999999999E-2</v>
      </c>
      <c r="N6" s="15">
        <v>6</v>
      </c>
      <c r="O6" t="s">
        <v>27</v>
      </c>
      <c r="P6" t="s">
        <v>28</v>
      </c>
      <c r="Q6" s="24">
        <v>0.8</v>
      </c>
      <c r="R6" s="5">
        <f t="shared" si="0"/>
        <v>3030.9503013698632</v>
      </c>
      <c r="S6" s="5">
        <f t="shared" si="1"/>
        <v>93.17698849315066</v>
      </c>
      <c r="T6" s="5">
        <f t="shared" si="2"/>
        <v>2937.7733128767127</v>
      </c>
      <c r="U6" s="15">
        <f t="shared" si="3"/>
        <v>54</v>
      </c>
      <c r="V6" s="3">
        <f t="shared" si="4"/>
        <v>10216.011360000002</v>
      </c>
      <c r="W6" s="3">
        <f t="shared" si="5"/>
        <v>5</v>
      </c>
    </row>
    <row r="7" spans="1:23" x14ac:dyDescent="0.2">
      <c r="A7" t="s">
        <v>252</v>
      </c>
      <c r="B7" t="s">
        <v>89</v>
      </c>
      <c r="C7" t="s">
        <v>31</v>
      </c>
      <c r="D7" t="s">
        <v>24</v>
      </c>
      <c r="E7" t="s">
        <v>49</v>
      </c>
      <c r="F7" s="7">
        <v>971327</v>
      </c>
      <c r="G7" t="s">
        <v>1307</v>
      </c>
      <c r="H7" s="5">
        <v>99659</v>
      </c>
      <c r="I7" s="12">
        <v>46039</v>
      </c>
      <c r="J7" s="15">
        <v>90</v>
      </c>
      <c r="K7" s="15">
        <v>3</v>
      </c>
      <c r="L7" s="9">
        <v>0.15229999999999999</v>
      </c>
      <c r="M7" s="9">
        <v>4.5499999999999999E-2</v>
      </c>
      <c r="N7" s="15">
        <v>10</v>
      </c>
      <c r="O7" t="s">
        <v>27</v>
      </c>
      <c r="P7" t="s">
        <v>28</v>
      </c>
      <c r="Q7" s="24">
        <v>0.9</v>
      </c>
      <c r="R7" s="5">
        <f t="shared" si="0"/>
        <v>3742.5367479452052</v>
      </c>
      <c r="S7" s="5">
        <f t="shared" si="1"/>
        <v>124.23245205479451</v>
      </c>
      <c r="T7" s="5">
        <f t="shared" si="2"/>
        <v>3618.3042958904107</v>
      </c>
      <c r="U7" s="15">
        <f t="shared" si="3"/>
        <v>80</v>
      </c>
      <c r="V7" s="3">
        <f t="shared" si="4"/>
        <v>9579.2230799999998</v>
      </c>
      <c r="W7" s="3">
        <f t="shared" si="5"/>
        <v>6</v>
      </c>
    </row>
    <row r="8" spans="1:23" x14ac:dyDescent="0.2">
      <c r="A8" t="s">
        <v>105</v>
      </c>
      <c r="B8" t="s">
        <v>106</v>
      </c>
      <c r="C8" t="s">
        <v>41</v>
      </c>
      <c r="D8" t="s">
        <v>66</v>
      </c>
      <c r="E8" t="s">
        <v>49</v>
      </c>
      <c r="F8" s="7">
        <v>1373788</v>
      </c>
      <c r="G8" t="s">
        <v>107</v>
      </c>
      <c r="H8" s="5">
        <v>94978</v>
      </c>
      <c r="I8" s="12">
        <v>45878</v>
      </c>
      <c r="J8" s="15">
        <v>60</v>
      </c>
      <c r="K8" s="15">
        <v>10</v>
      </c>
      <c r="L8" s="9">
        <v>0.17660000000000001</v>
      </c>
      <c r="M8" s="9">
        <v>5.1499999999999997E-2</v>
      </c>
      <c r="N8" s="15">
        <v>10</v>
      </c>
      <c r="O8" t="s">
        <v>27</v>
      </c>
      <c r="P8" t="s">
        <v>28</v>
      </c>
      <c r="Q8" s="24">
        <v>0.8</v>
      </c>
      <c r="R8" s="5">
        <f t="shared" si="0"/>
        <v>2757.2243506849313</v>
      </c>
      <c r="S8" s="5">
        <f t="shared" si="1"/>
        <v>134.01005479452053</v>
      </c>
      <c r="T8" s="5">
        <f t="shared" si="2"/>
        <v>2623.214295890411</v>
      </c>
      <c r="U8" s="15">
        <f t="shared" si="3"/>
        <v>50</v>
      </c>
      <c r="V8" s="3">
        <f t="shared" si="4"/>
        <v>9505.3982400000023</v>
      </c>
      <c r="W8" s="3">
        <f t="shared" si="5"/>
        <v>7</v>
      </c>
    </row>
    <row r="9" spans="1:23" x14ac:dyDescent="0.2">
      <c r="A9" t="s">
        <v>325</v>
      </c>
      <c r="B9" t="s">
        <v>326</v>
      </c>
      <c r="C9" t="s">
        <v>36</v>
      </c>
      <c r="D9" t="s">
        <v>48</v>
      </c>
      <c r="E9" t="s">
        <v>49</v>
      </c>
      <c r="F9" s="7">
        <v>467236</v>
      </c>
      <c r="G9" t="s">
        <v>1104</v>
      </c>
      <c r="H9" s="5">
        <v>90097</v>
      </c>
      <c r="I9" s="12">
        <v>46005</v>
      </c>
      <c r="J9" s="15">
        <v>60</v>
      </c>
      <c r="K9" s="15">
        <v>4</v>
      </c>
      <c r="L9" s="9">
        <v>0.1757</v>
      </c>
      <c r="M9" s="9">
        <v>4.5699999999999998E-2</v>
      </c>
      <c r="N9" s="15">
        <v>8</v>
      </c>
      <c r="O9" t="s">
        <v>27</v>
      </c>
      <c r="P9" t="s">
        <v>28</v>
      </c>
      <c r="Q9" s="24">
        <v>0.8</v>
      </c>
      <c r="R9" s="5">
        <f t="shared" si="0"/>
        <v>2602.1988328767125</v>
      </c>
      <c r="S9" s="5">
        <f t="shared" si="1"/>
        <v>90.245104657534242</v>
      </c>
      <c r="T9" s="5">
        <f t="shared" si="2"/>
        <v>2511.9537282191782</v>
      </c>
      <c r="U9" s="15">
        <f t="shared" si="3"/>
        <v>52</v>
      </c>
      <c r="V9" s="3">
        <f t="shared" si="4"/>
        <v>9370.0880000000016</v>
      </c>
      <c r="W9" s="3">
        <f t="shared" si="5"/>
        <v>8</v>
      </c>
    </row>
    <row r="10" spans="1:23" x14ac:dyDescent="0.2">
      <c r="A10" t="s">
        <v>716</v>
      </c>
      <c r="B10" t="s">
        <v>717</v>
      </c>
      <c r="C10" t="s">
        <v>31</v>
      </c>
      <c r="D10" t="s">
        <v>37</v>
      </c>
      <c r="E10" t="s">
        <v>49</v>
      </c>
      <c r="F10" s="7">
        <v>1439462</v>
      </c>
      <c r="G10" t="s">
        <v>1659</v>
      </c>
      <c r="H10" s="5">
        <v>95270</v>
      </c>
      <c r="I10" s="12">
        <v>46014</v>
      </c>
      <c r="J10" s="15">
        <v>60</v>
      </c>
      <c r="K10" s="15">
        <v>2</v>
      </c>
      <c r="L10" s="9">
        <v>0.17130000000000001</v>
      </c>
      <c r="M10" s="9">
        <v>5.1200000000000002E-2</v>
      </c>
      <c r="N10" s="15">
        <v>10</v>
      </c>
      <c r="O10" t="s">
        <v>27</v>
      </c>
      <c r="P10" t="s">
        <v>28</v>
      </c>
      <c r="Q10" s="24">
        <v>0.8</v>
      </c>
      <c r="R10" s="5">
        <f t="shared" si="0"/>
        <v>2682.6987945205478</v>
      </c>
      <c r="S10" s="5">
        <f t="shared" si="1"/>
        <v>133.63901369863015</v>
      </c>
      <c r="T10" s="5">
        <f t="shared" si="2"/>
        <v>2549.0597808219177</v>
      </c>
      <c r="U10" s="15">
        <f t="shared" si="3"/>
        <v>50</v>
      </c>
      <c r="V10" s="3">
        <f t="shared" si="4"/>
        <v>9153.5416000000005</v>
      </c>
      <c r="W10" s="3">
        <f t="shared" si="5"/>
        <v>9</v>
      </c>
    </row>
    <row r="11" spans="1:23" x14ac:dyDescent="0.2">
      <c r="A11" t="s">
        <v>82</v>
      </c>
      <c r="B11" t="s">
        <v>83</v>
      </c>
      <c r="C11" t="s">
        <v>23</v>
      </c>
      <c r="D11" t="s">
        <v>66</v>
      </c>
      <c r="E11" t="s">
        <v>49</v>
      </c>
      <c r="F11" s="7">
        <v>946643</v>
      </c>
      <c r="G11" t="s">
        <v>1145</v>
      </c>
      <c r="H11" s="5">
        <v>99876</v>
      </c>
      <c r="I11" s="12">
        <v>45980</v>
      </c>
      <c r="J11" s="15">
        <v>90</v>
      </c>
      <c r="K11" s="15">
        <v>10</v>
      </c>
      <c r="L11" s="9">
        <v>0.1648</v>
      </c>
      <c r="M11" s="9">
        <v>5.0500000000000003E-2</v>
      </c>
      <c r="N11" s="15">
        <v>5</v>
      </c>
      <c r="O11" t="s">
        <v>27</v>
      </c>
      <c r="P11" t="s">
        <v>28</v>
      </c>
      <c r="Q11" s="24">
        <v>0.8</v>
      </c>
      <c r="R11" s="5">
        <f t="shared" si="0"/>
        <v>4058.5228273972602</v>
      </c>
      <c r="S11" s="5">
        <f t="shared" si="1"/>
        <v>69.092301369863009</v>
      </c>
      <c r="T11" s="5">
        <f t="shared" si="2"/>
        <v>3989.4305260273973</v>
      </c>
      <c r="U11" s="15">
        <f t="shared" si="3"/>
        <v>85</v>
      </c>
      <c r="V11" s="3">
        <f t="shared" si="4"/>
        <v>9132.6614399999999</v>
      </c>
      <c r="W11" s="3">
        <f t="shared" si="5"/>
        <v>10</v>
      </c>
    </row>
    <row r="12" spans="1:23" x14ac:dyDescent="0.2">
      <c r="A12" t="s">
        <v>82</v>
      </c>
      <c r="B12" t="s">
        <v>83</v>
      </c>
      <c r="C12" t="s">
        <v>23</v>
      </c>
      <c r="D12" t="s">
        <v>66</v>
      </c>
      <c r="E12" t="s">
        <v>49</v>
      </c>
      <c r="F12" s="7">
        <v>946643</v>
      </c>
      <c r="G12" t="s">
        <v>876</v>
      </c>
      <c r="H12" s="5">
        <v>99932</v>
      </c>
      <c r="I12" s="12">
        <v>45897</v>
      </c>
      <c r="J12" s="15">
        <v>60</v>
      </c>
      <c r="K12" s="15">
        <v>2</v>
      </c>
      <c r="L12" s="9">
        <v>0.1648</v>
      </c>
      <c r="M12" s="9">
        <v>6.4500000000000002E-2</v>
      </c>
      <c r="N12" s="15">
        <v>8</v>
      </c>
      <c r="O12" t="s">
        <v>27</v>
      </c>
      <c r="P12" t="s">
        <v>28</v>
      </c>
      <c r="Q12" s="24">
        <v>0.9</v>
      </c>
      <c r="R12" s="5">
        <f t="shared" si="0"/>
        <v>2707.1989479452054</v>
      </c>
      <c r="S12" s="5">
        <f t="shared" si="1"/>
        <v>141.27373150684932</v>
      </c>
      <c r="T12" s="5">
        <f t="shared" si="2"/>
        <v>2565.9252164383561</v>
      </c>
      <c r="U12" s="15">
        <f t="shared" si="3"/>
        <v>52</v>
      </c>
      <c r="V12" s="3">
        <f t="shared" si="4"/>
        <v>9020.861640000001</v>
      </c>
      <c r="W12" s="3">
        <f t="shared" si="5"/>
        <v>11</v>
      </c>
    </row>
    <row r="13" spans="1:23" x14ac:dyDescent="0.2">
      <c r="A13" t="s">
        <v>127</v>
      </c>
      <c r="B13" t="s">
        <v>128</v>
      </c>
      <c r="C13" t="s">
        <v>31</v>
      </c>
      <c r="D13" t="s">
        <v>66</v>
      </c>
      <c r="E13" t="s">
        <v>49</v>
      </c>
      <c r="F13" s="7">
        <v>261628</v>
      </c>
      <c r="G13" t="s">
        <v>1211</v>
      </c>
      <c r="H13" s="5">
        <v>105871</v>
      </c>
      <c r="I13" s="12">
        <v>45865</v>
      </c>
      <c r="J13" s="15">
        <v>60</v>
      </c>
      <c r="K13" s="15">
        <v>4</v>
      </c>
      <c r="L13" s="9">
        <v>0.17249999999999999</v>
      </c>
      <c r="M13" s="9">
        <v>4.5199999999999997E-2</v>
      </c>
      <c r="N13" s="15">
        <v>7</v>
      </c>
      <c r="O13" t="s">
        <v>27</v>
      </c>
      <c r="P13" t="s">
        <v>28</v>
      </c>
      <c r="Q13" s="24">
        <v>0.65</v>
      </c>
      <c r="R13" s="5">
        <f t="shared" si="0"/>
        <v>3002.0954794520544</v>
      </c>
      <c r="S13" s="5">
        <f t="shared" si="1"/>
        <v>91.774203835616447</v>
      </c>
      <c r="T13" s="5">
        <f t="shared" si="2"/>
        <v>2910.321275616438</v>
      </c>
      <c r="U13" s="15">
        <f t="shared" si="3"/>
        <v>53</v>
      </c>
      <c r="V13" s="3">
        <f t="shared" si="4"/>
        <v>8760.2958949999993</v>
      </c>
      <c r="W13" s="3">
        <f t="shared" si="5"/>
        <v>12</v>
      </c>
    </row>
    <row r="14" spans="1:23" x14ac:dyDescent="0.2">
      <c r="A14" t="s">
        <v>233</v>
      </c>
      <c r="B14" t="s">
        <v>59</v>
      </c>
      <c r="C14" t="s">
        <v>77</v>
      </c>
      <c r="D14" t="s">
        <v>66</v>
      </c>
      <c r="E14" t="s">
        <v>49</v>
      </c>
      <c r="F14" s="7">
        <v>809893</v>
      </c>
      <c r="G14" t="s">
        <v>1102</v>
      </c>
      <c r="H14" s="5">
        <v>104090</v>
      </c>
      <c r="I14" s="12">
        <v>45858</v>
      </c>
      <c r="J14" s="15">
        <v>60</v>
      </c>
      <c r="K14" s="15">
        <v>5</v>
      </c>
      <c r="L14" s="9">
        <v>0.15909999999999999</v>
      </c>
      <c r="M14" s="9">
        <v>5.4399999999999997E-2</v>
      </c>
      <c r="N14" s="15">
        <v>8</v>
      </c>
      <c r="O14" t="s">
        <v>27</v>
      </c>
      <c r="P14" t="s">
        <v>28</v>
      </c>
      <c r="Q14" s="24">
        <v>0.8</v>
      </c>
      <c r="R14" s="5">
        <f t="shared" si="0"/>
        <v>2722.309972602739</v>
      </c>
      <c r="S14" s="5">
        <f t="shared" si="1"/>
        <v>124.10950136986301</v>
      </c>
      <c r="T14" s="5">
        <f t="shared" si="2"/>
        <v>2598.2004712328758</v>
      </c>
      <c r="U14" s="15">
        <f t="shared" si="3"/>
        <v>52</v>
      </c>
      <c r="V14" s="3">
        <f t="shared" si="4"/>
        <v>8718.5784000000003</v>
      </c>
      <c r="W14" s="3">
        <f t="shared" si="5"/>
        <v>13</v>
      </c>
    </row>
    <row r="15" spans="1:23" x14ac:dyDescent="0.2">
      <c r="A15" t="s">
        <v>127</v>
      </c>
      <c r="B15" t="s">
        <v>128</v>
      </c>
      <c r="C15" t="s">
        <v>31</v>
      </c>
      <c r="D15" t="s">
        <v>66</v>
      </c>
      <c r="E15" t="s">
        <v>49</v>
      </c>
      <c r="F15" s="7">
        <v>261628</v>
      </c>
      <c r="G15" t="s">
        <v>854</v>
      </c>
      <c r="H15" s="5">
        <v>87385</v>
      </c>
      <c r="I15" s="12">
        <v>45912</v>
      </c>
      <c r="J15" s="15">
        <v>90</v>
      </c>
      <c r="K15" s="15">
        <v>4</v>
      </c>
      <c r="L15" s="9">
        <v>0.17249999999999999</v>
      </c>
      <c r="M15" s="9">
        <v>6.3500000000000001E-2</v>
      </c>
      <c r="N15" s="15">
        <v>10</v>
      </c>
      <c r="O15" t="s">
        <v>27</v>
      </c>
      <c r="P15" t="s">
        <v>28</v>
      </c>
      <c r="Q15" s="24">
        <v>0.9</v>
      </c>
      <c r="R15" s="5">
        <f t="shared" si="0"/>
        <v>3716.8551369863007</v>
      </c>
      <c r="S15" s="5">
        <f t="shared" si="1"/>
        <v>152.02595890410959</v>
      </c>
      <c r="T15" s="5">
        <f t="shared" si="2"/>
        <v>3564.829178082191</v>
      </c>
      <c r="U15" s="15">
        <f t="shared" si="3"/>
        <v>80</v>
      </c>
      <c r="V15" s="3">
        <f t="shared" si="4"/>
        <v>8572.468499999999</v>
      </c>
      <c r="W15" s="3">
        <f t="shared" si="5"/>
        <v>14</v>
      </c>
    </row>
    <row r="16" spans="1:23" x14ac:dyDescent="0.2">
      <c r="A16" t="s">
        <v>193</v>
      </c>
      <c r="B16" t="s">
        <v>194</v>
      </c>
      <c r="C16" t="s">
        <v>31</v>
      </c>
      <c r="D16" t="s">
        <v>66</v>
      </c>
      <c r="E16" t="s">
        <v>49</v>
      </c>
      <c r="F16" s="7">
        <v>764840</v>
      </c>
      <c r="G16" t="s">
        <v>619</v>
      </c>
      <c r="H16" s="5">
        <v>75001</v>
      </c>
      <c r="I16" s="12">
        <v>45910</v>
      </c>
      <c r="J16" s="15">
        <v>60</v>
      </c>
      <c r="K16" s="15">
        <v>2</v>
      </c>
      <c r="L16" s="9">
        <v>0.16819999999999999</v>
      </c>
      <c r="M16" s="9">
        <v>4.53E-2</v>
      </c>
      <c r="N16" s="15">
        <v>5</v>
      </c>
      <c r="O16" t="s">
        <v>27</v>
      </c>
      <c r="P16" t="s">
        <v>28</v>
      </c>
      <c r="Q16" s="24">
        <v>0.9</v>
      </c>
      <c r="R16" s="5">
        <f t="shared" si="0"/>
        <v>2073.7262794520543</v>
      </c>
      <c r="S16" s="5">
        <f t="shared" si="1"/>
        <v>46.541716438356168</v>
      </c>
      <c r="T16" s="5">
        <f t="shared" si="2"/>
        <v>2027.1845630136982</v>
      </c>
      <c r="U16" s="15">
        <f t="shared" si="3"/>
        <v>55</v>
      </c>
      <c r="V16" s="3">
        <f t="shared" si="4"/>
        <v>8295.8606099999997</v>
      </c>
      <c r="W16" s="3">
        <f t="shared" si="5"/>
        <v>15</v>
      </c>
    </row>
    <row r="17" spans="1:23" x14ac:dyDescent="0.2">
      <c r="A17" t="s">
        <v>105</v>
      </c>
      <c r="B17" t="s">
        <v>106</v>
      </c>
      <c r="C17" t="s">
        <v>41</v>
      </c>
      <c r="D17" t="s">
        <v>66</v>
      </c>
      <c r="E17" t="s">
        <v>49</v>
      </c>
      <c r="F17" s="7">
        <v>1373788</v>
      </c>
      <c r="G17" t="s">
        <v>1110</v>
      </c>
      <c r="H17" s="5">
        <v>99432</v>
      </c>
      <c r="I17" s="12">
        <v>45813</v>
      </c>
      <c r="J17" s="15">
        <v>60</v>
      </c>
      <c r="K17" s="15">
        <v>3</v>
      </c>
      <c r="L17" s="9">
        <v>0.17660000000000001</v>
      </c>
      <c r="M17" s="9">
        <v>4.9000000000000002E-2</v>
      </c>
      <c r="N17" s="15">
        <v>10</v>
      </c>
      <c r="O17" t="s">
        <v>27</v>
      </c>
      <c r="P17" t="s">
        <v>28</v>
      </c>
      <c r="Q17" s="24">
        <v>0.65</v>
      </c>
      <c r="R17" s="5">
        <f t="shared" si="0"/>
        <v>2886.5245808219179</v>
      </c>
      <c r="S17" s="5">
        <f t="shared" si="1"/>
        <v>133.48405479452055</v>
      </c>
      <c r="T17" s="5">
        <f t="shared" si="2"/>
        <v>2753.0405260273974</v>
      </c>
      <c r="U17" s="15">
        <f t="shared" si="3"/>
        <v>50</v>
      </c>
      <c r="V17" s="3">
        <f t="shared" si="4"/>
        <v>8246.8900799999992</v>
      </c>
      <c r="W17" s="3">
        <f t="shared" si="5"/>
        <v>16</v>
      </c>
    </row>
    <row r="18" spans="1:23" x14ac:dyDescent="0.2">
      <c r="A18" t="s">
        <v>252</v>
      </c>
      <c r="B18" t="s">
        <v>89</v>
      </c>
      <c r="C18" t="s">
        <v>31</v>
      </c>
      <c r="D18" t="s">
        <v>24</v>
      </c>
      <c r="E18" t="s">
        <v>49</v>
      </c>
      <c r="F18" s="7">
        <v>971327</v>
      </c>
      <c r="G18" t="s">
        <v>1109</v>
      </c>
      <c r="H18" s="5">
        <v>100225</v>
      </c>
      <c r="I18" s="12">
        <v>45702</v>
      </c>
      <c r="J18" s="15">
        <v>60</v>
      </c>
      <c r="K18" s="15">
        <v>4</v>
      </c>
      <c r="L18" s="9">
        <v>0.15229999999999999</v>
      </c>
      <c r="M18" s="9">
        <v>6.0900000000000003E-2</v>
      </c>
      <c r="N18" s="15">
        <v>6</v>
      </c>
      <c r="O18" t="s">
        <v>27</v>
      </c>
      <c r="P18" t="s">
        <v>28</v>
      </c>
      <c r="Q18" s="24">
        <v>0.9</v>
      </c>
      <c r="R18" s="5">
        <f t="shared" si="0"/>
        <v>2509.1946575342463</v>
      </c>
      <c r="S18" s="5">
        <f t="shared" si="1"/>
        <v>100.33483561643835</v>
      </c>
      <c r="T18" s="5">
        <f t="shared" si="2"/>
        <v>2408.8598219178079</v>
      </c>
      <c r="U18" s="15">
        <f t="shared" si="3"/>
        <v>54</v>
      </c>
      <c r="V18" s="3">
        <f t="shared" si="4"/>
        <v>8244.5084999999981</v>
      </c>
      <c r="W18" s="3">
        <f t="shared" si="5"/>
        <v>17</v>
      </c>
    </row>
    <row r="19" spans="1:23" x14ac:dyDescent="0.2">
      <c r="A19" t="s">
        <v>271</v>
      </c>
      <c r="B19" t="s">
        <v>128</v>
      </c>
      <c r="C19" t="s">
        <v>36</v>
      </c>
      <c r="D19" t="s">
        <v>37</v>
      </c>
      <c r="E19" t="s">
        <v>49</v>
      </c>
      <c r="F19" s="7">
        <v>879139</v>
      </c>
      <c r="G19" t="s">
        <v>272</v>
      </c>
      <c r="H19" s="5">
        <v>95238</v>
      </c>
      <c r="I19" s="12">
        <v>45744</v>
      </c>
      <c r="J19" s="15">
        <v>90</v>
      </c>
      <c r="K19" s="15">
        <v>4</v>
      </c>
      <c r="L19" s="9">
        <v>0.14199999999999999</v>
      </c>
      <c r="M19" s="9">
        <v>4.7500000000000001E-2</v>
      </c>
      <c r="N19" s="15">
        <v>7</v>
      </c>
      <c r="O19" t="s">
        <v>27</v>
      </c>
      <c r="P19" t="s">
        <v>28</v>
      </c>
      <c r="Q19" s="24">
        <v>0.9</v>
      </c>
      <c r="R19" s="5">
        <f t="shared" si="0"/>
        <v>3334.6346301369858</v>
      </c>
      <c r="S19" s="5">
        <f t="shared" si="1"/>
        <v>86.757904109589049</v>
      </c>
      <c r="T19" s="5">
        <f t="shared" si="2"/>
        <v>3247.8767260273967</v>
      </c>
      <c r="U19" s="15">
        <f t="shared" si="3"/>
        <v>83</v>
      </c>
      <c r="V19" s="3">
        <f t="shared" si="4"/>
        <v>8099.9918999999991</v>
      </c>
      <c r="W19" s="3">
        <f t="shared" si="5"/>
        <v>18</v>
      </c>
    </row>
    <row r="20" spans="1:23" x14ac:dyDescent="0.2">
      <c r="A20" t="s">
        <v>308</v>
      </c>
      <c r="B20" t="s">
        <v>309</v>
      </c>
      <c r="C20" t="s">
        <v>31</v>
      </c>
      <c r="D20" t="s">
        <v>24</v>
      </c>
      <c r="E20" t="s">
        <v>49</v>
      </c>
      <c r="F20" s="7">
        <v>1224427</v>
      </c>
      <c r="G20" t="s">
        <v>310</v>
      </c>
      <c r="H20" s="5">
        <v>92147</v>
      </c>
      <c r="I20" s="12">
        <v>45902</v>
      </c>
      <c r="J20" s="15">
        <v>90</v>
      </c>
      <c r="K20" s="15">
        <v>10</v>
      </c>
      <c r="L20" s="9">
        <v>0.15670000000000001</v>
      </c>
      <c r="M20" s="9">
        <v>5.9499999999999997E-2</v>
      </c>
      <c r="N20" s="15">
        <v>6</v>
      </c>
      <c r="O20" t="s">
        <v>27</v>
      </c>
      <c r="P20" t="s">
        <v>28</v>
      </c>
      <c r="Q20" s="24">
        <v>0.9</v>
      </c>
      <c r="R20" s="5">
        <f t="shared" si="0"/>
        <v>3560.408605479452</v>
      </c>
      <c r="S20" s="5">
        <f t="shared" si="1"/>
        <v>90.127339726027387</v>
      </c>
      <c r="T20" s="5">
        <f t="shared" si="2"/>
        <v>3470.2812657534246</v>
      </c>
      <c r="U20" s="15">
        <f t="shared" si="3"/>
        <v>84</v>
      </c>
      <c r="V20" s="3">
        <f t="shared" si="4"/>
        <v>8061.0195600000015</v>
      </c>
      <c r="W20" s="3">
        <f t="shared" si="5"/>
        <v>19</v>
      </c>
    </row>
    <row r="21" spans="1:23" x14ac:dyDescent="0.2">
      <c r="A21" t="s">
        <v>247</v>
      </c>
      <c r="B21" t="s">
        <v>47</v>
      </c>
      <c r="C21" t="s">
        <v>31</v>
      </c>
      <c r="D21" t="s">
        <v>48</v>
      </c>
      <c r="E21" t="s">
        <v>49</v>
      </c>
      <c r="F21" s="7">
        <v>1089809</v>
      </c>
      <c r="G21" t="s">
        <v>852</v>
      </c>
      <c r="H21" s="5">
        <v>81081</v>
      </c>
      <c r="I21" s="12">
        <v>45928</v>
      </c>
      <c r="J21" s="15">
        <v>60</v>
      </c>
      <c r="K21" s="15">
        <v>3</v>
      </c>
      <c r="L21" s="9">
        <v>0.16689999999999999</v>
      </c>
      <c r="M21" s="9">
        <v>5.8900000000000001E-2</v>
      </c>
      <c r="N21" s="15">
        <v>10</v>
      </c>
      <c r="O21" t="s">
        <v>28</v>
      </c>
      <c r="P21" t="s">
        <v>28</v>
      </c>
      <c r="Q21" s="24">
        <v>0.9</v>
      </c>
      <c r="R21" s="5">
        <f t="shared" si="0"/>
        <v>2224.507216438356</v>
      </c>
      <c r="S21" s="5">
        <f t="shared" si="1"/>
        <v>130.84029863013697</v>
      </c>
      <c r="T21" s="5">
        <f t="shared" si="2"/>
        <v>2093.6669178082188</v>
      </c>
      <c r="U21" s="15">
        <f t="shared" si="3"/>
        <v>50</v>
      </c>
      <c r="V21" s="3">
        <f t="shared" si="4"/>
        <v>7881.0731999999998</v>
      </c>
      <c r="W21" s="3">
        <f t="shared" si="5"/>
        <v>20</v>
      </c>
    </row>
    <row r="22" spans="1:23" x14ac:dyDescent="0.2">
      <c r="A22" t="s">
        <v>88</v>
      </c>
      <c r="B22" t="s">
        <v>89</v>
      </c>
      <c r="C22" t="s">
        <v>23</v>
      </c>
      <c r="D22" t="s">
        <v>66</v>
      </c>
      <c r="E22" t="s">
        <v>49</v>
      </c>
      <c r="F22" s="7">
        <v>896464</v>
      </c>
      <c r="G22" t="s">
        <v>991</v>
      </c>
      <c r="H22" s="5">
        <v>109722</v>
      </c>
      <c r="I22" s="12">
        <v>46076</v>
      </c>
      <c r="J22" s="15">
        <v>60</v>
      </c>
      <c r="K22" s="15">
        <v>5</v>
      </c>
      <c r="L22" s="9">
        <v>0.13550000000000001</v>
      </c>
      <c r="M22" s="9">
        <v>5.6300000000000003E-2</v>
      </c>
      <c r="N22" s="15">
        <v>7</v>
      </c>
      <c r="O22" t="s">
        <v>27</v>
      </c>
      <c r="P22" t="s">
        <v>28</v>
      </c>
      <c r="Q22" s="24">
        <v>0.9</v>
      </c>
      <c r="R22" s="5">
        <f t="shared" si="0"/>
        <v>2443.944821917808</v>
      </c>
      <c r="S22" s="5">
        <f t="shared" si="1"/>
        <v>118.46969917808221</v>
      </c>
      <c r="T22" s="5">
        <f t="shared" si="2"/>
        <v>2325.475122739726</v>
      </c>
      <c r="U22" s="15">
        <f t="shared" si="3"/>
        <v>53</v>
      </c>
      <c r="V22" s="3">
        <f t="shared" si="4"/>
        <v>7820.9841600000009</v>
      </c>
      <c r="W22" s="3">
        <f t="shared" si="5"/>
        <v>21</v>
      </c>
    </row>
    <row r="23" spans="1:23" x14ac:dyDescent="0.2">
      <c r="A23" t="s">
        <v>530</v>
      </c>
      <c r="B23" t="s">
        <v>531</v>
      </c>
      <c r="C23" t="s">
        <v>36</v>
      </c>
      <c r="D23" t="s">
        <v>37</v>
      </c>
      <c r="E23" t="s">
        <v>49</v>
      </c>
      <c r="F23" s="7">
        <v>701545</v>
      </c>
      <c r="G23" t="s">
        <v>1231</v>
      </c>
      <c r="H23" s="5">
        <v>71105</v>
      </c>
      <c r="I23" s="12">
        <v>46041</v>
      </c>
      <c r="J23" s="15">
        <v>45</v>
      </c>
      <c r="K23" s="15">
        <v>3</v>
      </c>
      <c r="L23" s="9">
        <v>0.17699999999999999</v>
      </c>
      <c r="M23" s="9">
        <v>5.5100000000000003E-2</v>
      </c>
      <c r="N23" s="15">
        <v>8</v>
      </c>
      <c r="O23" t="s">
        <v>28</v>
      </c>
      <c r="P23" t="s">
        <v>28</v>
      </c>
      <c r="Q23" s="24">
        <v>0.9</v>
      </c>
      <c r="R23" s="5">
        <f t="shared" si="0"/>
        <v>1551.6474657534245</v>
      </c>
      <c r="S23" s="5">
        <f t="shared" si="1"/>
        <v>85.871463013698644</v>
      </c>
      <c r="T23" s="5">
        <f t="shared" si="2"/>
        <v>1465.7760027397258</v>
      </c>
      <c r="U23" s="15">
        <f t="shared" si="3"/>
        <v>37</v>
      </c>
      <c r="V23" s="3">
        <f t="shared" si="4"/>
        <v>7800.9295499999989</v>
      </c>
      <c r="W23" s="3">
        <f t="shared" si="5"/>
        <v>22</v>
      </c>
    </row>
    <row r="24" spans="1:23" x14ac:dyDescent="0.2">
      <c r="A24" t="s">
        <v>889</v>
      </c>
      <c r="B24" t="s">
        <v>286</v>
      </c>
      <c r="C24" t="s">
        <v>23</v>
      </c>
      <c r="D24" t="s">
        <v>66</v>
      </c>
      <c r="E24" t="s">
        <v>49</v>
      </c>
      <c r="F24" s="7">
        <v>1374525</v>
      </c>
      <c r="G24" t="s">
        <v>1410</v>
      </c>
      <c r="H24" s="5">
        <v>101320</v>
      </c>
      <c r="I24" s="12">
        <v>45925</v>
      </c>
      <c r="J24" s="15">
        <v>60</v>
      </c>
      <c r="K24" s="15">
        <v>10</v>
      </c>
      <c r="L24" s="9">
        <v>0.13320000000000001</v>
      </c>
      <c r="M24" s="9">
        <v>4.82E-2</v>
      </c>
      <c r="N24" s="15">
        <v>10</v>
      </c>
      <c r="O24" t="s">
        <v>27</v>
      </c>
      <c r="P24" t="s">
        <v>28</v>
      </c>
      <c r="Q24" s="24">
        <v>0.9</v>
      </c>
      <c r="R24" s="5">
        <f t="shared" si="0"/>
        <v>2218.4916164383562</v>
      </c>
      <c r="S24" s="5">
        <f t="shared" si="1"/>
        <v>133.79791780821915</v>
      </c>
      <c r="T24" s="5">
        <f t="shared" si="2"/>
        <v>2084.6936986301371</v>
      </c>
      <c r="U24" s="15">
        <f t="shared" si="3"/>
        <v>50</v>
      </c>
      <c r="V24" s="3">
        <f t="shared" si="4"/>
        <v>7750.9800000000023</v>
      </c>
      <c r="W24" s="3">
        <f t="shared" si="5"/>
        <v>23</v>
      </c>
    </row>
    <row r="25" spans="1:23" x14ac:dyDescent="0.2">
      <c r="A25" t="s">
        <v>716</v>
      </c>
      <c r="B25" t="s">
        <v>717</v>
      </c>
      <c r="C25" t="s">
        <v>31</v>
      </c>
      <c r="D25" t="s">
        <v>37</v>
      </c>
      <c r="E25" t="s">
        <v>49</v>
      </c>
      <c r="F25" s="7">
        <v>1439462</v>
      </c>
      <c r="G25" t="s">
        <v>1201</v>
      </c>
      <c r="H25" s="5">
        <v>78619</v>
      </c>
      <c r="I25" s="12">
        <v>45691</v>
      </c>
      <c r="J25" s="15">
        <v>90</v>
      </c>
      <c r="K25" s="15">
        <v>5</v>
      </c>
      <c r="L25" s="9">
        <v>0.17130000000000001</v>
      </c>
      <c r="M25" s="9">
        <v>4.9200000000000001E-2</v>
      </c>
      <c r="N25" s="15">
        <v>5</v>
      </c>
      <c r="O25" t="s">
        <v>27</v>
      </c>
      <c r="P25" t="s">
        <v>28</v>
      </c>
      <c r="Q25" s="24">
        <v>0.8</v>
      </c>
      <c r="R25" s="5">
        <f t="shared" si="0"/>
        <v>3320.7373232876712</v>
      </c>
      <c r="S25" s="5">
        <f t="shared" si="1"/>
        <v>52.987052054794518</v>
      </c>
      <c r="T25" s="5">
        <f t="shared" si="2"/>
        <v>3267.7502712328765</v>
      </c>
      <c r="U25" s="15">
        <f t="shared" si="3"/>
        <v>85</v>
      </c>
      <c r="V25" s="3">
        <f t="shared" si="4"/>
        <v>7679.503920000001</v>
      </c>
      <c r="W25" s="3">
        <f t="shared" si="5"/>
        <v>24</v>
      </c>
    </row>
    <row r="26" spans="1:23" x14ac:dyDescent="0.2">
      <c r="A26" t="s">
        <v>351</v>
      </c>
      <c r="B26" t="s">
        <v>352</v>
      </c>
      <c r="C26" t="s">
        <v>36</v>
      </c>
      <c r="D26" t="s">
        <v>24</v>
      </c>
      <c r="E26" t="s">
        <v>49</v>
      </c>
      <c r="F26" s="7">
        <v>1439833</v>
      </c>
      <c r="G26" t="s">
        <v>1781</v>
      </c>
      <c r="H26" s="5">
        <v>66378</v>
      </c>
      <c r="I26" s="12">
        <v>45750</v>
      </c>
      <c r="J26" s="15">
        <v>60</v>
      </c>
      <c r="K26" s="15">
        <v>5</v>
      </c>
      <c r="L26" s="9">
        <v>0.17630000000000001</v>
      </c>
      <c r="M26" s="9">
        <v>4.8399999999999999E-2</v>
      </c>
      <c r="N26" s="15">
        <v>10</v>
      </c>
      <c r="O26" t="s">
        <v>27</v>
      </c>
      <c r="P26" t="s">
        <v>28</v>
      </c>
      <c r="Q26" s="24">
        <v>0.9</v>
      </c>
      <c r="R26" s="5">
        <f t="shared" si="0"/>
        <v>1923.6889972602742</v>
      </c>
      <c r="S26" s="5">
        <f t="shared" si="1"/>
        <v>88.019046575342458</v>
      </c>
      <c r="T26" s="5">
        <f t="shared" si="2"/>
        <v>1835.6699506849318</v>
      </c>
      <c r="U26" s="15">
        <f t="shared" si="3"/>
        <v>50</v>
      </c>
      <c r="V26" s="3">
        <f t="shared" si="4"/>
        <v>7640.7715800000014</v>
      </c>
      <c r="W26" s="3">
        <f t="shared" si="5"/>
        <v>25</v>
      </c>
    </row>
    <row r="27" spans="1:23" x14ac:dyDescent="0.2">
      <c r="A27" t="s">
        <v>88</v>
      </c>
      <c r="B27" t="s">
        <v>89</v>
      </c>
      <c r="C27" t="s">
        <v>23</v>
      </c>
      <c r="D27" t="s">
        <v>66</v>
      </c>
      <c r="E27" t="s">
        <v>49</v>
      </c>
      <c r="F27" s="7">
        <v>896464</v>
      </c>
      <c r="G27" t="s">
        <v>1242</v>
      </c>
      <c r="H27" s="5">
        <v>97720</v>
      </c>
      <c r="I27" s="12">
        <v>45977</v>
      </c>
      <c r="J27" s="15">
        <v>60</v>
      </c>
      <c r="K27" s="15">
        <v>5</v>
      </c>
      <c r="L27" s="9">
        <v>0.13550000000000001</v>
      </c>
      <c r="M27" s="9">
        <v>4.9299999999999997E-2</v>
      </c>
      <c r="N27" s="15">
        <v>6</v>
      </c>
      <c r="O27" t="s">
        <v>28</v>
      </c>
      <c r="P27" t="s">
        <v>28</v>
      </c>
      <c r="Q27" s="24">
        <v>0.9</v>
      </c>
      <c r="R27" s="5">
        <f t="shared" si="0"/>
        <v>2176.6126027397263</v>
      </c>
      <c r="S27" s="5">
        <f t="shared" si="1"/>
        <v>79.193358904109573</v>
      </c>
      <c r="T27" s="5">
        <f t="shared" si="2"/>
        <v>2097.4192438356167</v>
      </c>
      <c r="U27" s="15">
        <f t="shared" si="3"/>
        <v>54</v>
      </c>
      <c r="V27" s="3">
        <f t="shared" si="4"/>
        <v>7581.1176000000014</v>
      </c>
      <c r="W27" s="3">
        <f t="shared" si="5"/>
        <v>26</v>
      </c>
    </row>
    <row r="28" spans="1:23" x14ac:dyDescent="0.2">
      <c r="A28" t="s">
        <v>582</v>
      </c>
      <c r="B28" t="s">
        <v>76</v>
      </c>
      <c r="C28" t="s">
        <v>36</v>
      </c>
      <c r="D28" t="s">
        <v>37</v>
      </c>
      <c r="E28" t="s">
        <v>49</v>
      </c>
      <c r="F28" s="7">
        <v>1336236</v>
      </c>
      <c r="G28" t="s">
        <v>1083</v>
      </c>
      <c r="H28" s="5">
        <v>98246</v>
      </c>
      <c r="I28" s="12">
        <v>46066</v>
      </c>
      <c r="J28" s="15">
        <v>30</v>
      </c>
      <c r="K28" s="15">
        <v>2</v>
      </c>
      <c r="L28" s="9">
        <v>0.14249999999999999</v>
      </c>
      <c r="M28" s="9">
        <v>5.8099999999999999E-2</v>
      </c>
      <c r="N28" s="15">
        <v>8</v>
      </c>
      <c r="O28" t="s">
        <v>27</v>
      </c>
      <c r="P28" t="s">
        <v>28</v>
      </c>
      <c r="Q28" s="24">
        <v>0.9</v>
      </c>
      <c r="R28" s="5">
        <f t="shared" si="0"/>
        <v>1150.6894520547944</v>
      </c>
      <c r="S28" s="5">
        <f t="shared" si="1"/>
        <v>125.10887890410959</v>
      </c>
      <c r="T28" s="5">
        <f t="shared" si="2"/>
        <v>1025.5805731506848</v>
      </c>
      <c r="U28" s="15">
        <f t="shared" si="3"/>
        <v>22</v>
      </c>
      <c r="V28" s="3">
        <f t="shared" si="4"/>
        <v>7462.7661599999983</v>
      </c>
      <c r="W28" s="3">
        <f t="shared" si="5"/>
        <v>27</v>
      </c>
    </row>
    <row r="29" spans="1:23" x14ac:dyDescent="0.2">
      <c r="A29" t="s">
        <v>401</v>
      </c>
      <c r="B29" t="s">
        <v>402</v>
      </c>
      <c r="C29" t="s">
        <v>41</v>
      </c>
      <c r="D29" t="s">
        <v>32</v>
      </c>
      <c r="E29" t="s">
        <v>25</v>
      </c>
      <c r="F29" s="7">
        <v>4153903</v>
      </c>
      <c r="G29" t="s">
        <v>476</v>
      </c>
      <c r="H29" s="5">
        <v>97798</v>
      </c>
      <c r="I29" s="12">
        <v>46016</v>
      </c>
      <c r="J29" s="15">
        <v>60</v>
      </c>
      <c r="K29" s="15">
        <v>2</v>
      </c>
      <c r="L29" s="9">
        <v>0.13669999999999999</v>
      </c>
      <c r="M29" s="9">
        <v>5.2400000000000002E-2</v>
      </c>
      <c r="N29" s="15">
        <v>6</v>
      </c>
      <c r="O29" t="s">
        <v>28</v>
      </c>
      <c r="P29" t="s">
        <v>28</v>
      </c>
      <c r="Q29" s="24">
        <v>0.9</v>
      </c>
      <c r="R29" s="5">
        <f t="shared" si="0"/>
        <v>2197.6416328767118</v>
      </c>
      <c r="S29" s="5">
        <f t="shared" si="1"/>
        <v>84.240249863013688</v>
      </c>
      <c r="T29" s="5">
        <f t="shared" si="2"/>
        <v>2113.4013830136983</v>
      </c>
      <c r="U29" s="15">
        <f t="shared" si="3"/>
        <v>54</v>
      </c>
      <c r="V29" s="3">
        <f t="shared" si="4"/>
        <v>7419.9342599999991</v>
      </c>
      <c r="W29" s="3">
        <f t="shared" si="5"/>
        <v>28</v>
      </c>
    </row>
    <row r="30" spans="1:23" x14ac:dyDescent="0.2">
      <c r="A30" t="s">
        <v>46</v>
      </c>
      <c r="B30" t="s">
        <v>47</v>
      </c>
      <c r="C30" t="s">
        <v>23</v>
      </c>
      <c r="D30" t="s">
        <v>48</v>
      </c>
      <c r="E30" t="s">
        <v>49</v>
      </c>
      <c r="F30" s="7">
        <v>372648</v>
      </c>
      <c r="G30" t="s">
        <v>381</v>
      </c>
      <c r="H30" s="5">
        <v>86683</v>
      </c>
      <c r="I30" s="12">
        <v>45986</v>
      </c>
      <c r="J30" s="15">
        <v>60</v>
      </c>
      <c r="K30" s="15">
        <v>5</v>
      </c>
      <c r="L30" s="9">
        <v>0.15049999999999999</v>
      </c>
      <c r="M30" s="9">
        <v>5.6000000000000001E-2</v>
      </c>
      <c r="N30" s="15">
        <v>7</v>
      </c>
      <c r="O30" t="s">
        <v>27</v>
      </c>
      <c r="P30" t="s">
        <v>28</v>
      </c>
      <c r="Q30" s="24">
        <v>0.9</v>
      </c>
      <c r="R30" s="5">
        <f t="shared" si="0"/>
        <v>2144.5136712328763</v>
      </c>
      <c r="S30" s="5">
        <f t="shared" si="1"/>
        <v>93.095167123287681</v>
      </c>
      <c r="T30" s="5">
        <f t="shared" si="2"/>
        <v>2051.4185041095884</v>
      </c>
      <c r="U30" s="15">
        <f t="shared" si="3"/>
        <v>53</v>
      </c>
      <c r="V30" s="3">
        <f t="shared" si="4"/>
        <v>7372.38915</v>
      </c>
      <c r="W30" s="3">
        <f t="shared" si="5"/>
        <v>29</v>
      </c>
    </row>
    <row r="31" spans="1:23" x14ac:dyDescent="0.2">
      <c r="A31" t="s">
        <v>722</v>
      </c>
      <c r="B31" t="s">
        <v>723</v>
      </c>
      <c r="C31" t="s">
        <v>77</v>
      </c>
      <c r="D31" t="s">
        <v>24</v>
      </c>
      <c r="E31" t="s">
        <v>49</v>
      </c>
      <c r="F31" s="7">
        <v>1097913</v>
      </c>
      <c r="G31" t="s">
        <v>1090</v>
      </c>
      <c r="H31" s="5">
        <v>79284</v>
      </c>
      <c r="I31" s="12">
        <v>45926</v>
      </c>
      <c r="J31" s="15">
        <v>60</v>
      </c>
      <c r="K31" s="15">
        <v>5</v>
      </c>
      <c r="L31" s="9">
        <v>0.16070000000000001</v>
      </c>
      <c r="M31" s="9">
        <v>5.8500000000000003E-2</v>
      </c>
      <c r="N31" s="15">
        <v>6</v>
      </c>
      <c r="O31" t="s">
        <v>27</v>
      </c>
      <c r="P31" t="s">
        <v>28</v>
      </c>
      <c r="Q31" s="24">
        <v>0.9</v>
      </c>
      <c r="R31" s="5">
        <f t="shared" si="0"/>
        <v>2094.4008986301369</v>
      </c>
      <c r="S31" s="5">
        <f t="shared" si="1"/>
        <v>76.242969863013698</v>
      </c>
      <c r="T31" s="5">
        <f t="shared" si="2"/>
        <v>2018.1579287671232</v>
      </c>
      <c r="U31" s="15">
        <f t="shared" si="3"/>
        <v>54</v>
      </c>
      <c r="V31" s="3">
        <f t="shared" si="4"/>
        <v>7292.5423200000014</v>
      </c>
      <c r="W31" s="3">
        <f t="shared" si="5"/>
        <v>30</v>
      </c>
    </row>
    <row r="32" spans="1:23" x14ac:dyDescent="0.2">
      <c r="A32" t="s">
        <v>82</v>
      </c>
      <c r="B32" t="s">
        <v>83</v>
      </c>
      <c r="C32" t="s">
        <v>23</v>
      </c>
      <c r="D32" t="s">
        <v>66</v>
      </c>
      <c r="E32" t="s">
        <v>49</v>
      </c>
      <c r="F32" s="7">
        <v>946643</v>
      </c>
      <c r="G32" t="s">
        <v>699</v>
      </c>
      <c r="H32" s="5">
        <v>85872</v>
      </c>
      <c r="I32" s="12">
        <v>45899</v>
      </c>
      <c r="J32" s="15">
        <v>60</v>
      </c>
      <c r="K32" s="15">
        <v>10</v>
      </c>
      <c r="L32" s="9">
        <v>0.1648</v>
      </c>
      <c r="M32" s="9">
        <v>5.96E-2</v>
      </c>
      <c r="N32" s="15">
        <v>7</v>
      </c>
      <c r="O32" t="s">
        <v>27</v>
      </c>
      <c r="P32" t="s">
        <v>28</v>
      </c>
      <c r="Q32" s="24">
        <v>0.8</v>
      </c>
      <c r="R32" s="5">
        <f t="shared" si="0"/>
        <v>2326.3077698630136</v>
      </c>
      <c r="S32" s="5">
        <f t="shared" si="1"/>
        <v>98.152872328767131</v>
      </c>
      <c r="T32" s="5">
        <f t="shared" si="2"/>
        <v>2228.1548975342466</v>
      </c>
      <c r="U32" s="15">
        <f t="shared" si="3"/>
        <v>53</v>
      </c>
      <c r="V32" s="3">
        <f t="shared" si="4"/>
        <v>7226.9875200000015</v>
      </c>
      <c r="W32" s="3">
        <f t="shared" si="5"/>
        <v>31</v>
      </c>
    </row>
    <row r="33" spans="1:23" x14ac:dyDescent="0.2">
      <c r="A33" t="s">
        <v>127</v>
      </c>
      <c r="B33" t="s">
        <v>128</v>
      </c>
      <c r="C33" t="s">
        <v>31</v>
      </c>
      <c r="D33" t="s">
        <v>66</v>
      </c>
      <c r="E33" t="s">
        <v>49</v>
      </c>
      <c r="F33" s="7">
        <v>261628</v>
      </c>
      <c r="G33" t="s">
        <v>1741</v>
      </c>
      <c r="H33" s="5">
        <v>96230</v>
      </c>
      <c r="I33" s="12">
        <v>45965</v>
      </c>
      <c r="J33" s="15">
        <v>45</v>
      </c>
      <c r="K33" s="15">
        <v>10</v>
      </c>
      <c r="L33" s="9">
        <v>0.17249999999999999</v>
      </c>
      <c r="M33" s="9">
        <v>5.7299999999999997E-2</v>
      </c>
      <c r="N33" s="15">
        <v>8</v>
      </c>
      <c r="O33" t="s">
        <v>27</v>
      </c>
      <c r="P33" t="s">
        <v>28</v>
      </c>
      <c r="Q33" s="24">
        <v>0.65</v>
      </c>
      <c r="R33" s="5">
        <f t="shared" si="0"/>
        <v>2046.5352739726025</v>
      </c>
      <c r="S33" s="5">
        <f t="shared" si="1"/>
        <v>120.85433424657533</v>
      </c>
      <c r="T33" s="5">
        <f t="shared" si="2"/>
        <v>1925.6809397260272</v>
      </c>
      <c r="U33" s="15">
        <f t="shared" si="3"/>
        <v>37</v>
      </c>
      <c r="V33" s="3">
        <f t="shared" si="4"/>
        <v>7205.7024000000001</v>
      </c>
      <c r="W33" s="3">
        <f t="shared" si="5"/>
        <v>32</v>
      </c>
    </row>
    <row r="34" spans="1:23" x14ac:dyDescent="0.2">
      <c r="A34" t="s">
        <v>252</v>
      </c>
      <c r="B34" t="s">
        <v>89</v>
      </c>
      <c r="C34" t="s">
        <v>31</v>
      </c>
      <c r="D34" t="s">
        <v>24</v>
      </c>
      <c r="E34" t="s">
        <v>49</v>
      </c>
      <c r="F34" s="7">
        <v>971327</v>
      </c>
      <c r="G34" t="s">
        <v>1334</v>
      </c>
      <c r="H34" s="5">
        <v>100410</v>
      </c>
      <c r="I34" s="12">
        <v>45838</v>
      </c>
      <c r="J34" s="15">
        <v>90</v>
      </c>
      <c r="K34" s="15">
        <v>7</v>
      </c>
      <c r="L34" s="9">
        <v>0.15229999999999999</v>
      </c>
      <c r="M34" s="9">
        <v>6.3100000000000003E-2</v>
      </c>
      <c r="N34" s="15">
        <v>6</v>
      </c>
      <c r="O34" t="s">
        <v>28</v>
      </c>
      <c r="P34" t="s">
        <v>28</v>
      </c>
      <c r="Q34" s="24">
        <v>0.8</v>
      </c>
      <c r="R34" s="5">
        <f t="shared" si="0"/>
        <v>3770.7393698630135</v>
      </c>
      <c r="S34" s="5">
        <f t="shared" si="1"/>
        <v>104.15130410958903</v>
      </c>
      <c r="T34" s="5">
        <f t="shared" si="2"/>
        <v>3666.5880657534244</v>
      </c>
      <c r="U34" s="15">
        <f t="shared" si="3"/>
        <v>84</v>
      </c>
      <c r="V34" s="3">
        <f t="shared" si="4"/>
        <v>7165.257599999999</v>
      </c>
      <c r="W34" s="3">
        <f t="shared" si="5"/>
        <v>33</v>
      </c>
    </row>
    <row r="35" spans="1:23" x14ac:dyDescent="0.2">
      <c r="A35" t="s">
        <v>438</v>
      </c>
      <c r="B35" t="s">
        <v>439</v>
      </c>
      <c r="C35" t="s">
        <v>41</v>
      </c>
      <c r="D35" t="s">
        <v>48</v>
      </c>
      <c r="E35" t="s">
        <v>25</v>
      </c>
      <c r="F35" s="7">
        <v>2438415</v>
      </c>
      <c r="G35" t="s">
        <v>1294</v>
      </c>
      <c r="H35" s="5">
        <v>104139</v>
      </c>
      <c r="I35" s="12">
        <v>45902</v>
      </c>
      <c r="J35" s="15">
        <v>30</v>
      </c>
      <c r="K35" s="15">
        <v>4</v>
      </c>
      <c r="L35" s="9">
        <v>0.13650000000000001</v>
      </c>
      <c r="M35" s="9">
        <v>5.1200000000000002E-2</v>
      </c>
      <c r="N35" s="15">
        <v>5</v>
      </c>
      <c r="O35" t="s">
        <v>27</v>
      </c>
      <c r="P35" t="s">
        <v>28</v>
      </c>
      <c r="Q35" s="24">
        <v>0.8</v>
      </c>
      <c r="R35" s="5">
        <f t="shared" si="0"/>
        <v>1168.35398630137</v>
      </c>
      <c r="S35" s="5">
        <f t="shared" si="1"/>
        <v>73.039956164383554</v>
      </c>
      <c r="T35" s="5">
        <f t="shared" si="2"/>
        <v>1095.3140301369865</v>
      </c>
      <c r="U35" s="15">
        <f t="shared" si="3"/>
        <v>25</v>
      </c>
      <c r="V35" s="3">
        <f t="shared" si="4"/>
        <v>7106.4453600000006</v>
      </c>
      <c r="W35" s="3">
        <f t="shared" si="5"/>
        <v>34</v>
      </c>
    </row>
    <row r="36" spans="1:23" x14ac:dyDescent="0.2">
      <c r="A36" t="s">
        <v>750</v>
      </c>
      <c r="B36" t="s">
        <v>751</v>
      </c>
      <c r="C36" t="s">
        <v>41</v>
      </c>
      <c r="D36" t="s">
        <v>48</v>
      </c>
      <c r="E36" t="s">
        <v>25</v>
      </c>
      <c r="F36" s="7">
        <v>1709806</v>
      </c>
      <c r="G36" t="s">
        <v>1618</v>
      </c>
      <c r="H36" s="5">
        <v>108119</v>
      </c>
      <c r="I36" s="12">
        <v>45861</v>
      </c>
      <c r="J36" s="15">
        <v>45</v>
      </c>
      <c r="K36" s="15">
        <v>2</v>
      </c>
      <c r="L36" s="9">
        <v>0.12709999999999999</v>
      </c>
      <c r="M36" s="9">
        <v>4.5699999999999998E-2</v>
      </c>
      <c r="N36" s="15">
        <v>5</v>
      </c>
      <c r="O36" t="s">
        <v>27</v>
      </c>
      <c r="P36" t="s">
        <v>28</v>
      </c>
      <c r="Q36" s="24">
        <v>0.8</v>
      </c>
      <c r="R36" s="5">
        <f t="shared" si="0"/>
        <v>1694.2099191780819</v>
      </c>
      <c r="S36" s="5">
        <f t="shared" si="1"/>
        <v>67.685456164383567</v>
      </c>
      <c r="T36" s="5">
        <f t="shared" si="2"/>
        <v>1626.5244630136983</v>
      </c>
      <c r="U36" s="15">
        <f t="shared" si="3"/>
        <v>40</v>
      </c>
      <c r="V36" s="3">
        <f t="shared" si="4"/>
        <v>7040.70928</v>
      </c>
      <c r="W36" s="3">
        <f t="shared" si="5"/>
        <v>35</v>
      </c>
    </row>
    <row r="37" spans="1:23" x14ac:dyDescent="0.2">
      <c r="A37" t="s">
        <v>377</v>
      </c>
      <c r="B37" t="s">
        <v>378</v>
      </c>
      <c r="C37" t="s">
        <v>31</v>
      </c>
      <c r="D37" t="s">
        <v>48</v>
      </c>
      <c r="E37" t="s">
        <v>25</v>
      </c>
      <c r="F37" s="7">
        <v>3293043</v>
      </c>
      <c r="G37" t="s">
        <v>1013</v>
      </c>
      <c r="H37" s="5">
        <v>100092</v>
      </c>
      <c r="I37" s="12">
        <v>45960</v>
      </c>
      <c r="J37" s="15">
        <v>45</v>
      </c>
      <c r="K37" s="15">
        <v>5</v>
      </c>
      <c r="L37" s="9">
        <v>0.13320000000000001</v>
      </c>
      <c r="M37" s="9">
        <v>5.5500000000000001E-2</v>
      </c>
      <c r="N37" s="15">
        <v>5</v>
      </c>
      <c r="O37" t="s">
        <v>28</v>
      </c>
      <c r="P37" t="s">
        <v>28</v>
      </c>
      <c r="Q37" s="24">
        <v>0.9</v>
      </c>
      <c r="R37" s="5">
        <f t="shared" si="0"/>
        <v>1643.7025972602742</v>
      </c>
      <c r="S37" s="5">
        <f t="shared" si="1"/>
        <v>76.097342465753414</v>
      </c>
      <c r="T37" s="5">
        <f t="shared" si="2"/>
        <v>1567.6052547945208</v>
      </c>
      <c r="U37" s="15">
        <f t="shared" si="3"/>
        <v>40</v>
      </c>
      <c r="V37" s="3">
        <f t="shared" si="4"/>
        <v>6999.4335600000022</v>
      </c>
      <c r="W37" s="3">
        <f t="shared" si="5"/>
        <v>36</v>
      </c>
    </row>
    <row r="38" spans="1:23" x14ac:dyDescent="0.2">
      <c r="A38" t="s">
        <v>75</v>
      </c>
      <c r="B38" t="s">
        <v>76</v>
      </c>
      <c r="C38" t="s">
        <v>77</v>
      </c>
      <c r="D38" t="s">
        <v>37</v>
      </c>
      <c r="E38" t="s">
        <v>49</v>
      </c>
      <c r="F38" s="7">
        <v>1309806</v>
      </c>
      <c r="G38" t="s">
        <v>660</v>
      </c>
      <c r="H38" s="5">
        <v>73122</v>
      </c>
      <c r="I38" s="12">
        <v>45973</v>
      </c>
      <c r="J38" s="15">
        <v>60</v>
      </c>
      <c r="K38" s="15">
        <v>3</v>
      </c>
      <c r="L38" s="9">
        <v>0.15210000000000001</v>
      </c>
      <c r="M38" s="9">
        <v>4.58E-2</v>
      </c>
      <c r="N38" s="15">
        <v>7</v>
      </c>
      <c r="O38" t="s">
        <v>27</v>
      </c>
      <c r="P38" t="s">
        <v>28</v>
      </c>
      <c r="Q38" s="24">
        <v>0.9</v>
      </c>
      <c r="R38" s="5">
        <f t="shared" si="0"/>
        <v>1828.2503342465752</v>
      </c>
      <c r="S38" s="5">
        <f t="shared" si="1"/>
        <v>64.227159452054792</v>
      </c>
      <c r="T38" s="5">
        <f t="shared" si="2"/>
        <v>1764.0231747945204</v>
      </c>
      <c r="U38" s="15">
        <f t="shared" si="3"/>
        <v>53</v>
      </c>
      <c r="V38" s="3">
        <f t="shared" si="4"/>
        <v>6995.5817400000005</v>
      </c>
      <c r="W38" s="3">
        <f t="shared" si="5"/>
        <v>37</v>
      </c>
    </row>
    <row r="39" spans="1:23" x14ac:dyDescent="0.2">
      <c r="A39" t="s">
        <v>112</v>
      </c>
      <c r="B39" t="s">
        <v>113</v>
      </c>
      <c r="C39" t="s">
        <v>31</v>
      </c>
      <c r="D39" t="s">
        <v>24</v>
      </c>
      <c r="E39" t="s">
        <v>49</v>
      </c>
      <c r="F39" s="7">
        <v>1045125</v>
      </c>
      <c r="G39" t="s">
        <v>307</v>
      </c>
      <c r="H39" s="5">
        <v>103818</v>
      </c>
      <c r="I39" s="12">
        <v>45914</v>
      </c>
      <c r="J39" s="15">
        <v>45</v>
      </c>
      <c r="K39" s="15">
        <v>2</v>
      </c>
      <c r="L39" s="9">
        <v>0.15740000000000001</v>
      </c>
      <c r="M39" s="9">
        <v>5.3800000000000001E-2</v>
      </c>
      <c r="N39" s="15">
        <v>8</v>
      </c>
      <c r="O39" t="s">
        <v>28</v>
      </c>
      <c r="P39" t="s">
        <v>28</v>
      </c>
      <c r="Q39" s="24">
        <v>0.65</v>
      </c>
      <c r="R39" s="5">
        <f t="shared" si="0"/>
        <v>2014.6380657534248</v>
      </c>
      <c r="S39" s="5">
        <f t="shared" si="1"/>
        <v>122.4199101369863</v>
      </c>
      <c r="T39" s="5">
        <f t="shared" si="2"/>
        <v>1892.2181556164385</v>
      </c>
      <c r="U39" s="15">
        <f t="shared" si="3"/>
        <v>37</v>
      </c>
      <c r="V39" s="3">
        <f t="shared" si="4"/>
        <v>6991.1041200000009</v>
      </c>
      <c r="W39" s="3">
        <f t="shared" si="5"/>
        <v>38</v>
      </c>
    </row>
    <row r="40" spans="1:23" x14ac:dyDescent="0.2">
      <c r="A40" t="s">
        <v>233</v>
      </c>
      <c r="B40" t="s">
        <v>59</v>
      </c>
      <c r="C40" t="s">
        <v>77</v>
      </c>
      <c r="D40" t="s">
        <v>66</v>
      </c>
      <c r="E40" t="s">
        <v>49</v>
      </c>
      <c r="F40" s="7">
        <v>809893</v>
      </c>
      <c r="G40" t="s">
        <v>1666</v>
      </c>
      <c r="H40" s="5">
        <v>82510</v>
      </c>
      <c r="I40" s="12">
        <v>45940</v>
      </c>
      <c r="J40" s="15">
        <v>60</v>
      </c>
      <c r="K40" s="15">
        <v>10</v>
      </c>
      <c r="L40" s="9">
        <v>0.15909999999999999</v>
      </c>
      <c r="M40" s="9">
        <v>5.3699999999999998E-2</v>
      </c>
      <c r="N40" s="15">
        <v>7</v>
      </c>
      <c r="O40" t="s">
        <v>28</v>
      </c>
      <c r="P40" t="s">
        <v>28</v>
      </c>
      <c r="Q40" s="24">
        <v>0.8</v>
      </c>
      <c r="R40" s="5">
        <f t="shared" si="0"/>
        <v>2157.9190684931505</v>
      </c>
      <c r="S40" s="5">
        <f t="shared" si="1"/>
        <v>84.973997260273975</v>
      </c>
      <c r="T40" s="5">
        <f t="shared" si="2"/>
        <v>2072.9450712328767</v>
      </c>
      <c r="U40" s="15">
        <f t="shared" si="3"/>
        <v>53</v>
      </c>
      <c r="V40" s="3">
        <f t="shared" si="4"/>
        <v>6957.2432000000008</v>
      </c>
      <c r="W40" s="3">
        <f t="shared" si="5"/>
        <v>39</v>
      </c>
    </row>
    <row r="41" spans="1:23" x14ac:dyDescent="0.2">
      <c r="A41" t="s">
        <v>582</v>
      </c>
      <c r="B41" t="s">
        <v>76</v>
      </c>
      <c r="C41" t="s">
        <v>36</v>
      </c>
      <c r="D41" t="s">
        <v>37</v>
      </c>
      <c r="E41" t="s">
        <v>49</v>
      </c>
      <c r="F41" s="7">
        <v>1336236</v>
      </c>
      <c r="G41" t="s">
        <v>1661</v>
      </c>
      <c r="H41" s="5">
        <v>94132</v>
      </c>
      <c r="I41" s="12">
        <v>45784</v>
      </c>
      <c r="J41" s="15">
        <v>90</v>
      </c>
      <c r="K41" s="15">
        <v>3</v>
      </c>
      <c r="L41" s="9">
        <v>0.14249999999999999</v>
      </c>
      <c r="M41" s="9">
        <v>6.08E-2</v>
      </c>
      <c r="N41" s="15">
        <v>6</v>
      </c>
      <c r="O41" t="s">
        <v>27</v>
      </c>
      <c r="P41" t="s">
        <v>28</v>
      </c>
      <c r="Q41" s="24">
        <v>0.9</v>
      </c>
      <c r="R41" s="5">
        <f t="shared" si="0"/>
        <v>3307.5147945205476</v>
      </c>
      <c r="S41" s="5">
        <f t="shared" si="1"/>
        <v>94.080420821917798</v>
      </c>
      <c r="T41" s="5">
        <f t="shared" si="2"/>
        <v>3213.4343736986298</v>
      </c>
      <c r="U41" s="15">
        <f t="shared" si="3"/>
        <v>84</v>
      </c>
      <c r="V41" s="3">
        <f t="shared" si="4"/>
        <v>6921.5259599999999</v>
      </c>
      <c r="W41" s="3">
        <f t="shared" si="5"/>
        <v>40</v>
      </c>
    </row>
    <row r="42" spans="1:23" x14ac:dyDescent="0.2">
      <c r="A42" t="s">
        <v>438</v>
      </c>
      <c r="B42" t="s">
        <v>439</v>
      </c>
      <c r="C42" t="s">
        <v>41</v>
      </c>
      <c r="D42" t="s">
        <v>48</v>
      </c>
      <c r="E42" t="s">
        <v>25</v>
      </c>
      <c r="F42" s="7">
        <v>2438415</v>
      </c>
      <c r="G42" t="s">
        <v>676</v>
      </c>
      <c r="H42" s="5">
        <v>107594</v>
      </c>
      <c r="I42" s="12">
        <v>45963</v>
      </c>
      <c r="J42" s="15">
        <v>60</v>
      </c>
      <c r="K42" s="15">
        <v>2</v>
      </c>
      <c r="L42" s="9">
        <v>0.13650000000000001</v>
      </c>
      <c r="M42" s="9">
        <v>5.6099999999999997E-2</v>
      </c>
      <c r="N42" s="15">
        <v>10</v>
      </c>
      <c r="O42" t="s">
        <v>28</v>
      </c>
      <c r="P42" t="s">
        <v>28</v>
      </c>
      <c r="Q42" s="24">
        <v>0.8</v>
      </c>
      <c r="R42" s="5">
        <f t="shared" si="0"/>
        <v>2414.2324931506851</v>
      </c>
      <c r="S42" s="5">
        <f t="shared" si="1"/>
        <v>165.37050410958904</v>
      </c>
      <c r="T42" s="5">
        <f t="shared" si="2"/>
        <v>2248.861989041096</v>
      </c>
      <c r="U42" s="15">
        <f t="shared" si="3"/>
        <v>50</v>
      </c>
      <c r="V42" s="3">
        <f t="shared" si="4"/>
        <v>6920.4460800000015</v>
      </c>
      <c r="W42" s="3">
        <f t="shared" si="5"/>
        <v>41</v>
      </c>
    </row>
    <row r="43" spans="1:23" x14ac:dyDescent="0.2">
      <c r="A43" t="s">
        <v>256</v>
      </c>
      <c r="B43" t="s">
        <v>257</v>
      </c>
      <c r="C43" t="s">
        <v>36</v>
      </c>
      <c r="D43" t="s">
        <v>48</v>
      </c>
      <c r="E43" t="s">
        <v>25</v>
      </c>
      <c r="F43" s="7">
        <v>3046555</v>
      </c>
      <c r="G43" t="s">
        <v>1050</v>
      </c>
      <c r="H43" s="5">
        <v>100027</v>
      </c>
      <c r="I43" s="12">
        <v>45779</v>
      </c>
      <c r="J43" s="15">
        <v>45</v>
      </c>
      <c r="K43" s="15">
        <v>7</v>
      </c>
      <c r="L43" s="9">
        <v>0.13830000000000001</v>
      </c>
      <c r="M43" s="9">
        <v>5.2699999999999997E-2</v>
      </c>
      <c r="N43" s="15">
        <v>7</v>
      </c>
      <c r="O43" t="s">
        <v>27</v>
      </c>
      <c r="P43" t="s">
        <v>28</v>
      </c>
      <c r="Q43" s="24">
        <v>0.8</v>
      </c>
      <c r="R43" s="5">
        <f t="shared" si="0"/>
        <v>1705.5288616438356</v>
      </c>
      <c r="S43" s="5">
        <f t="shared" si="1"/>
        <v>101.09578164383561</v>
      </c>
      <c r="T43" s="5">
        <f t="shared" si="2"/>
        <v>1604.43308</v>
      </c>
      <c r="U43" s="15">
        <f t="shared" si="3"/>
        <v>38</v>
      </c>
      <c r="V43" s="3">
        <f t="shared" si="4"/>
        <v>6849.8489600000012</v>
      </c>
      <c r="W43" s="3">
        <f t="shared" si="5"/>
        <v>42</v>
      </c>
    </row>
    <row r="44" spans="1:23" x14ac:dyDescent="0.2">
      <c r="A44" t="s">
        <v>51</v>
      </c>
      <c r="B44" t="s">
        <v>52</v>
      </c>
      <c r="C44" t="s">
        <v>41</v>
      </c>
      <c r="D44" t="s">
        <v>37</v>
      </c>
      <c r="E44" t="s">
        <v>49</v>
      </c>
      <c r="F44" s="7">
        <v>876116</v>
      </c>
      <c r="G44" t="s">
        <v>920</v>
      </c>
      <c r="H44" s="5">
        <v>76450</v>
      </c>
      <c r="I44" s="12">
        <v>46051</v>
      </c>
      <c r="J44" s="15">
        <v>90</v>
      </c>
      <c r="K44" s="15">
        <v>3</v>
      </c>
      <c r="L44" s="9">
        <v>0.1686</v>
      </c>
      <c r="M44" s="9">
        <v>5.7200000000000001E-2</v>
      </c>
      <c r="N44" s="15">
        <v>6</v>
      </c>
      <c r="O44" t="s">
        <v>27</v>
      </c>
      <c r="P44" t="s">
        <v>28</v>
      </c>
      <c r="Q44" s="24">
        <v>0.8</v>
      </c>
      <c r="R44" s="5">
        <f t="shared" si="0"/>
        <v>3178.2254794520545</v>
      </c>
      <c r="S44" s="5">
        <f t="shared" si="1"/>
        <v>71.883945205479449</v>
      </c>
      <c r="T44" s="5">
        <f t="shared" si="2"/>
        <v>3106.3415342465751</v>
      </c>
      <c r="U44" s="15">
        <f t="shared" si="3"/>
        <v>84</v>
      </c>
      <c r="V44" s="3">
        <f t="shared" si="4"/>
        <v>6813.2240000000002</v>
      </c>
      <c r="W44" s="3">
        <f t="shared" si="5"/>
        <v>43</v>
      </c>
    </row>
    <row r="45" spans="1:23" x14ac:dyDescent="0.2">
      <c r="A45" t="s">
        <v>501</v>
      </c>
      <c r="B45" t="s">
        <v>502</v>
      </c>
      <c r="C45" t="s">
        <v>23</v>
      </c>
      <c r="D45" t="s">
        <v>32</v>
      </c>
      <c r="E45" t="s">
        <v>49</v>
      </c>
      <c r="F45" s="7">
        <v>412494</v>
      </c>
      <c r="G45" t="s">
        <v>709</v>
      </c>
      <c r="H45" s="5">
        <v>82268</v>
      </c>
      <c r="I45" s="12">
        <v>45905</v>
      </c>
      <c r="J45" s="15">
        <v>60</v>
      </c>
      <c r="K45" s="15">
        <v>4</v>
      </c>
      <c r="L45" s="9">
        <v>0.15989999999999999</v>
      </c>
      <c r="M45" s="9">
        <v>5.7200000000000001E-2</v>
      </c>
      <c r="N45" s="15">
        <v>8</v>
      </c>
      <c r="O45" t="s">
        <v>27</v>
      </c>
      <c r="P45" t="s">
        <v>28</v>
      </c>
      <c r="Q45" s="24">
        <v>0.8</v>
      </c>
      <c r="R45" s="5">
        <f t="shared" si="0"/>
        <v>2162.4087452054791</v>
      </c>
      <c r="S45" s="5">
        <f t="shared" si="1"/>
        <v>103.13927890410959</v>
      </c>
      <c r="T45" s="5">
        <f t="shared" si="2"/>
        <v>2059.2694663013694</v>
      </c>
      <c r="U45" s="15">
        <f t="shared" si="3"/>
        <v>52</v>
      </c>
      <c r="V45" s="3">
        <f t="shared" si="4"/>
        <v>6759.1388799999995</v>
      </c>
      <c r="W45" s="3">
        <f t="shared" si="5"/>
        <v>44</v>
      </c>
    </row>
    <row r="46" spans="1:23" x14ac:dyDescent="0.2">
      <c r="A46" t="s">
        <v>252</v>
      </c>
      <c r="B46" t="s">
        <v>89</v>
      </c>
      <c r="C46" t="s">
        <v>31</v>
      </c>
      <c r="D46" t="s">
        <v>24</v>
      </c>
      <c r="E46" t="s">
        <v>49</v>
      </c>
      <c r="F46" s="7">
        <v>971327</v>
      </c>
      <c r="G46" t="s">
        <v>1432</v>
      </c>
      <c r="H46" s="5">
        <v>70894</v>
      </c>
      <c r="I46" s="12">
        <v>45937</v>
      </c>
      <c r="J46" s="15">
        <v>60</v>
      </c>
      <c r="K46" s="15">
        <v>7</v>
      </c>
      <c r="L46" s="9">
        <v>0.15229999999999999</v>
      </c>
      <c r="M46" s="9">
        <v>4.6899999999999997E-2</v>
      </c>
      <c r="N46" s="15">
        <v>6</v>
      </c>
      <c r="O46" t="s">
        <v>27</v>
      </c>
      <c r="P46" t="s">
        <v>28</v>
      </c>
      <c r="Q46" s="24">
        <v>0.9</v>
      </c>
      <c r="R46" s="5">
        <f t="shared" si="0"/>
        <v>1774.8749917808218</v>
      </c>
      <c r="S46" s="5">
        <f t="shared" si="1"/>
        <v>54.656360547945198</v>
      </c>
      <c r="T46" s="5">
        <f t="shared" si="2"/>
        <v>1720.2186312328765</v>
      </c>
      <c r="U46" s="15">
        <f t="shared" si="3"/>
        <v>54</v>
      </c>
      <c r="V46" s="3">
        <f t="shared" si="4"/>
        <v>6725.0048399999996</v>
      </c>
      <c r="W46" s="3">
        <f t="shared" si="5"/>
        <v>45</v>
      </c>
    </row>
    <row r="47" spans="1:23" x14ac:dyDescent="0.2">
      <c r="A47" t="s">
        <v>247</v>
      </c>
      <c r="B47" t="s">
        <v>47</v>
      </c>
      <c r="C47" t="s">
        <v>31</v>
      </c>
      <c r="D47" t="s">
        <v>48</v>
      </c>
      <c r="E47" t="s">
        <v>49</v>
      </c>
      <c r="F47" s="7">
        <v>1089809</v>
      </c>
      <c r="G47" t="s">
        <v>1450</v>
      </c>
      <c r="H47" s="5">
        <v>61559</v>
      </c>
      <c r="I47" s="12">
        <v>45954</v>
      </c>
      <c r="J47" s="15">
        <v>60</v>
      </c>
      <c r="K47" s="15">
        <v>10</v>
      </c>
      <c r="L47" s="9">
        <v>0.16689999999999999</v>
      </c>
      <c r="M47" s="9">
        <v>4.5999999999999999E-2</v>
      </c>
      <c r="N47" s="15">
        <v>5</v>
      </c>
      <c r="O47" t="s">
        <v>27</v>
      </c>
      <c r="P47" t="s">
        <v>28</v>
      </c>
      <c r="Q47" s="24">
        <v>0.9</v>
      </c>
      <c r="R47" s="5">
        <f t="shared" si="0"/>
        <v>1688.9091123287669</v>
      </c>
      <c r="S47" s="5">
        <f t="shared" si="1"/>
        <v>38.790602739726026</v>
      </c>
      <c r="T47" s="5">
        <f t="shared" si="2"/>
        <v>1650.118509589041</v>
      </c>
      <c r="U47" s="15">
        <f t="shared" si="3"/>
        <v>55</v>
      </c>
      <c r="V47" s="3">
        <f t="shared" si="4"/>
        <v>6698.2347899999995</v>
      </c>
      <c r="W47" s="3">
        <f t="shared" si="5"/>
        <v>46</v>
      </c>
    </row>
    <row r="48" spans="1:23" x14ac:dyDescent="0.2">
      <c r="A48" t="s">
        <v>100</v>
      </c>
      <c r="B48" t="s">
        <v>101</v>
      </c>
      <c r="C48" t="s">
        <v>77</v>
      </c>
      <c r="D48" t="s">
        <v>48</v>
      </c>
      <c r="E48" t="s">
        <v>49</v>
      </c>
      <c r="F48" s="7">
        <v>1484226</v>
      </c>
      <c r="G48" t="s">
        <v>1681</v>
      </c>
      <c r="H48" s="5">
        <v>99802</v>
      </c>
      <c r="I48" s="12">
        <v>45832</v>
      </c>
      <c r="J48" s="15">
        <v>60</v>
      </c>
      <c r="K48" s="15">
        <v>7</v>
      </c>
      <c r="L48" s="9">
        <v>0.17929999999999999</v>
      </c>
      <c r="M48" s="9">
        <v>4.5499999999999999E-2</v>
      </c>
      <c r="N48" s="15">
        <v>10</v>
      </c>
      <c r="O48" t="s">
        <v>28</v>
      </c>
      <c r="P48" t="s">
        <v>28</v>
      </c>
      <c r="Q48" s="24">
        <v>0.5</v>
      </c>
      <c r="R48" s="5">
        <f t="shared" si="0"/>
        <v>2941.5614136986296</v>
      </c>
      <c r="S48" s="5">
        <f t="shared" si="1"/>
        <v>124.41071232876712</v>
      </c>
      <c r="T48" s="5">
        <f t="shared" si="2"/>
        <v>2817.1507013698624</v>
      </c>
      <c r="U48" s="15">
        <f t="shared" si="3"/>
        <v>50</v>
      </c>
      <c r="V48" s="3">
        <f t="shared" si="4"/>
        <v>6676.7537999999986</v>
      </c>
      <c r="W48" s="3">
        <f t="shared" si="5"/>
        <v>47</v>
      </c>
    </row>
    <row r="49" spans="1:23" x14ac:dyDescent="0.2">
      <c r="A49" t="s">
        <v>193</v>
      </c>
      <c r="B49" t="s">
        <v>194</v>
      </c>
      <c r="C49" t="s">
        <v>31</v>
      </c>
      <c r="D49" t="s">
        <v>66</v>
      </c>
      <c r="E49" t="s">
        <v>49</v>
      </c>
      <c r="F49" s="7">
        <v>764840</v>
      </c>
      <c r="G49" t="s">
        <v>1629</v>
      </c>
      <c r="H49" s="5">
        <v>76673</v>
      </c>
      <c r="I49" s="12">
        <v>45866</v>
      </c>
      <c r="J49" s="15">
        <v>45</v>
      </c>
      <c r="K49" s="15">
        <v>4</v>
      </c>
      <c r="L49" s="9">
        <v>0.16819999999999999</v>
      </c>
      <c r="M49" s="9">
        <v>5.9799999999999999E-2</v>
      </c>
      <c r="N49" s="15">
        <v>6</v>
      </c>
      <c r="O49" t="s">
        <v>28</v>
      </c>
      <c r="P49" t="s">
        <v>28</v>
      </c>
      <c r="Q49" s="24">
        <v>0.8</v>
      </c>
      <c r="R49" s="5">
        <f t="shared" si="0"/>
        <v>1589.9669506849314</v>
      </c>
      <c r="S49" s="5">
        <f t="shared" si="1"/>
        <v>75.370609315068492</v>
      </c>
      <c r="T49" s="5">
        <f t="shared" si="2"/>
        <v>1514.5963413698628</v>
      </c>
      <c r="U49" s="15">
        <f t="shared" si="3"/>
        <v>39</v>
      </c>
      <c r="V49" s="3">
        <f t="shared" si="4"/>
        <v>6649.0825600000007</v>
      </c>
      <c r="W49" s="3">
        <f t="shared" si="5"/>
        <v>48</v>
      </c>
    </row>
    <row r="50" spans="1:23" x14ac:dyDescent="0.2">
      <c r="A50" t="s">
        <v>233</v>
      </c>
      <c r="B50" t="s">
        <v>59</v>
      </c>
      <c r="C50" t="s">
        <v>77</v>
      </c>
      <c r="D50" t="s">
        <v>66</v>
      </c>
      <c r="E50" t="s">
        <v>49</v>
      </c>
      <c r="F50" s="7">
        <v>809893</v>
      </c>
      <c r="G50" t="s">
        <v>578</v>
      </c>
      <c r="H50" s="5">
        <v>75499</v>
      </c>
      <c r="I50" s="12">
        <v>45917</v>
      </c>
      <c r="J50" s="15">
        <v>60</v>
      </c>
      <c r="K50" s="15">
        <v>4</v>
      </c>
      <c r="L50" s="9">
        <v>0.15909999999999999</v>
      </c>
      <c r="M50" s="9">
        <v>6.1400000000000003E-2</v>
      </c>
      <c r="N50" s="15">
        <v>10</v>
      </c>
      <c r="O50" t="s">
        <v>27</v>
      </c>
      <c r="P50" t="s">
        <v>28</v>
      </c>
      <c r="Q50" s="24">
        <v>0.9</v>
      </c>
      <c r="R50" s="5">
        <f t="shared" si="0"/>
        <v>1974.5574082191777</v>
      </c>
      <c r="S50" s="5">
        <f t="shared" si="1"/>
        <v>127.00379726027397</v>
      </c>
      <c r="T50" s="5">
        <f t="shared" si="2"/>
        <v>1847.5536109589036</v>
      </c>
      <c r="U50" s="15">
        <f t="shared" si="3"/>
        <v>50</v>
      </c>
      <c r="V50" s="3">
        <f t="shared" si="4"/>
        <v>6638.6270699999986</v>
      </c>
      <c r="W50" s="3">
        <f t="shared" si="5"/>
        <v>49</v>
      </c>
    </row>
    <row r="51" spans="1:23" x14ac:dyDescent="0.2">
      <c r="A51" t="s">
        <v>648</v>
      </c>
      <c r="B51" t="s">
        <v>204</v>
      </c>
      <c r="C51" t="s">
        <v>36</v>
      </c>
      <c r="D51" t="s">
        <v>37</v>
      </c>
      <c r="E51" t="s">
        <v>49</v>
      </c>
      <c r="F51" s="7">
        <v>1076320</v>
      </c>
      <c r="G51" t="s">
        <v>831</v>
      </c>
      <c r="H51" s="5">
        <v>92879</v>
      </c>
      <c r="I51" s="12">
        <v>46034</v>
      </c>
      <c r="J51" s="15">
        <v>60</v>
      </c>
      <c r="K51" s="15">
        <v>4</v>
      </c>
      <c r="L51" s="9">
        <v>0.15140000000000001</v>
      </c>
      <c r="M51" s="9">
        <v>6.2300000000000001E-2</v>
      </c>
      <c r="N51" s="15">
        <v>6</v>
      </c>
      <c r="O51" t="s">
        <v>27</v>
      </c>
      <c r="P51" t="s">
        <v>28</v>
      </c>
      <c r="Q51" s="24">
        <v>0.8</v>
      </c>
      <c r="R51" s="5">
        <f t="shared" si="0"/>
        <v>2311.5420164383563</v>
      </c>
      <c r="S51" s="5">
        <f t="shared" si="1"/>
        <v>95.118274520547942</v>
      </c>
      <c r="T51" s="5">
        <f t="shared" si="2"/>
        <v>2216.4237419178085</v>
      </c>
      <c r="U51" s="15">
        <f t="shared" si="3"/>
        <v>54</v>
      </c>
      <c r="V51" s="3">
        <f t="shared" si="4"/>
        <v>6620.4151200000006</v>
      </c>
      <c r="W51" s="3">
        <f t="shared" si="5"/>
        <v>50</v>
      </c>
    </row>
    <row r="52" spans="1:23" x14ac:dyDescent="0.2">
      <c r="A52" t="s">
        <v>88</v>
      </c>
      <c r="B52" t="s">
        <v>89</v>
      </c>
      <c r="C52" t="s">
        <v>23</v>
      </c>
      <c r="D52" t="s">
        <v>66</v>
      </c>
      <c r="E52" t="s">
        <v>49</v>
      </c>
      <c r="F52" s="7">
        <v>896464</v>
      </c>
      <c r="G52" t="s">
        <v>1161</v>
      </c>
      <c r="H52" s="5">
        <v>84938</v>
      </c>
      <c r="I52" s="12">
        <v>45833</v>
      </c>
      <c r="J52" s="15">
        <v>90</v>
      </c>
      <c r="K52" s="15">
        <v>5</v>
      </c>
      <c r="L52" s="9">
        <v>0.13550000000000001</v>
      </c>
      <c r="M52" s="9">
        <v>4.9200000000000001E-2</v>
      </c>
      <c r="N52" s="15">
        <v>10</v>
      </c>
      <c r="O52" t="s">
        <v>27</v>
      </c>
      <c r="P52" t="s">
        <v>28</v>
      </c>
      <c r="Q52" s="24">
        <v>0.9</v>
      </c>
      <c r="R52" s="5">
        <f t="shared" si="0"/>
        <v>2837.8600273972602</v>
      </c>
      <c r="S52" s="5">
        <f t="shared" si="1"/>
        <v>114.49176986301369</v>
      </c>
      <c r="T52" s="5">
        <f t="shared" si="2"/>
        <v>2723.3682575342464</v>
      </c>
      <c r="U52" s="15">
        <f t="shared" si="3"/>
        <v>80</v>
      </c>
      <c r="V52" s="3">
        <f t="shared" si="4"/>
        <v>6597.1344600000011</v>
      </c>
      <c r="W52" s="3">
        <f t="shared" si="5"/>
        <v>51</v>
      </c>
    </row>
    <row r="53" spans="1:23" x14ac:dyDescent="0.2">
      <c r="A53" t="s">
        <v>193</v>
      </c>
      <c r="B53" t="s">
        <v>194</v>
      </c>
      <c r="C53" t="s">
        <v>31</v>
      </c>
      <c r="D53" t="s">
        <v>66</v>
      </c>
      <c r="E53" t="s">
        <v>49</v>
      </c>
      <c r="F53" s="7">
        <v>764840</v>
      </c>
      <c r="G53" t="s">
        <v>467</v>
      </c>
      <c r="H53" s="5">
        <v>66293</v>
      </c>
      <c r="I53" s="12">
        <v>45846</v>
      </c>
      <c r="J53" s="15">
        <v>60</v>
      </c>
      <c r="K53" s="15">
        <v>2</v>
      </c>
      <c r="L53" s="9">
        <v>0.16819999999999999</v>
      </c>
      <c r="M53" s="9">
        <v>5.7700000000000001E-2</v>
      </c>
      <c r="N53" s="15">
        <v>5</v>
      </c>
      <c r="O53" t="s">
        <v>27</v>
      </c>
      <c r="P53" t="s">
        <v>28</v>
      </c>
      <c r="Q53" s="24">
        <v>0.9</v>
      </c>
      <c r="R53" s="5">
        <f t="shared" si="0"/>
        <v>1832.9560438356161</v>
      </c>
      <c r="S53" s="5">
        <f t="shared" si="1"/>
        <v>52.398713698630132</v>
      </c>
      <c r="T53" s="5">
        <f t="shared" si="2"/>
        <v>1780.5573301369859</v>
      </c>
      <c r="U53" s="15">
        <f t="shared" si="3"/>
        <v>55</v>
      </c>
      <c r="V53" s="3">
        <f t="shared" si="4"/>
        <v>6592.8388500000001</v>
      </c>
      <c r="W53" s="3">
        <f t="shared" si="5"/>
        <v>52</v>
      </c>
    </row>
    <row r="54" spans="1:23" x14ac:dyDescent="0.2">
      <c r="A54" t="s">
        <v>401</v>
      </c>
      <c r="B54" t="s">
        <v>402</v>
      </c>
      <c r="C54" t="s">
        <v>41</v>
      </c>
      <c r="D54" t="s">
        <v>32</v>
      </c>
      <c r="E54" t="s">
        <v>25</v>
      </c>
      <c r="F54" s="7">
        <v>4153903</v>
      </c>
      <c r="G54" t="s">
        <v>639</v>
      </c>
      <c r="H54" s="5">
        <v>80417</v>
      </c>
      <c r="I54" s="12">
        <v>46027</v>
      </c>
      <c r="J54" s="15">
        <v>60</v>
      </c>
      <c r="K54" s="15">
        <v>2</v>
      </c>
      <c r="L54" s="9">
        <v>0.13669999999999999</v>
      </c>
      <c r="M54" s="9">
        <v>4.5900000000000003E-2</v>
      </c>
      <c r="N54" s="15">
        <v>6</v>
      </c>
      <c r="O54" t="s">
        <v>27</v>
      </c>
      <c r="P54" t="s">
        <v>28</v>
      </c>
      <c r="Q54" s="24">
        <v>0.9</v>
      </c>
      <c r="R54" s="5">
        <f t="shared" si="0"/>
        <v>1807.0691342465752</v>
      </c>
      <c r="S54" s="5">
        <f t="shared" si="1"/>
        <v>60.676278904109594</v>
      </c>
      <c r="T54" s="5">
        <f t="shared" si="2"/>
        <v>1746.3928553424657</v>
      </c>
      <c r="U54" s="15">
        <f t="shared" si="3"/>
        <v>54</v>
      </c>
      <c r="V54" s="3">
        <f t="shared" si="4"/>
        <v>6571.67724</v>
      </c>
      <c r="W54" s="3">
        <f t="shared" si="5"/>
        <v>53</v>
      </c>
    </row>
    <row r="55" spans="1:23" x14ac:dyDescent="0.2">
      <c r="A55" t="s">
        <v>233</v>
      </c>
      <c r="B55" t="s">
        <v>59</v>
      </c>
      <c r="C55" t="s">
        <v>77</v>
      </c>
      <c r="D55" t="s">
        <v>66</v>
      </c>
      <c r="E55" t="s">
        <v>49</v>
      </c>
      <c r="F55" s="7">
        <v>809893</v>
      </c>
      <c r="G55" t="s">
        <v>242</v>
      </c>
      <c r="H55" s="5">
        <v>98628</v>
      </c>
      <c r="I55" s="12">
        <v>45679</v>
      </c>
      <c r="J55" s="15">
        <v>45</v>
      </c>
      <c r="K55" s="15">
        <v>5</v>
      </c>
      <c r="L55" s="9">
        <v>0.15909999999999999</v>
      </c>
      <c r="M55" s="9">
        <v>5.7099999999999998E-2</v>
      </c>
      <c r="N55" s="15">
        <v>8</v>
      </c>
      <c r="O55" t="s">
        <v>28</v>
      </c>
      <c r="P55" t="s">
        <v>28</v>
      </c>
      <c r="Q55" s="24">
        <v>0.65</v>
      </c>
      <c r="R55" s="5">
        <f t="shared" si="0"/>
        <v>1934.5949753424657</v>
      </c>
      <c r="S55" s="5">
        <f t="shared" si="1"/>
        <v>123.43361753424658</v>
      </c>
      <c r="T55" s="5">
        <f t="shared" si="2"/>
        <v>1811.161357808219</v>
      </c>
      <c r="U55" s="15">
        <f t="shared" si="3"/>
        <v>37</v>
      </c>
      <c r="V55" s="3">
        <f t="shared" si="4"/>
        <v>6539.0364</v>
      </c>
      <c r="W55" s="3">
        <f t="shared" si="5"/>
        <v>54</v>
      </c>
    </row>
    <row r="56" spans="1:23" x14ac:dyDescent="0.2">
      <c r="A56" t="s">
        <v>341</v>
      </c>
      <c r="B56" t="s">
        <v>342</v>
      </c>
      <c r="C56" t="s">
        <v>77</v>
      </c>
      <c r="D56" t="s">
        <v>48</v>
      </c>
      <c r="E56" t="s">
        <v>49</v>
      </c>
      <c r="F56" s="7">
        <v>927954</v>
      </c>
      <c r="G56" t="s">
        <v>1246</v>
      </c>
      <c r="H56" s="5">
        <v>99342</v>
      </c>
      <c r="I56" s="12">
        <v>45777</v>
      </c>
      <c r="J56" s="15">
        <v>60</v>
      </c>
      <c r="K56" s="15">
        <v>4</v>
      </c>
      <c r="L56" s="9">
        <v>0.1181</v>
      </c>
      <c r="M56" s="9">
        <v>4.5400000000000003E-2</v>
      </c>
      <c r="N56" s="15">
        <v>10</v>
      </c>
      <c r="O56" t="s">
        <v>27</v>
      </c>
      <c r="P56" t="s">
        <v>28</v>
      </c>
      <c r="Q56" s="24">
        <v>0.9</v>
      </c>
      <c r="R56" s="5">
        <f t="shared" si="0"/>
        <v>1928.5956493150684</v>
      </c>
      <c r="S56" s="5">
        <f t="shared" si="1"/>
        <v>123.56511780821917</v>
      </c>
      <c r="T56" s="5">
        <f t="shared" si="2"/>
        <v>1805.0305315068492</v>
      </c>
      <c r="U56" s="15">
        <f t="shared" si="3"/>
        <v>50</v>
      </c>
      <c r="V56" s="3">
        <f t="shared" si="4"/>
        <v>6499.9470599999986</v>
      </c>
      <c r="W56" s="3">
        <f t="shared" si="5"/>
        <v>55</v>
      </c>
    </row>
    <row r="57" spans="1:23" x14ac:dyDescent="0.2">
      <c r="A57" t="s">
        <v>362</v>
      </c>
      <c r="B57" t="s">
        <v>363</v>
      </c>
      <c r="C57" t="s">
        <v>31</v>
      </c>
      <c r="D57" t="s">
        <v>66</v>
      </c>
      <c r="E57" t="s">
        <v>25</v>
      </c>
      <c r="F57" s="7">
        <v>3573998</v>
      </c>
      <c r="G57" t="s">
        <v>729</v>
      </c>
      <c r="H57" s="5">
        <v>101337</v>
      </c>
      <c r="I57" s="12">
        <v>46061</v>
      </c>
      <c r="J57" s="15">
        <v>60</v>
      </c>
      <c r="K57" s="15">
        <v>7</v>
      </c>
      <c r="L57" s="9">
        <v>0.13200000000000001</v>
      </c>
      <c r="M57" s="9">
        <v>6.2199999999999998E-2</v>
      </c>
      <c r="N57" s="15">
        <v>8</v>
      </c>
      <c r="O57" t="s">
        <v>28</v>
      </c>
      <c r="P57" t="s">
        <v>28</v>
      </c>
      <c r="Q57" s="24">
        <v>0.9</v>
      </c>
      <c r="R57" s="5">
        <f t="shared" si="0"/>
        <v>2198.8740821917809</v>
      </c>
      <c r="S57" s="5">
        <f t="shared" si="1"/>
        <v>138.15148273972602</v>
      </c>
      <c r="T57" s="5">
        <f t="shared" si="2"/>
        <v>2060.722599452055</v>
      </c>
      <c r="U57" s="15">
        <f t="shared" si="3"/>
        <v>52</v>
      </c>
      <c r="V57" s="3">
        <f t="shared" si="4"/>
        <v>6365.9903400000003</v>
      </c>
      <c r="W57" s="3">
        <f t="shared" si="5"/>
        <v>56</v>
      </c>
    </row>
    <row r="58" spans="1:23" x14ac:dyDescent="0.2">
      <c r="A58" t="s">
        <v>51</v>
      </c>
      <c r="B58" t="s">
        <v>52</v>
      </c>
      <c r="C58" t="s">
        <v>41</v>
      </c>
      <c r="D58" t="s">
        <v>37</v>
      </c>
      <c r="E58" t="s">
        <v>49</v>
      </c>
      <c r="F58" s="7">
        <v>876116</v>
      </c>
      <c r="G58" t="s">
        <v>1527</v>
      </c>
      <c r="H58" s="5">
        <v>58890</v>
      </c>
      <c r="I58" s="12">
        <v>45735</v>
      </c>
      <c r="J58" s="15">
        <v>60</v>
      </c>
      <c r="K58" s="15">
        <v>7</v>
      </c>
      <c r="L58" s="9">
        <v>0.1686</v>
      </c>
      <c r="M58" s="9">
        <v>4.9200000000000001E-2</v>
      </c>
      <c r="N58" s="15">
        <v>10</v>
      </c>
      <c r="O58" t="s">
        <v>27</v>
      </c>
      <c r="P58" t="s">
        <v>28</v>
      </c>
      <c r="Q58" s="24">
        <v>0.9</v>
      </c>
      <c r="R58" s="5">
        <f t="shared" si="0"/>
        <v>1632.1403835616436</v>
      </c>
      <c r="S58" s="5">
        <f t="shared" si="1"/>
        <v>79.380493150684927</v>
      </c>
      <c r="T58" s="5">
        <f t="shared" si="2"/>
        <v>1552.7598904109586</v>
      </c>
      <c r="U58" s="15">
        <f t="shared" si="3"/>
        <v>50</v>
      </c>
      <c r="V58" s="3">
        <f t="shared" si="4"/>
        <v>6328.3194000000012</v>
      </c>
      <c r="W58" s="3">
        <f t="shared" si="5"/>
        <v>57</v>
      </c>
    </row>
    <row r="59" spans="1:23" x14ac:dyDescent="0.2">
      <c r="A59" t="s">
        <v>217</v>
      </c>
      <c r="B59" t="s">
        <v>218</v>
      </c>
      <c r="C59" t="s">
        <v>23</v>
      </c>
      <c r="D59" t="s">
        <v>48</v>
      </c>
      <c r="E59" t="s">
        <v>49</v>
      </c>
      <c r="F59" s="7">
        <v>1120197</v>
      </c>
      <c r="G59" t="s">
        <v>820</v>
      </c>
      <c r="H59" s="5">
        <v>93988</v>
      </c>
      <c r="I59" s="12">
        <v>45826</v>
      </c>
      <c r="J59" s="15">
        <v>60</v>
      </c>
      <c r="K59" s="15">
        <v>5</v>
      </c>
      <c r="L59" s="9">
        <v>0.1338</v>
      </c>
      <c r="M59" s="9">
        <v>4.9799999999999997E-2</v>
      </c>
      <c r="N59" s="15">
        <v>6</v>
      </c>
      <c r="O59" t="s">
        <v>27</v>
      </c>
      <c r="P59" t="s">
        <v>28</v>
      </c>
      <c r="Q59" s="24">
        <v>0.8</v>
      </c>
      <c r="R59" s="5">
        <f t="shared" si="0"/>
        <v>2067.2209972602736</v>
      </c>
      <c r="S59" s="5">
        <f t="shared" si="1"/>
        <v>76.941409315068483</v>
      </c>
      <c r="T59" s="5">
        <f t="shared" si="2"/>
        <v>1990.2795879452051</v>
      </c>
      <c r="U59" s="15">
        <f t="shared" si="3"/>
        <v>54</v>
      </c>
      <c r="V59" s="3">
        <f t="shared" si="4"/>
        <v>6315.9936000000007</v>
      </c>
      <c r="W59" s="3">
        <f t="shared" si="5"/>
        <v>58</v>
      </c>
    </row>
    <row r="60" spans="1:23" x14ac:dyDescent="0.2">
      <c r="A60" t="s">
        <v>725</v>
      </c>
      <c r="B60" t="s">
        <v>47</v>
      </c>
      <c r="C60" t="s">
        <v>36</v>
      </c>
      <c r="D60" t="s">
        <v>48</v>
      </c>
      <c r="E60" t="s">
        <v>25</v>
      </c>
      <c r="F60" s="7">
        <v>6127831</v>
      </c>
      <c r="G60" t="s">
        <v>1591</v>
      </c>
      <c r="H60" s="5">
        <v>89274</v>
      </c>
      <c r="I60" s="12">
        <v>45890</v>
      </c>
      <c r="J60" s="15">
        <v>90</v>
      </c>
      <c r="K60" s="15">
        <v>7</v>
      </c>
      <c r="L60" s="9">
        <v>0.12529999999999999</v>
      </c>
      <c r="M60" s="9">
        <v>4.6699999999999998E-2</v>
      </c>
      <c r="N60" s="15">
        <v>5</v>
      </c>
      <c r="O60" t="s">
        <v>27</v>
      </c>
      <c r="P60" t="s">
        <v>28</v>
      </c>
      <c r="Q60" s="24">
        <v>0.9</v>
      </c>
      <c r="R60" s="5">
        <f t="shared" si="0"/>
        <v>2758.1997205479452</v>
      </c>
      <c r="S60" s="5">
        <f t="shared" si="1"/>
        <v>57.110901369863008</v>
      </c>
      <c r="T60" s="5">
        <f t="shared" si="2"/>
        <v>2701.0888191780823</v>
      </c>
      <c r="U60" s="15">
        <f t="shared" si="3"/>
        <v>85</v>
      </c>
      <c r="V60" s="3">
        <f t="shared" si="4"/>
        <v>6315.242760000001</v>
      </c>
      <c r="W60" s="3">
        <f t="shared" si="5"/>
        <v>59</v>
      </c>
    </row>
    <row r="61" spans="1:23" x14ac:dyDescent="0.2">
      <c r="A61" t="s">
        <v>725</v>
      </c>
      <c r="B61" t="s">
        <v>47</v>
      </c>
      <c r="C61" t="s">
        <v>36</v>
      </c>
      <c r="D61" t="s">
        <v>48</v>
      </c>
      <c r="E61" t="s">
        <v>25</v>
      </c>
      <c r="F61" s="7">
        <v>6127831</v>
      </c>
      <c r="G61" t="s">
        <v>939</v>
      </c>
      <c r="H61" s="5">
        <v>97426</v>
      </c>
      <c r="I61" s="12">
        <v>45796</v>
      </c>
      <c r="J61" s="15">
        <v>60</v>
      </c>
      <c r="K61" s="15">
        <v>4</v>
      </c>
      <c r="L61" s="9">
        <v>0.12529999999999999</v>
      </c>
      <c r="M61" s="9">
        <v>5.33E-2</v>
      </c>
      <c r="N61" s="15">
        <v>8</v>
      </c>
      <c r="O61" t="s">
        <v>27</v>
      </c>
      <c r="P61" t="s">
        <v>28</v>
      </c>
      <c r="Q61" s="24">
        <v>0.9</v>
      </c>
      <c r="R61" s="5">
        <f t="shared" si="0"/>
        <v>2006.7086794520544</v>
      </c>
      <c r="S61" s="5">
        <f t="shared" si="1"/>
        <v>113.81492164383562</v>
      </c>
      <c r="T61" s="5">
        <f t="shared" si="2"/>
        <v>1892.8937578082189</v>
      </c>
      <c r="U61" s="15">
        <f t="shared" si="3"/>
        <v>52</v>
      </c>
      <c r="V61" s="3">
        <f t="shared" si="4"/>
        <v>6313.2047999999995</v>
      </c>
      <c r="W61" s="3">
        <f t="shared" si="5"/>
        <v>60</v>
      </c>
    </row>
    <row r="62" spans="1:23" x14ac:dyDescent="0.2">
      <c r="A62" t="s">
        <v>233</v>
      </c>
      <c r="B62" t="s">
        <v>59</v>
      </c>
      <c r="C62" t="s">
        <v>77</v>
      </c>
      <c r="D62" t="s">
        <v>66</v>
      </c>
      <c r="E62" t="s">
        <v>49</v>
      </c>
      <c r="F62" s="7">
        <v>809893</v>
      </c>
      <c r="G62" t="s">
        <v>1288</v>
      </c>
      <c r="H62" s="5">
        <v>90732</v>
      </c>
      <c r="I62" s="12">
        <v>46071</v>
      </c>
      <c r="J62" s="15">
        <v>30</v>
      </c>
      <c r="K62" s="15">
        <v>4</v>
      </c>
      <c r="L62" s="9">
        <v>0.15909999999999999</v>
      </c>
      <c r="M62" s="9">
        <v>5.2499999999999998E-2</v>
      </c>
      <c r="N62" s="15">
        <v>8</v>
      </c>
      <c r="O62" t="s">
        <v>27</v>
      </c>
      <c r="P62" t="s">
        <v>28</v>
      </c>
      <c r="Q62" s="24">
        <v>0.65</v>
      </c>
      <c r="R62" s="5">
        <f t="shared" si="0"/>
        <v>1186.4762630136986</v>
      </c>
      <c r="S62" s="5">
        <f t="shared" si="1"/>
        <v>104.40394520547945</v>
      </c>
      <c r="T62" s="5">
        <f t="shared" si="2"/>
        <v>1082.0723178082192</v>
      </c>
      <c r="U62" s="15">
        <f t="shared" si="3"/>
        <v>22</v>
      </c>
      <c r="V62" s="3">
        <f t="shared" si="4"/>
        <v>6286.8202800000008</v>
      </c>
      <c r="W62" s="3">
        <f t="shared" si="5"/>
        <v>61</v>
      </c>
    </row>
    <row r="63" spans="1:23" x14ac:dyDescent="0.2">
      <c r="A63" t="s">
        <v>239</v>
      </c>
      <c r="B63" t="s">
        <v>240</v>
      </c>
      <c r="C63" t="s">
        <v>31</v>
      </c>
      <c r="D63" t="s">
        <v>32</v>
      </c>
      <c r="E63" t="s">
        <v>49</v>
      </c>
      <c r="F63" s="7">
        <v>1485779</v>
      </c>
      <c r="G63" t="s">
        <v>1535</v>
      </c>
      <c r="H63" s="5">
        <v>87206</v>
      </c>
      <c r="I63" s="12">
        <v>45740</v>
      </c>
      <c r="J63" s="15">
        <v>60</v>
      </c>
      <c r="K63" s="15">
        <v>3</v>
      </c>
      <c r="L63" s="9">
        <v>0.1295</v>
      </c>
      <c r="M63" s="9">
        <v>0.05</v>
      </c>
      <c r="N63" s="15">
        <v>8</v>
      </c>
      <c r="O63" t="s">
        <v>27</v>
      </c>
      <c r="P63" t="s">
        <v>28</v>
      </c>
      <c r="Q63" s="24">
        <v>0.9</v>
      </c>
      <c r="R63" s="5">
        <f t="shared" si="0"/>
        <v>1856.4126575342464</v>
      </c>
      <c r="S63" s="5">
        <f t="shared" si="1"/>
        <v>95.568219178082202</v>
      </c>
      <c r="T63" s="5">
        <f t="shared" si="2"/>
        <v>1760.8444383561641</v>
      </c>
      <c r="U63" s="15">
        <f t="shared" si="3"/>
        <v>52</v>
      </c>
      <c r="V63" s="3">
        <f t="shared" si="4"/>
        <v>6239.5893000000005</v>
      </c>
      <c r="W63" s="3">
        <f t="shared" si="5"/>
        <v>62</v>
      </c>
    </row>
    <row r="64" spans="1:23" x14ac:dyDescent="0.2">
      <c r="A64" t="s">
        <v>415</v>
      </c>
      <c r="B64" t="s">
        <v>416</v>
      </c>
      <c r="C64" t="s">
        <v>31</v>
      </c>
      <c r="D64" t="s">
        <v>66</v>
      </c>
      <c r="E64" t="s">
        <v>49</v>
      </c>
      <c r="F64" s="7">
        <v>1241903</v>
      </c>
      <c r="G64" t="s">
        <v>1262</v>
      </c>
      <c r="H64" s="5">
        <v>62439</v>
      </c>
      <c r="I64" s="12">
        <v>45836</v>
      </c>
      <c r="J64" s="15">
        <v>90</v>
      </c>
      <c r="K64" s="15">
        <v>3</v>
      </c>
      <c r="L64" s="9">
        <v>0.15939999999999999</v>
      </c>
      <c r="M64" s="9">
        <v>4.8899999999999999E-2</v>
      </c>
      <c r="N64" s="15">
        <v>8</v>
      </c>
      <c r="O64" t="s">
        <v>27</v>
      </c>
      <c r="P64" t="s">
        <v>28</v>
      </c>
      <c r="Q64" s="24">
        <v>0.9</v>
      </c>
      <c r="R64" s="5">
        <f t="shared" si="0"/>
        <v>2454.1092986301364</v>
      </c>
      <c r="S64" s="5">
        <f t="shared" si="1"/>
        <v>66.920922739726024</v>
      </c>
      <c r="T64" s="5">
        <f t="shared" si="2"/>
        <v>2387.1883758904105</v>
      </c>
      <c r="U64" s="15">
        <f t="shared" si="3"/>
        <v>82</v>
      </c>
      <c r="V64" s="3">
        <f t="shared" si="4"/>
        <v>6209.5585499999997</v>
      </c>
      <c r="W64" s="3">
        <f t="shared" si="5"/>
        <v>63</v>
      </c>
    </row>
    <row r="65" spans="1:23" x14ac:dyDescent="0.2">
      <c r="A65" t="s">
        <v>351</v>
      </c>
      <c r="B65" t="s">
        <v>352</v>
      </c>
      <c r="C65" t="s">
        <v>36</v>
      </c>
      <c r="D65" t="s">
        <v>24</v>
      </c>
      <c r="E65" t="s">
        <v>49</v>
      </c>
      <c r="F65" s="7">
        <v>1439833</v>
      </c>
      <c r="G65" t="s">
        <v>588</v>
      </c>
      <c r="H65" s="5">
        <v>61345</v>
      </c>
      <c r="I65" s="12">
        <v>45861</v>
      </c>
      <c r="J65" s="15">
        <v>90</v>
      </c>
      <c r="K65" s="15">
        <v>5</v>
      </c>
      <c r="L65" s="9">
        <v>0.17630000000000001</v>
      </c>
      <c r="M65" s="9">
        <v>0.05</v>
      </c>
      <c r="N65" s="15">
        <v>8</v>
      </c>
      <c r="O65" t="s">
        <v>27</v>
      </c>
      <c r="P65" t="s">
        <v>28</v>
      </c>
      <c r="Q65" s="24">
        <v>0.8</v>
      </c>
      <c r="R65" s="5">
        <f t="shared" si="0"/>
        <v>2666.7427808219181</v>
      </c>
      <c r="S65" s="5">
        <f t="shared" si="1"/>
        <v>67.227397260273975</v>
      </c>
      <c r="T65" s="5">
        <f t="shared" si="2"/>
        <v>2599.5153835616443</v>
      </c>
      <c r="U65" s="15">
        <f t="shared" si="3"/>
        <v>82</v>
      </c>
      <c r="V65" s="3">
        <f t="shared" si="4"/>
        <v>6198.2988000000014</v>
      </c>
      <c r="W65" s="3">
        <f t="shared" si="5"/>
        <v>64</v>
      </c>
    </row>
    <row r="66" spans="1:23" x14ac:dyDescent="0.2">
      <c r="A66" t="s">
        <v>142</v>
      </c>
      <c r="B66" t="s">
        <v>143</v>
      </c>
      <c r="C66" t="s">
        <v>36</v>
      </c>
      <c r="D66" t="s">
        <v>66</v>
      </c>
      <c r="E66" t="s">
        <v>49</v>
      </c>
      <c r="F66" s="7">
        <v>735440</v>
      </c>
      <c r="G66" t="s">
        <v>515</v>
      </c>
      <c r="H66" s="5">
        <v>103861</v>
      </c>
      <c r="I66" s="12">
        <v>46077</v>
      </c>
      <c r="J66" s="15">
        <v>90</v>
      </c>
      <c r="K66" s="15">
        <v>5</v>
      </c>
      <c r="L66" s="9">
        <v>0.13020000000000001</v>
      </c>
      <c r="M66" s="9">
        <v>6.4500000000000002E-2</v>
      </c>
      <c r="N66" s="15">
        <v>5</v>
      </c>
      <c r="O66" t="s">
        <v>27</v>
      </c>
      <c r="P66" t="s">
        <v>28</v>
      </c>
      <c r="Q66" s="24">
        <v>0.9</v>
      </c>
      <c r="R66" s="5">
        <f t="shared" ref="R66:R129" si="6">H66*L66*(J66/365)</f>
        <v>3334.3649260273974</v>
      </c>
      <c r="S66" s="5">
        <f t="shared" ref="S66:S129" si="7">H66*M66*(N66/365)</f>
        <v>91.767595890410945</v>
      </c>
      <c r="T66" s="5">
        <f t="shared" ref="T66:T129" si="8">R66-S66</f>
        <v>3242.5973301369863</v>
      </c>
      <c r="U66" s="15">
        <f t="shared" ref="U66:U129" si="9">J66-N66</f>
        <v>85</v>
      </c>
      <c r="V66" s="3">
        <f t="shared" ref="V66:V129" si="10">Q66*(L66-M66)*H66</f>
        <v>6141.3009300000012</v>
      </c>
      <c r="W66" s="3">
        <f t="shared" ref="W66:W129" si="11">RANK(V66,$V$2:$V$1501)</f>
        <v>65</v>
      </c>
    </row>
    <row r="67" spans="1:23" x14ac:dyDescent="0.2">
      <c r="A67" t="s">
        <v>75</v>
      </c>
      <c r="B67" t="s">
        <v>76</v>
      </c>
      <c r="C67" t="s">
        <v>77</v>
      </c>
      <c r="D67" t="s">
        <v>37</v>
      </c>
      <c r="E67" t="s">
        <v>49</v>
      </c>
      <c r="F67" s="7">
        <v>1309806</v>
      </c>
      <c r="G67" t="s">
        <v>895</v>
      </c>
      <c r="H67" s="5">
        <v>91223</v>
      </c>
      <c r="I67" s="12">
        <v>45839</v>
      </c>
      <c r="J67" s="15">
        <v>90</v>
      </c>
      <c r="K67" s="15">
        <v>7</v>
      </c>
      <c r="L67" s="9">
        <v>0.15210000000000001</v>
      </c>
      <c r="M67" s="9">
        <v>4.8599999999999997E-2</v>
      </c>
      <c r="N67" s="15">
        <v>10</v>
      </c>
      <c r="O67" t="s">
        <v>27</v>
      </c>
      <c r="P67" t="s">
        <v>28</v>
      </c>
      <c r="Q67" s="24">
        <v>0.65</v>
      </c>
      <c r="R67" s="5">
        <f t="shared" si="6"/>
        <v>3421.2373890410959</v>
      </c>
      <c r="S67" s="5">
        <f t="shared" si="7"/>
        <v>121.46404931506848</v>
      </c>
      <c r="T67" s="5">
        <f t="shared" si="8"/>
        <v>3299.7733397260272</v>
      </c>
      <c r="U67" s="15">
        <f t="shared" si="9"/>
        <v>80</v>
      </c>
      <c r="V67" s="3">
        <f t="shared" si="10"/>
        <v>6137.027325</v>
      </c>
      <c r="W67" s="3">
        <f t="shared" si="11"/>
        <v>66</v>
      </c>
    </row>
    <row r="68" spans="1:23" x14ac:dyDescent="0.2">
      <c r="A68" t="s">
        <v>233</v>
      </c>
      <c r="B68" t="s">
        <v>59</v>
      </c>
      <c r="C68" t="s">
        <v>77</v>
      </c>
      <c r="D68" t="s">
        <v>66</v>
      </c>
      <c r="E68" t="s">
        <v>49</v>
      </c>
      <c r="F68" s="7">
        <v>809893</v>
      </c>
      <c r="G68" t="s">
        <v>924</v>
      </c>
      <c r="H68" s="5">
        <v>69154</v>
      </c>
      <c r="I68" s="12">
        <v>46076</v>
      </c>
      <c r="J68" s="15">
        <v>60</v>
      </c>
      <c r="K68" s="15">
        <v>10</v>
      </c>
      <c r="L68" s="9">
        <v>0.15909999999999999</v>
      </c>
      <c r="M68" s="9">
        <v>6.0600000000000001E-2</v>
      </c>
      <c r="N68" s="15">
        <v>5</v>
      </c>
      <c r="O68" t="s">
        <v>27</v>
      </c>
      <c r="P68" t="s">
        <v>28</v>
      </c>
      <c r="Q68" s="24">
        <v>0.9</v>
      </c>
      <c r="R68" s="5">
        <f t="shared" si="6"/>
        <v>1808.6139287671231</v>
      </c>
      <c r="S68" s="5">
        <f t="shared" si="7"/>
        <v>57.407293150684929</v>
      </c>
      <c r="T68" s="5">
        <f t="shared" si="8"/>
        <v>1751.2066356164382</v>
      </c>
      <c r="U68" s="15">
        <f t="shared" si="9"/>
        <v>55</v>
      </c>
      <c r="V68" s="3">
        <f t="shared" si="10"/>
        <v>6130.5020999999997</v>
      </c>
      <c r="W68" s="3">
        <f t="shared" si="11"/>
        <v>67</v>
      </c>
    </row>
    <row r="69" spans="1:23" x14ac:dyDescent="0.2">
      <c r="A69" t="s">
        <v>68</v>
      </c>
      <c r="B69" t="s">
        <v>69</v>
      </c>
      <c r="C69" t="s">
        <v>36</v>
      </c>
      <c r="D69" t="s">
        <v>37</v>
      </c>
      <c r="E69" t="s">
        <v>25</v>
      </c>
      <c r="F69" s="7">
        <v>3469396</v>
      </c>
      <c r="G69" t="s">
        <v>1005</v>
      </c>
      <c r="H69" s="5">
        <v>109805</v>
      </c>
      <c r="I69" s="12">
        <v>45781</v>
      </c>
      <c r="J69" s="15">
        <v>90</v>
      </c>
      <c r="K69" s="15">
        <v>7</v>
      </c>
      <c r="L69" s="9">
        <v>0.1216</v>
      </c>
      <c r="M69" s="9">
        <v>5.1999999999999998E-2</v>
      </c>
      <c r="N69" s="15">
        <v>6</v>
      </c>
      <c r="O69" t="s">
        <v>27</v>
      </c>
      <c r="P69" t="s">
        <v>28</v>
      </c>
      <c r="Q69" s="24">
        <v>0.8</v>
      </c>
      <c r="R69" s="5">
        <f t="shared" si="6"/>
        <v>3292.3449863013698</v>
      </c>
      <c r="S69" s="5">
        <f t="shared" si="7"/>
        <v>93.860712328767107</v>
      </c>
      <c r="T69" s="5">
        <f t="shared" si="8"/>
        <v>3198.4842739726028</v>
      </c>
      <c r="U69" s="15">
        <f t="shared" si="9"/>
        <v>84</v>
      </c>
      <c r="V69" s="3">
        <f t="shared" si="10"/>
        <v>6113.9423999999999</v>
      </c>
      <c r="W69" s="3">
        <f t="shared" si="11"/>
        <v>68</v>
      </c>
    </row>
    <row r="70" spans="1:23" x14ac:dyDescent="0.2">
      <c r="A70" t="s">
        <v>453</v>
      </c>
      <c r="B70" t="s">
        <v>454</v>
      </c>
      <c r="C70" t="s">
        <v>23</v>
      </c>
      <c r="D70" t="s">
        <v>32</v>
      </c>
      <c r="E70" t="s">
        <v>49</v>
      </c>
      <c r="F70" s="7">
        <v>1410716</v>
      </c>
      <c r="G70" t="s">
        <v>804</v>
      </c>
      <c r="H70" s="5">
        <v>74371</v>
      </c>
      <c r="I70" s="12">
        <v>45724</v>
      </c>
      <c r="J70" s="15">
        <v>60</v>
      </c>
      <c r="K70" s="15">
        <v>2</v>
      </c>
      <c r="L70" s="9">
        <v>0.1472</v>
      </c>
      <c r="M70" s="9">
        <v>5.6000000000000001E-2</v>
      </c>
      <c r="N70" s="15">
        <v>7</v>
      </c>
      <c r="O70" t="s">
        <v>28</v>
      </c>
      <c r="P70" t="s">
        <v>28</v>
      </c>
      <c r="Q70" s="24">
        <v>0.9</v>
      </c>
      <c r="R70" s="5">
        <f t="shared" si="6"/>
        <v>1799.5744438356164</v>
      </c>
      <c r="S70" s="5">
        <f t="shared" si="7"/>
        <v>79.872416438356169</v>
      </c>
      <c r="T70" s="5">
        <f t="shared" si="8"/>
        <v>1719.7020273972603</v>
      </c>
      <c r="U70" s="15">
        <f t="shared" si="9"/>
        <v>53</v>
      </c>
      <c r="V70" s="3">
        <f t="shared" si="10"/>
        <v>6104.3716800000002</v>
      </c>
      <c r="W70" s="3">
        <f t="shared" si="11"/>
        <v>69</v>
      </c>
    </row>
    <row r="71" spans="1:23" x14ac:dyDescent="0.2">
      <c r="A71" t="s">
        <v>351</v>
      </c>
      <c r="B71" t="s">
        <v>352</v>
      </c>
      <c r="C71" t="s">
        <v>36</v>
      </c>
      <c r="D71" t="s">
        <v>24</v>
      </c>
      <c r="E71" t="s">
        <v>49</v>
      </c>
      <c r="F71" s="7">
        <v>1439833</v>
      </c>
      <c r="G71" t="s">
        <v>353</v>
      </c>
      <c r="H71" s="5">
        <v>100276</v>
      </c>
      <c r="I71" s="12">
        <v>45754</v>
      </c>
      <c r="J71" s="15">
        <v>60</v>
      </c>
      <c r="K71" s="15">
        <v>5</v>
      </c>
      <c r="L71" s="9">
        <v>0.17630000000000001</v>
      </c>
      <c r="M71" s="9">
        <v>5.5599999999999997E-2</v>
      </c>
      <c r="N71" s="15">
        <v>6</v>
      </c>
      <c r="O71" t="s">
        <v>28</v>
      </c>
      <c r="P71" t="s">
        <v>28</v>
      </c>
      <c r="Q71" s="24">
        <v>0.5</v>
      </c>
      <c r="R71" s="5">
        <f t="shared" si="6"/>
        <v>2906.0808986301372</v>
      </c>
      <c r="S71" s="5">
        <f t="shared" si="7"/>
        <v>91.649516712328747</v>
      </c>
      <c r="T71" s="5">
        <f t="shared" si="8"/>
        <v>2814.4313819178083</v>
      </c>
      <c r="U71" s="15">
        <f t="shared" si="9"/>
        <v>54</v>
      </c>
      <c r="V71" s="3">
        <f t="shared" si="10"/>
        <v>6051.6566000000012</v>
      </c>
      <c r="W71" s="3">
        <f t="shared" si="11"/>
        <v>70</v>
      </c>
    </row>
    <row r="72" spans="1:23" x14ac:dyDescent="0.2">
      <c r="A72" t="s">
        <v>75</v>
      </c>
      <c r="B72" t="s">
        <v>76</v>
      </c>
      <c r="C72" t="s">
        <v>77</v>
      </c>
      <c r="D72" t="s">
        <v>37</v>
      </c>
      <c r="E72" t="s">
        <v>49</v>
      </c>
      <c r="F72" s="7">
        <v>1309806</v>
      </c>
      <c r="G72" t="s">
        <v>78</v>
      </c>
      <c r="H72" s="5">
        <v>97841</v>
      </c>
      <c r="I72" s="12">
        <v>45885</v>
      </c>
      <c r="J72" s="15">
        <v>30</v>
      </c>
      <c r="K72" s="15">
        <v>5</v>
      </c>
      <c r="L72" s="9">
        <v>0.15210000000000001</v>
      </c>
      <c r="M72" s="9">
        <v>5.7299999999999997E-2</v>
      </c>
      <c r="N72" s="15">
        <v>7</v>
      </c>
      <c r="O72" t="s">
        <v>28</v>
      </c>
      <c r="P72" t="s">
        <v>28</v>
      </c>
      <c r="Q72" s="24">
        <v>0.65</v>
      </c>
      <c r="R72" s="5">
        <f t="shared" si="6"/>
        <v>1223.1465287671233</v>
      </c>
      <c r="S72" s="5">
        <f t="shared" si="7"/>
        <v>107.51787698630136</v>
      </c>
      <c r="T72" s="5">
        <f t="shared" si="8"/>
        <v>1115.6286517808219</v>
      </c>
      <c r="U72" s="15">
        <f t="shared" si="9"/>
        <v>23</v>
      </c>
      <c r="V72" s="3">
        <f t="shared" si="10"/>
        <v>6028.9624200000017</v>
      </c>
      <c r="W72" s="3">
        <f t="shared" si="11"/>
        <v>71</v>
      </c>
    </row>
    <row r="73" spans="1:23" x14ac:dyDescent="0.2">
      <c r="A73" t="s">
        <v>308</v>
      </c>
      <c r="B73" t="s">
        <v>309</v>
      </c>
      <c r="C73" t="s">
        <v>31</v>
      </c>
      <c r="D73" t="s">
        <v>24</v>
      </c>
      <c r="E73" t="s">
        <v>49</v>
      </c>
      <c r="F73" s="7">
        <v>1224427</v>
      </c>
      <c r="G73" t="s">
        <v>369</v>
      </c>
      <c r="H73" s="5">
        <v>66090</v>
      </c>
      <c r="I73" s="12">
        <v>45698</v>
      </c>
      <c r="J73" s="15">
        <v>90</v>
      </c>
      <c r="K73" s="15">
        <v>7</v>
      </c>
      <c r="L73" s="9">
        <v>0.15670000000000001</v>
      </c>
      <c r="M73" s="9">
        <v>5.5599999999999997E-2</v>
      </c>
      <c r="N73" s="15">
        <v>8</v>
      </c>
      <c r="O73" t="s">
        <v>28</v>
      </c>
      <c r="P73" t="s">
        <v>28</v>
      </c>
      <c r="Q73" s="24">
        <v>0.9</v>
      </c>
      <c r="R73" s="5">
        <f t="shared" si="6"/>
        <v>2553.6089589041094</v>
      </c>
      <c r="S73" s="5">
        <f t="shared" si="7"/>
        <v>80.539265753424658</v>
      </c>
      <c r="T73" s="5">
        <f t="shared" si="8"/>
        <v>2473.0696931506845</v>
      </c>
      <c r="U73" s="15">
        <f t="shared" si="9"/>
        <v>82</v>
      </c>
      <c r="V73" s="3">
        <f t="shared" si="10"/>
        <v>6013.5291000000007</v>
      </c>
      <c r="W73" s="3">
        <f t="shared" si="11"/>
        <v>72</v>
      </c>
    </row>
    <row r="74" spans="1:23" x14ac:dyDescent="0.2">
      <c r="A74" t="s">
        <v>115</v>
      </c>
      <c r="B74" t="s">
        <v>80</v>
      </c>
      <c r="C74" t="s">
        <v>36</v>
      </c>
      <c r="D74" t="s">
        <v>24</v>
      </c>
      <c r="E74" t="s">
        <v>49</v>
      </c>
      <c r="F74" s="7">
        <v>373467</v>
      </c>
      <c r="G74" t="s">
        <v>1739</v>
      </c>
      <c r="H74" s="5">
        <v>95087</v>
      </c>
      <c r="I74" s="12">
        <v>45768</v>
      </c>
      <c r="J74" s="15">
        <v>30</v>
      </c>
      <c r="K74" s="15">
        <v>5</v>
      </c>
      <c r="L74" s="9">
        <v>0.126</v>
      </c>
      <c r="M74" s="9">
        <v>4.7300000000000002E-2</v>
      </c>
      <c r="N74" s="15">
        <v>5</v>
      </c>
      <c r="O74" t="s">
        <v>27</v>
      </c>
      <c r="P74" t="s">
        <v>28</v>
      </c>
      <c r="Q74" s="24">
        <v>0.8</v>
      </c>
      <c r="R74" s="5">
        <f t="shared" si="6"/>
        <v>984.73660273972598</v>
      </c>
      <c r="S74" s="5">
        <f t="shared" si="7"/>
        <v>61.61116575342465</v>
      </c>
      <c r="T74" s="5">
        <f t="shared" si="8"/>
        <v>923.12543698630134</v>
      </c>
      <c r="U74" s="15">
        <f t="shared" si="9"/>
        <v>25</v>
      </c>
      <c r="V74" s="3">
        <f t="shared" si="10"/>
        <v>5986.6775200000002</v>
      </c>
      <c r="W74" s="3">
        <f t="shared" si="11"/>
        <v>73</v>
      </c>
    </row>
    <row r="75" spans="1:23" x14ac:dyDescent="0.2">
      <c r="A75" t="s">
        <v>453</v>
      </c>
      <c r="B75" t="s">
        <v>454</v>
      </c>
      <c r="C75" t="s">
        <v>23</v>
      </c>
      <c r="D75" t="s">
        <v>32</v>
      </c>
      <c r="E75" t="s">
        <v>49</v>
      </c>
      <c r="F75" s="7">
        <v>1410716</v>
      </c>
      <c r="G75" t="s">
        <v>692</v>
      </c>
      <c r="H75" s="5">
        <v>95042</v>
      </c>
      <c r="I75" s="12">
        <v>45845</v>
      </c>
      <c r="J75" s="15">
        <v>60</v>
      </c>
      <c r="K75" s="15">
        <v>10</v>
      </c>
      <c r="L75" s="9">
        <v>0.1472</v>
      </c>
      <c r="M75" s="9">
        <v>5.0299999999999997E-2</v>
      </c>
      <c r="N75" s="15">
        <v>10</v>
      </c>
      <c r="O75" t="s">
        <v>27</v>
      </c>
      <c r="P75" t="s">
        <v>28</v>
      </c>
      <c r="Q75" s="24">
        <v>0.65</v>
      </c>
      <c r="R75" s="5">
        <f t="shared" si="6"/>
        <v>2299.756010958904</v>
      </c>
      <c r="S75" s="5">
        <f t="shared" si="7"/>
        <v>130.97568767123286</v>
      </c>
      <c r="T75" s="5">
        <f t="shared" si="8"/>
        <v>2168.7803232876713</v>
      </c>
      <c r="U75" s="15">
        <f t="shared" si="9"/>
        <v>50</v>
      </c>
      <c r="V75" s="3">
        <f t="shared" si="10"/>
        <v>5986.22037</v>
      </c>
      <c r="W75" s="3">
        <f t="shared" si="11"/>
        <v>74</v>
      </c>
    </row>
    <row r="76" spans="1:23" x14ac:dyDescent="0.2">
      <c r="A76" t="s">
        <v>133</v>
      </c>
      <c r="B76" t="s">
        <v>134</v>
      </c>
      <c r="C76" t="s">
        <v>36</v>
      </c>
      <c r="D76" t="s">
        <v>24</v>
      </c>
      <c r="E76" t="s">
        <v>25</v>
      </c>
      <c r="F76" s="7">
        <v>6056843</v>
      </c>
      <c r="G76" t="s">
        <v>1562</v>
      </c>
      <c r="H76" s="5">
        <v>89458</v>
      </c>
      <c r="I76" s="12">
        <v>46034</v>
      </c>
      <c r="J76" s="15">
        <v>45</v>
      </c>
      <c r="K76" s="15">
        <v>2</v>
      </c>
      <c r="L76" s="9">
        <v>0.12520000000000001</v>
      </c>
      <c r="M76" s="9">
        <v>5.1799999999999999E-2</v>
      </c>
      <c r="N76" s="15">
        <v>10</v>
      </c>
      <c r="O76" t="s">
        <v>27</v>
      </c>
      <c r="P76" t="s">
        <v>28</v>
      </c>
      <c r="Q76" s="24">
        <v>0.9</v>
      </c>
      <c r="R76" s="5">
        <f t="shared" si="6"/>
        <v>1380.8393753424657</v>
      </c>
      <c r="S76" s="5">
        <f t="shared" si="7"/>
        <v>126.95683287671231</v>
      </c>
      <c r="T76" s="5">
        <f t="shared" si="8"/>
        <v>1253.8825424657534</v>
      </c>
      <c r="U76" s="15">
        <f t="shared" si="9"/>
        <v>35</v>
      </c>
      <c r="V76" s="3">
        <f t="shared" si="10"/>
        <v>5909.5954800000009</v>
      </c>
      <c r="W76" s="3">
        <f t="shared" si="11"/>
        <v>75</v>
      </c>
    </row>
    <row r="77" spans="1:23" x14ac:dyDescent="0.2">
      <c r="A77" t="s">
        <v>85</v>
      </c>
      <c r="B77" t="s">
        <v>86</v>
      </c>
      <c r="C77" t="s">
        <v>36</v>
      </c>
      <c r="D77" t="s">
        <v>37</v>
      </c>
      <c r="E77" t="s">
        <v>25</v>
      </c>
      <c r="F77" s="7">
        <v>1954421</v>
      </c>
      <c r="G77" t="s">
        <v>1227</v>
      </c>
      <c r="H77" s="5">
        <v>103791</v>
      </c>
      <c r="I77" s="12">
        <v>46033</v>
      </c>
      <c r="J77" s="15">
        <v>60</v>
      </c>
      <c r="K77" s="15">
        <v>4</v>
      </c>
      <c r="L77" s="9">
        <v>0.1237</v>
      </c>
      <c r="M77" s="9">
        <v>5.28E-2</v>
      </c>
      <c r="N77" s="15">
        <v>6</v>
      </c>
      <c r="O77" t="s">
        <v>27</v>
      </c>
      <c r="P77" t="s">
        <v>28</v>
      </c>
      <c r="Q77" s="24">
        <v>0.8</v>
      </c>
      <c r="R77" s="5">
        <f t="shared" si="6"/>
        <v>2110.5117863013697</v>
      </c>
      <c r="S77" s="5">
        <f t="shared" si="7"/>
        <v>90.084900821917799</v>
      </c>
      <c r="T77" s="5">
        <f t="shared" si="8"/>
        <v>2020.426885479452</v>
      </c>
      <c r="U77" s="15">
        <f t="shared" si="9"/>
        <v>54</v>
      </c>
      <c r="V77" s="3">
        <f t="shared" si="10"/>
        <v>5887.0255200000011</v>
      </c>
      <c r="W77" s="3">
        <f t="shared" si="11"/>
        <v>76</v>
      </c>
    </row>
    <row r="78" spans="1:23" x14ac:dyDescent="0.2">
      <c r="A78" t="s">
        <v>117</v>
      </c>
      <c r="B78" t="s">
        <v>118</v>
      </c>
      <c r="C78" t="s">
        <v>77</v>
      </c>
      <c r="D78" t="s">
        <v>32</v>
      </c>
      <c r="E78" t="s">
        <v>25</v>
      </c>
      <c r="F78" s="7">
        <v>6024640</v>
      </c>
      <c r="G78" t="s">
        <v>1172</v>
      </c>
      <c r="H78" s="5">
        <v>102831</v>
      </c>
      <c r="I78" s="12">
        <v>45986</v>
      </c>
      <c r="J78" s="15">
        <v>60</v>
      </c>
      <c r="K78" s="15">
        <v>7</v>
      </c>
      <c r="L78" s="9">
        <v>0.13769999999999999</v>
      </c>
      <c r="M78" s="9">
        <v>5.0099999999999999E-2</v>
      </c>
      <c r="N78" s="15">
        <v>10</v>
      </c>
      <c r="O78" t="s">
        <v>27</v>
      </c>
      <c r="P78" t="s">
        <v>28</v>
      </c>
      <c r="Q78" s="24">
        <v>0.65</v>
      </c>
      <c r="R78" s="5">
        <f t="shared" si="6"/>
        <v>2327.6430739726025</v>
      </c>
      <c r="S78" s="5">
        <f t="shared" si="7"/>
        <v>141.14611232876712</v>
      </c>
      <c r="T78" s="5">
        <f t="shared" si="8"/>
        <v>2186.4969616438352</v>
      </c>
      <c r="U78" s="15">
        <f t="shared" si="9"/>
        <v>50</v>
      </c>
      <c r="V78" s="3">
        <f t="shared" si="10"/>
        <v>5855.1971399999993</v>
      </c>
      <c r="W78" s="3">
        <f t="shared" si="11"/>
        <v>77</v>
      </c>
    </row>
    <row r="79" spans="1:23" x14ac:dyDescent="0.2">
      <c r="A79" t="s">
        <v>401</v>
      </c>
      <c r="B79" t="s">
        <v>402</v>
      </c>
      <c r="C79" t="s">
        <v>41</v>
      </c>
      <c r="D79" t="s">
        <v>32</v>
      </c>
      <c r="E79" t="s">
        <v>25</v>
      </c>
      <c r="F79" s="7">
        <v>4153903</v>
      </c>
      <c r="G79" t="s">
        <v>666</v>
      </c>
      <c r="H79" s="5">
        <v>79746</v>
      </c>
      <c r="I79" s="12">
        <v>45756</v>
      </c>
      <c r="J79" s="15">
        <v>60</v>
      </c>
      <c r="K79" s="15">
        <v>4</v>
      </c>
      <c r="L79" s="9">
        <v>0.13669999999999999</v>
      </c>
      <c r="M79" s="9">
        <v>5.5300000000000002E-2</v>
      </c>
      <c r="N79" s="15">
        <v>10</v>
      </c>
      <c r="O79" t="s">
        <v>27</v>
      </c>
      <c r="P79" t="s">
        <v>28</v>
      </c>
      <c r="Q79" s="24">
        <v>0.9</v>
      </c>
      <c r="R79" s="5">
        <f t="shared" si="6"/>
        <v>1791.990936986301</v>
      </c>
      <c r="S79" s="5">
        <f t="shared" si="7"/>
        <v>120.82065205479452</v>
      </c>
      <c r="T79" s="5">
        <f t="shared" si="8"/>
        <v>1671.1702849315066</v>
      </c>
      <c r="U79" s="15">
        <f t="shared" si="9"/>
        <v>50</v>
      </c>
      <c r="V79" s="3">
        <f t="shared" si="10"/>
        <v>5842.1919599999992</v>
      </c>
      <c r="W79" s="3">
        <f t="shared" si="11"/>
        <v>78</v>
      </c>
    </row>
    <row r="80" spans="1:23" x14ac:dyDescent="0.2">
      <c r="A80" t="s">
        <v>217</v>
      </c>
      <c r="B80" t="s">
        <v>218</v>
      </c>
      <c r="C80" t="s">
        <v>23</v>
      </c>
      <c r="D80" t="s">
        <v>48</v>
      </c>
      <c r="E80" t="s">
        <v>49</v>
      </c>
      <c r="F80" s="7">
        <v>1120197</v>
      </c>
      <c r="G80" t="s">
        <v>1325</v>
      </c>
      <c r="H80" s="5">
        <v>81688</v>
      </c>
      <c r="I80" s="12">
        <v>45737</v>
      </c>
      <c r="J80" s="15">
        <v>60</v>
      </c>
      <c r="K80" s="15">
        <v>5</v>
      </c>
      <c r="L80" s="9">
        <v>0.1338</v>
      </c>
      <c r="M80" s="9">
        <v>5.45E-2</v>
      </c>
      <c r="N80" s="15">
        <v>6</v>
      </c>
      <c r="O80" t="s">
        <v>27</v>
      </c>
      <c r="P80" t="s">
        <v>28</v>
      </c>
      <c r="Q80" s="24">
        <v>0.9</v>
      </c>
      <c r="R80" s="5">
        <f t="shared" si="6"/>
        <v>1796.6883945205479</v>
      </c>
      <c r="S80" s="5">
        <f t="shared" si="7"/>
        <v>73.183495890410953</v>
      </c>
      <c r="T80" s="5">
        <f t="shared" si="8"/>
        <v>1723.5048986301369</v>
      </c>
      <c r="U80" s="15">
        <f t="shared" si="9"/>
        <v>54</v>
      </c>
      <c r="V80" s="3">
        <f t="shared" si="10"/>
        <v>5830.0725600000014</v>
      </c>
      <c r="W80" s="3">
        <f t="shared" si="11"/>
        <v>79</v>
      </c>
    </row>
    <row r="81" spans="1:23" x14ac:dyDescent="0.2">
      <c r="A81" t="s">
        <v>297</v>
      </c>
      <c r="B81" t="s">
        <v>298</v>
      </c>
      <c r="C81" t="s">
        <v>36</v>
      </c>
      <c r="D81" t="s">
        <v>24</v>
      </c>
      <c r="E81" t="s">
        <v>49</v>
      </c>
      <c r="F81" s="7">
        <v>1249897</v>
      </c>
      <c r="G81" t="s">
        <v>1270</v>
      </c>
      <c r="H81" s="5">
        <v>76451</v>
      </c>
      <c r="I81" s="12">
        <v>45878</v>
      </c>
      <c r="J81" s="15">
        <v>30</v>
      </c>
      <c r="K81" s="15">
        <v>2</v>
      </c>
      <c r="L81" s="9">
        <v>0.1452</v>
      </c>
      <c r="M81" s="9">
        <v>6.0499999999999998E-2</v>
      </c>
      <c r="N81" s="15">
        <v>8</v>
      </c>
      <c r="O81" t="s">
        <v>27</v>
      </c>
      <c r="P81" t="s">
        <v>28</v>
      </c>
      <c r="Q81" s="24">
        <v>0.9</v>
      </c>
      <c r="R81" s="5">
        <f t="shared" si="6"/>
        <v>912.38508493150675</v>
      </c>
      <c r="S81" s="5">
        <f t="shared" si="7"/>
        <v>101.37612054794521</v>
      </c>
      <c r="T81" s="5">
        <f t="shared" si="8"/>
        <v>811.00896438356153</v>
      </c>
      <c r="U81" s="15">
        <f t="shared" si="9"/>
        <v>22</v>
      </c>
      <c r="V81" s="3">
        <f t="shared" si="10"/>
        <v>5827.8597300000001</v>
      </c>
      <c r="W81" s="3">
        <f t="shared" si="11"/>
        <v>80</v>
      </c>
    </row>
    <row r="82" spans="1:23" x14ac:dyDescent="0.2">
      <c r="A82" t="s">
        <v>117</v>
      </c>
      <c r="B82" t="s">
        <v>118</v>
      </c>
      <c r="C82" t="s">
        <v>77</v>
      </c>
      <c r="D82" t="s">
        <v>32</v>
      </c>
      <c r="E82" t="s">
        <v>25</v>
      </c>
      <c r="F82" s="7">
        <v>6024640</v>
      </c>
      <c r="G82" t="s">
        <v>1182</v>
      </c>
      <c r="H82" s="5">
        <v>85303</v>
      </c>
      <c r="I82" s="12">
        <v>46061</v>
      </c>
      <c r="J82" s="15">
        <v>30</v>
      </c>
      <c r="K82" s="15">
        <v>5</v>
      </c>
      <c r="L82" s="9">
        <v>0.13769999999999999</v>
      </c>
      <c r="M82" s="9">
        <v>5.2999999999999999E-2</v>
      </c>
      <c r="N82" s="15">
        <v>10</v>
      </c>
      <c r="O82" t="s">
        <v>27</v>
      </c>
      <c r="P82" t="s">
        <v>28</v>
      </c>
      <c r="Q82" s="24">
        <v>0.8</v>
      </c>
      <c r="R82" s="5">
        <f t="shared" si="6"/>
        <v>965.44299452054781</v>
      </c>
      <c r="S82" s="5">
        <f t="shared" si="7"/>
        <v>123.86463013698631</v>
      </c>
      <c r="T82" s="5">
        <f t="shared" si="8"/>
        <v>841.57836438356151</v>
      </c>
      <c r="U82" s="15">
        <f t="shared" si="9"/>
        <v>20</v>
      </c>
      <c r="V82" s="3">
        <f t="shared" si="10"/>
        <v>5780.1312800000005</v>
      </c>
      <c r="W82" s="3">
        <f t="shared" si="11"/>
        <v>81</v>
      </c>
    </row>
    <row r="83" spans="1:23" x14ac:dyDescent="0.2">
      <c r="A83" t="s">
        <v>29</v>
      </c>
      <c r="B83" t="s">
        <v>30</v>
      </c>
      <c r="C83" t="s">
        <v>31</v>
      </c>
      <c r="D83" t="s">
        <v>32</v>
      </c>
      <c r="E83" t="s">
        <v>25</v>
      </c>
      <c r="F83" s="7">
        <v>4331160</v>
      </c>
      <c r="G83" t="s">
        <v>376</v>
      </c>
      <c r="H83" s="5">
        <v>81946</v>
      </c>
      <c r="I83" s="12">
        <v>45898</v>
      </c>
      <c r="J83" s="15">
        <v>60</v>
      </c>
      <c r="K83" s="15">
        <v>4</v>
      </c>
      <c r="L83" s="9">
        <v>0.12809999999999999</v>
      </c>
      <c r="M83" s="9">
        <v>5.0200000000000002E-2</v>
      </c>
      <c r="N83" s="15">
        <v>10</v>
      </c>
      <c r="O83" t="s">
        <v>27</v>
      </c>
      <c r="P83" t="s">
        <v>28</v>
      </c>
      <c r="Q83" s="24">
        <v>0.9</v>
      </c>
      <c r="R83" s="5">
        <f t="shared" si="6"/>
        <v>1725.5807013698627</v>
      </c>
      <c r="S83" s="5">
        <f t="shared" si="7"/>
        <v>112.70381369863013</v>
      </c>
      <c r="T83" s="5">
        <f t="shared" si="8"/>
        <v>1612.8768876712327</v>
      </c>
      <c r="U83" s="15">
        <f t="shared" si="9"/>
        <v>50</v>
      </c>
      <c r="V83" s="3">
        <f t="shared" si="10"/>
        <v>5745.2340600000007</v>
      </c>
      <c r="W83" s="3">
        <f t="shared" si="11"/>
        <v>82</v>
      </c>
    </row>
    <row r="84" spans="1:23" x14ac:dyDescent="0.2">
      <c r="A84" t="s">
        <v>220</v>
      </c>
      <c r="B84" t="s">
        <v>221</v>
      </c>
      <c r="C84" t="s">
        <v>36</v>
      </c>
      <c r="D84" t="s">
        <v>37</v>
      </c>
      <c r="E84" t="s">
        <v>25</v>
      </c>
      <c r="F84" s="7">
        <v>6280246</v>
      </c>
      <c r="G84" t="s">
        <v>1694</v>
      </c>
      <c r="H84" s="5">
        <v>107261</v>
      </c>
      <c r="I84" s="12">
        <v>45782</v>
      </c>
      <c r="J84" s="15">
        <v>45</v>
      </c>
      <c r="K84" s="15">
        <v>5</v>
      </c>
      <c r="L84" s="9">
        <v>0.1205</v>
      </c>
      <c r="M84" s="9">
        <v>5.3600000000000002E-2</v>
      </c>
      <c r="N84" s="15">
        <v>7</v>
      </c>
      <c r="O84" t="s">
        <v>27</v>
      </c>
      <c r="P84" t="s">
        <v>28</v>
      </c>
      <c r="Q84" s="24">
        <v>0.8</v>
      </c>
      <c r="R84" s="5">
        <f t="shared" si="6"/>
        <v>1593.4870479452052</v>
      </c>
      <c r="S84" s="5">
        <f t="shared" si="7"/>
        <v>110.25843068493153</v>
      </c>
      <c r="T84" s="5">
        <f t="shared" si="8"/>
        <v>1483.2286172602737</v>
      </c>
      <c r="U84" s="15">
        <f t="shared" si="9"/>
        <v>38</v>
      </c>
      <c r="V84" s="3">
        <f t="shared" si="10"/>
        <v>5740.6087199999993</v>
      </c>
      <c r="W84" s="3">
        <f t="shared" si="11"/>
        <v>83</v>
      </c>
    </row>
    <row r="85" spans="1:23" x14ac:dyDescent="0.2">
      <c r="A85" t="s">
        <v>166</v>
      </c>
      <c r="B85" t="s">
        <v>167</v>
      </c>
      <c r="C85" t="s">
        <v>41</v>
      </c>
      <c r="D85" t="s">
        <v>24</v>
      </c>
      <c r="E85" t="s">
        <v>25</v>
      </c>
      <c r="F85" s="7">
        <v>6222733</v>
      </c>
      <c r="G85" t="s">
        <v>1538</v>
      </c>
      <c r="H85" s="5">
        <v>107679</v>
      </c>
      <c r="I85" s="12">
        <v>45914</v>
      </c>
      <c r="J85" s="15">
        <v>90</v>
      </c>
      <c r="K85" s="15">
        <v>10</v>
      </c>
      <c r="L85" s="9">
        <v>0.13980000000000001</v>
      </c>
      <c r="M85" s="9">
        <v>5.7799999999999997E-2</v>
      </c>
      <c r="N85" s="15">
        <v>8</v>
      </c>
      <c r="O85" t="s">
        <v>28</v>
      </c>
      <c r="P85" t="s">
        <v>28</v>
      </c>
      <c r="Q85" s="24">
        <v>0.65</v>
      </c>
      <c r="R85" s="5">
        <f t="shared" si="6"/>
        <v>3711.827884931507</v>
      </c>
      <c r="S85" s="5">
        <f t="shared" si="7"/>
        <v>136.41306739726028</v>
      </c>
      <c r="T85" s="5">
        <f t="shared" si="8"/>
        <v>3575.4148175342466</v>
      </c>
      <c r="U85" s="15">
        <f t="shared" si="9"/>
        <v>82</v>
      </c>
      <c r="V85" s="3">
        <f t="shared" si="10"/>
        <v>5739.2907000000014</v>
      </c>
      <c r="W85" s="3">
        <f t="shared" si="11"/>
        <v>84</v>
      </c>
    </row>
    <row r="86" spans="1:23" x14ac:dyDescent="0.2">
      <c r="A86" t="s">
        <v>501</v>
      </c>
      <c r="B86" t="s">
        <v>502</v>
      </c>
      <c r="C86" t="s">
        <v>23</v>
      </c>
      <c r="D86" t="s">
        <v>32</v>
      </c>
      <c r="E86" t="s">
        <v>49</v>
      </c>
      <c r="F86" s="7">
        <v>412494</v>
      </c>
      <c r="G86" t="s">
        <v>832</v>
      </c>
      <c r="H86" s="5">
        <v>61856</v>
      </c>
      <c r="I86" s="12">
        <v>46060</v>
      </c>
      <c r="J86" s="15">
        <v>60</v>
      </c>
      <c r="K86" s="15">
        <v>5</v>
      </c>
      <c r="L86" s="9">
        <v>0.15989999999999999</v>
      </c>
      <c r="M86" s="9">
        <v>5.7200000000000001E-2</v>
      </c>
      <c r="N86" s="15">
        <v>10</v>
      </c>
      <c r="O86" t="s">
        <v>27</v>
      </c>
      <c r="P86" t="s">
        <v>28</v>
      </c>
      <c r="Q86" s="24">
        <v>0.9</v>
      </c>
      <c r="R86" s="5">
        <f t="shared" si="6"/>
        <v>1625.8807232876709</v>
      </c>
      <c r="S86" s="5">
        <f t="shared" si="7"/>
        <v>96.935978082191781</v>
      </c>
      <c r="T86" s="5">
        <f t="shared" si="8"/>
        <v>1528.9447452054792</v>
      </c>
      <c r="U86" s="15">
        <f t="shared" si="9"/>
        <v>50</v>
      </c>
      <c r="V86" s="3">
        <f t="shared" si="10"/>
        <v>5717.3500799999993</v>
      </c>
      <c r="W86" s="3">
        <f t="shared" si="11"/>
        <v>85</v>
      </c>
    </row>
    <row r="87" spans="1:23" x14ac:dyDescent="0.2">
      <c r="A87" t="s">
        <v>308</v>
      </c>
      <c r="B87" t="s">
        <v>309</v>
      </c>
      <c r="C87" t="s">
        <v>31</v>
      </c>
      <c r="D87" t="s">
        <v>24</v>
      </c>
      <c r="E87" t="s">
        <v>49</v>
      </c>
      <c r="F87" s="7">
        <v>1224427</v>
      </c>
      <c r="G87" t="s">
        <v>456</v>
      </c>
      <c r="H87" s="5">
        <v>105079</v>
      </c>
      <c r="I87" s="12">
        <v>45674</v>
      </c>
      <c r="J87" s="15">
        <v>60</v>
      </c>
      <c r="K87" s="15">
        <v>5</v>
      </c>
      <c r="L87" s="9">
        <v>0.15670000000000001</v>
      </c>
      <c r="M87" s="9">
        <v>4.8300000000000003E-2</v>
      </c>
      <c r="N87" s="15">
        <v>10</v>
      </c>
      <c r="O87" t="s">
        <v>28</v>
      </c>
      <c r="P87" t="s">
        <v>28</v>
      </c>
      <c r="Q87" s="24">
        <v>0.5</v>
      </c>
      <c r="R87" s="5">
        <f t="shared" si="6"/>
        <v>2706.7198849315068</v>
      </c>
      <c r="S87" s="5">
        <f t="shared" si="7"/>
        <v>139.04974520547944</v>
      </c>
      <c r="T87" s="5">
        <f t="shared" si="8"/>
        <v>2567.6701397260276</v>
      </c>
      <c r="U87" s="15">
        <f t="shared" si="9"/>
        <v>50</v>
      </c>
      <c r="V87" s="3">
        <f t="shared" si="10"/>
        <v>5695.2817999999997</v>
      </c>
      <c r="W87" s="3">
        <f t="shared" si="11"/>
        <v>86</v>
      </c>
    </row>
    <row r="88" spans="1:23" x14ac:dyDescent="0.2">
      <c r="A88" t="s">
        <v>58</v>
      </c>
      <c r="B88" t="s">
        <v>59</v>
      </c>
      <c r="C88" t="s">
        <v>23</v>
      </c>
      <c r="D88" t="s">
        <v>24</v>
      </c>
      <c r="E88" t="s">
        <v>25</v>
      </c>
      <c r="F88" s="7">
        <v>4269919</v>
      </c>
      <c r="G88" t="s">
        <v>1721</v>
      </c>
      <c r="H88" s="5">
        <v>105685</v>
      </c>
      <c r="I88" s="12">
        <v>46051</v>
      </c>
      <c r="J88" s="15">
        <v>30</v>
      </c>
      <c r="K88" s="15">
        <v>5</v>
      </c>
      <c r="L88" s="9">
        <v>0.1212</v>
      </c>
      <c r="M88" s="9">
        <v>6.1600000000000002E-2</v>
      </c>
      <c r="N88" s="15">
        <v>5</v>
      </c>
      <c r="O88" t="s">
        <v>27</v>
      </c>
      <c r="P88" t="s">
        <v>28</v>
      </c>
      <c r="Q88" s="24">
        <v>0.9</v>
      </c>
      <c r="R88" s="5">
        <f t="shared" si="6"/>
        <v>1052.7963287671232</v>
      </c>
      <c r="S88" s="5">
        <f t="shared" si="7"/>
        <v>89.180767123287666</v>
      </c>
      <c r="T88" s="5">
        <f t="shared" si="8"/>
        <v>963.61556164383558</v>
      </c>
      <c r="U88" s="15">
        <f t="shared" si="9"/>
        <v>25</v>
      </c>
      <c r="V88" s="3">
        <f t="shared" si="10"/>
        <v>5668.9434000000001</v>
      </c>
      <c r="W88" s="3">
        <f t="shared" si="11"/>
        <v>87</v>
      </c>
    </row>
    <row r="89" spans="1:23" x14ac:dyDescent="0.2">
      <c r="A89" t="s">
        <v>438</v>
      </c>
      <c r="B89" t="s">
        <v>439</v>
      </c>
      <c r="C89" t="s">
        <v>41</v>
      </c>
      <c r="D89" t="s">
        <v>48</v>
      </c>
      <c r="E89" t="s">
        <v>25</v>
      </c>
      <c r="F89" s="7">
        <v>2438415</v>
      </c>
      <c r="G89" t="s">
        <v>1076</v>
      </c>
      <c r="H89" s="5">
        <v>69670</v>
      </c>
      <c r="I89" s="12">
        <v>45897</v>
      </c>
      <c r="J89" s="15">
        <v>30</v>
      </c>
      <c r="K89" s="15">
        <v>3</v>
      </c>
      <c r="L89" s="9">
        <v>0.13650000000000001</v>
      </c>
      <c r="M89" s="9">
        <v>4.6100000000000002E-2</v>
      </c>
      <c r="N89" s="15">
        <v>6</v>
      </c>
      <c r="O89" t="s">
        <v>28</v>
      </c>
      <c r="P89" t="s">
        <v>28</v>
      </c>
      <c r="Q89" s="24">
        <v>0.9</v>
      </c>
      <c r="R89" s="5">
        <f t="shared" si="6"/>
        <v>781.64013698630129</v>
      </c>
      <c r="S89" s="5">
        <f t="shared" si="7"/>
        <v>52.796498630136988</v>
      </c>
      <c r="T89" s="5">
        <f t="shared" si="8"/>
        <v>728.84363835616432</v>
      </c>
      <c r="U89" s="15">
        <f t="shared" si="9"/>
        <v>24</v>
      </c>
      <c r="V89" s="3">
        <f t="shared" si="10"/>
        <v>5668.351200000001</v>
      </c>
      <c r="W89" s="3">
        <f t="shared" si="11"/>
        <v>88</v>
      </c>
    </row>
    <row r="90" spans="1:23" x14ac:dyDescent="0.2">
      <c r="A90" t="s">
        <v>593</v>
      </c>
      <c r="B90" t="s">
        <v>594</v>
      </c>
      <c r="C90" t="s">
        <v>36</v>
      </c>
      <c r="D90" t="s">
        <v>66</v>
      </c>
      <c r="E90" t="s">
        <v>25</v>
      </c>
      <c r="F90" s="7">
        <v>3384926</v>
      </c>
      <c r="G90" t="s">
        <v>595</v>
      </c>
      <c r="H90" s="5">
        <v>66862</v>
      </c>
      <c r="I90" s="12">
        <v>45771</v>
      </c>
      <c r="J90" s="15">
        <v>60</v>
      </c>
      <c r="K90" s="15">
        <v>10</v>
      </c>
      <c r="L90" s="9">
        <v>0.1396</v>
      </c>
      <c r="M90" s="9">
        <v>4.5699999999999998E-2</v>
      </c>
      <c r="N90" s="15">
        <v>10</v>
      </c>
      <c r="O90" t="s">
        <v>27</v>
      </c>
      <c r="P90" t="s">
        <v>28</v>
      </c>
      <c r="Q90" s="24">
        <v>0.9</v>
      </c>
      <c r="R90" s="5">
        <f t="shared" si="6"/>
        <v>1534.345512328767</v>
      </c>
      <c r="S90" s="5">
        <f t="shared" si="7"/>
        <v>83.714887671232859</v>
      </c>
      <c r="T90" s="5">
        <f t="shared" si="8"/>
        <v>1450.6306246575341</v>
      </c>
      <c r="U90" s="15">
        <f t="shared" si="9"/>
        <v>50</v>
      </c>
      <c r="V90" s="3">
        <f t="shared" si="10"/>
        <v>5650.5076200000012</v>
      </c>
      <c r="W90" s="3">
        <f t="shared" si="11"/>
        <v>89</v>
      </c>
    </row>
    <row r="91" spans="1:23" x14ac:dyDescent="0.2">
      <c r="A91" t="s">
        <v>285</v>
      </c>
      <c r="B91" t="s">
        <v>286</v>
      </c>
      <c r="C91" t="s">
        <v>77</v>
      </c>
      <c r="D91" t="s">
        <v>32</v>
      </c>
      <c r="E91" t="s">
        <v>25</v>
      </c>
      <c r="F91" s="7">
        <v>6140796</v>
      </c>
      <c r="G91" t="s">
        <v>747</v>
      </c>
      <c r="H91" s="5">
        <v>78904</v>
      </c>
      <c r="I91" s="12">
        <v>45732</v>
      </c>
      <c r="J91" s="15">
        <v>60</v>
      </c>
      <c r="K91" s="15">
        <v>10</v>
      </c>
      <c r="L91" s="9">
        <v>0.13300000000000001</v>
      </c>
      <c r="M91" s="9">
        <v>5.3900000000000003E-2</v>
      </c>
      <c r="N91" s="15">
        <v>5</v>
      </c>
      <c r="O91" t="s">
        <v>27</v>
      </c>
      <c r="P91" t="s">
        <v>28</v>
      </c>
      <c r="Q91" s="24">
        <v>0.9</v>
      </c>
      <c r="R91" s="5">
        <f t="shared" si="6"/>
        <v>1725.0792328767122</v>
      </c>
      <c r="S91" s="5">
        <f t="shared" si="7"/>
        <v>58.259254794520551</v>
      </c>
      <c r="T91" s="5">
        <f t="shared" si="8"/>
        <v>1666.8199780821917</v>
      </c>
      <c r="U91" s="15">
        <f t="shared" si="9"/>
        <v>55</v>
      </c>
      <c r="V91" s="3">
        <f t="shared" si="10"/>
        <v>5617.1757600000001</v>
      </c>
      <c r="W91" s="3">
        <f t="shared" si="11"/>
        <v>90</v>
      </c>
    </row>
    <row r="92" spans="1:23" x14ac:dyDescent="0.2">
      <c r="A92" t="s">
        <v>722</v>
      </c>
      <c r="B92" t="s">
        <v>723</v>
      </c>
      <c r="C92" t="s">
        <v>77</v>
      </c>
      <c r="D92" t="s">
        <v>24</v>
      </c>
      <c r="E92" t="s">
        <v>49</v>
      </c>
      <c r="F92" s="7">
        <v>1097913</v>
      </c>
      <c r="G92" t="s">
        <v>1154</v>
      </c>
      <c r="H92" s="5">
        <v>78115</v>
      </c>
      <c r="I92" s="12">
        <v>45672</v>
      </c>
      <c r="J92" s="15">
        <v>60</v>
      </c>
      <c r="K92" s="15">
        <v>2</v>
      </c>
      <c r="L92" s="9">
        <v>0.16070000000000001</v>
      </c>
      <c r="M92" s="9">
        <v>5.04E-2</v>
      </c>
      <c r="N92" s="15">
        <v>7</v>
      </c>
      <c r="O92" t="s">
        <v>27</v>
      </c>
      <c r="P92" t="s">
        <v>28</v>
      </c>
      <c r="Q92" s="24">
        <v>0.65</v>
      </c>
      <c r="R92" s="5">
        <f t="shared" si="6"/>
        <v>2063.5200821917806</v>
      </c>
      <c r="S92" s="5">
        <f t="shared" si="7"/>
        <v>75.50403287671233</v>
      </c>
      <c r="T92" s="5">
        <f t="shared" si="8"/>
        <v>1988.0160493150684</v>
      </c>
      <c r="U92" s="15">
        <f t="shared" si="9"/>
        <v>53</v>
      </c>
      <c r="V92" s="3">
        <f t="shared" si="10"/>
        <v>5600.4549250000009</v>
      </c>
      <c r="W92" s="3">
        <f t="shared" si="11"/>
        <v>91</v>
      </c>
    </row>
    <row r="93" spans="1:23" x14ac:dyDescent="0.2">
      <c r="A93" t="s">
        <v>415</v>
      </c>
      <c r="B93" t="s">
        <v>416</v>
      </c>
      <c r="C93" t="s">
        <v>31</v>
      </c>
      <c r="D93" t="s">
        <v>66</v>
      </c>
      <c r="E93" t="s">
        <v>49</v>
      </c>
      <c r="F93" s="7">
        <v>1241903</v>
      </c>
      <c r="G93" t="s">
        <v>1623</v>
      </c>
      <c r="H93" s="5">
        <v>54431</v>
      </c>
      <c r="I93" s="12">
        <v>45953</v>
      </c>
      <c r="J93" s="15">
        <v>60</v>
      </c>
      <c r="K93" s="15">
        <v>10</v>
      </c>
      <c r="L93" s="9">
        <v>0.15939999999999999</v>
      </c>
      <c r="M93" s="9">
        <v>4.5499999999999999E-2</v>
      </c>
      <c r="N93" s="15">
        <v>7</v>
      </c>
      <c r="O93" t="s">
        <v>27</v>
      </c>
      <c r="P93" t="s">
        <v>28</v>
      </c>
      <c r="Q93" s="24">
        <v>0.9</v>
      </c>
      <c r="R93" s="5">
        <f t="shared" si="6"/>
        <v>1426.241326027397</v>
      </c>
      <c r="S93" s="5">
        <f t="shared" si="7"/>
        <v>47.496639726027396</v>
      </c>
      <c r="T93" s="5">
        <f t="shared" si="8"/>
        <v>1378.7446863013697</v>
      </c>
      <c r="U93" s="15">
        <f t="shared" si="9"/>
        <v>53</v>
      </c>
      <c r="V93" s="3">
        <f t="shared" si="10"/>
        <v>5579.7218099999991</v>
      </c>
      <c r="W93" s="3">
        <f t="shared" si="11"/>
        <v>92</v>
      </c>
    </row>
    <row r="94" spans="1:23" x14ac:dyDescent="0.2">
      <c r="A94" t="s">
        <v>233</v>
      </c>
      <c r="B94" t="s">
        <v>59</v>
      </c>
      <c r="C94" t="s">
        <v>77</v>
      </c>
      <c r="D94" t="s">
        <v>66</v>
      </c>
      <c r="E94" t="s">
        <v>49</v>
      </c>
      <c r="F94" s="7">
        <v>809893</v>
      </c>
      <c r="G94" t="s">
        <v>1011</v>
      </c>
      <c r="H94" s="5">
        <v>90694</v>
      </c>
      <c r="I94" s="12">
        <v>45754</v>
      </c>
      <c r="J94" s="15">
        <v>60</v>
      </c>
      <c r="K94" s="15">
        <v>10</v>
      </c>
      <c r="L94" s="9">
        <v>0.15909999999999999</v>
      </c>
      <c r="M94" s="9">
        <v>6.4500000000000002E-2</v>
      </c>
      <c r="N94" s="15">
        <v>8</v>
      </c>
      <c r="O94" t="s">
        <v>28</v>
      </c>
      <c r="P94" t="s">
        <v>28</v>
      </c>
      <c r="Q94" s="24">
        <v>0.65</v>
      </c>
      <c r="R94" s="5">
        <f t="shared" si="6"/>
        <v>2371.9586958904106</v>
      </c>
      <c r="S94" s="5">
        <f t="shared" si="7"/>
        <v>128.21398356164383</v>
      </c>
      <c r="T94" s="5">
        <f t="shared" si="8"/>
        <v>2243.7447123287666</v>
      </c>
      <c r="U94" s="15">
        <f t="shared" si="9"/>
        <v>52</v>
      </c>
      <c r="V94" s="3">
        <f t="shared" si="10"/>
        <v>5576.7740599999997</v>
      </c>
      <c r="W94" s="3">
        <f t="shared" si="11"/>
        <v>93</v>
      </c>
    </row>
    <row r="95" spans="1:23" x14ac:dyDescent="0.2">
      <c r="A95" t="s">
        <v>142</v>
      </c>
      <c r="B95" t="s">
        <v>143</v>
      </c>
      <c r="C95" t="s">
        <v>36</v>
      </c>
      <c r="D95" t="s">
        <v>66</v>
      </c>
      <c r="E95" t="s">
        <v>49</v>
      </c>
      <c r="F95" s="7">
        <v>735440</v>
      </c>
      <c r="G95" t="s">
        <v>1699</v>
      </c>
      <c r="H95" s="5">
        <v>87148</v>
      </c>
      <c r="I95" s="12">
        <v>45862</v>
      </c>
      <c r="J95" s="15">
        <v>60</v>
      </c>
      <c r="K95" s="15">
        <v>5</v>
      </c>
      <c r="L95" s="9">
        <v>0.13020000000000001</v>
      </c>
      <c r="M95" s="9">
        <v>5.0500000000000003E-2</v>
      </c>
      <c r="N95" s="15">
        <v>6</v>
      </c>
      <c r="O95" t="s">
        <v>27</v>
      </c>
      <c r="P95" t="s">
        <v>28</v>
      </c>
      <c r="Q95" s="24">
        <v>0.8</v>
      </c>
      <c r="R95" s="5">
        <f t="shared" si="6"/>
        <v>1865.2059616438357</v>
      </c>
      <c r="S95" s="5">
        <f t="shared" si="7"/>
        <v>72.34477808219178</v>
      </c>
      <c r="T95" s="5">
        <f t="shared" si="8"/>
        <v>1792.8611835616439</v>
      </c>
      <c r="U95" s="15">
        <f t="shared" si="9"/>
        <v>54</v>
      </c>
      <c r="V95" s="3">
        <f t="shared" si="10"/>
        <v>5556.5564800000011</v>
      </c>
      <c r="W95" s="3">
        <f t="shared" si="11"/>
        <v>94</v>
      </c>
    </row>
    <row r="96" spans="1:23" x14ac:dyDescent="0.2">
      <c r="A96" t="s">
        <v>521</v>
      </c>
      <c r="B96" t="s">
        <v>522</v>
      </c>
      <c r="C96" t="s">
        <v>23</v>
      </c>
      <c r="D96" t="s">
        <v>66</v>
      </c>
      <c r="E96" t="s">
        <v>49</v>
      </c>
      <c r="F96" s="7">
        <v>617401</v>
      </c>
      <c r="G96" t="s">
        <v>1000</v>
      </c>
      <c r="H96" s="5">
        <v>69925</v>
      </c>
      <c r="I96" s="12">
        <v>46075</v>
      </c>
      <c r="J96" s="15">
        <v>90</v>
      </c>
      <c r="K96" s="15">
        <v>7</v>
      </c>
      <c r="L96" s="9">
        <v>0.1429</v>
      </c>
      <c r="M96" s="9">
        <v>5.5500000000000001E-2</v>
      </c>
      <c r="N96" s="15">
        <v>7</v>
      </c>
      <c r="O96" t="s">
        <v>28</v>
      </c>
      <c r="P96" t="s">
        <v>28</v>
      </c>
      <c r="Q96" s="24">
        <v>0.9</v>
      </c>
      <c r="R96" s="5">
        <f t="shared" si="6"/>
        <v>2463.8504794520545</v>
      </c>
      <c r="S96" s="5">
        <f t="shared" si="7"/>
        <v>74.427020547945204</v>
      </c>
      <c r="T96" s="5">
        <f t="shared" si="8"/>
        <v>2389.4234589041093</v>
      </c>
      <c r="U96" s="15">
        <f t="shared" si="9"/>
        <v>83</v>
      </c>
      <c r="V96" s="3">
        <f t="shared" si="10"/>
        <v>5500.3005000000003</v>
      </c>
      <c r="W96" s="3">
        <f t="shared" si="11"/>
        <v>95</v>
      </c>
    </row>
    <row r="97" spans="1:23" x14ac:dyDescent="0.2">
      <c r="A97" t="s">
        <v>401</v>
      </c>
      <c r="B97" t="s">
        <v>402</v>
      </c>
      <c r="C97" t="s">
        <v>41</v>
      </c>
      <c r="D97" t="s">
        <v>32</v>
      </c>
      <c r="E97" t="s">
        <v>25</v>
      </c>
      <c r="F97" s="7">
        <v>4153903</v>
      </c>
      <c r="G97" t="s">
        <v>1579</v>
      </c>
      <c r="H97" s="5">
        <v>86108</v>
      </c>
      <c r="I97" s="12">
        <v>46066</v>
      </c>
      <c r="J97" s="15">
        <v>60</v>
      </c>
      <c r="K97" s="15">
        <v>7</v>
      </c>
      <c r="L97" s="9">
        <v>0.13669999999999999</v>
      </c>
      <c r="M97" s="9">
        <v>5.7599999999999998E-2</v>
      </c>
      <c r="N97" s="15">
        <v>8</v>
      </c>
      <c r="O97" t="s">
        <v>27</v>
      </c>
      <c r="P97" t="s">
        <v>28</v>
      </c>
      <c r="Q97" s="24">
        <v>0.8</v>
      </c>
      <c r="R97" s="5">
        <f t="shared" si="6"/>
        <v>1934.952920547945</v>
      </c>
      <c r="S97" s="5">
        <f t="shared" si="7"/>
        <v>108.70840109589039</v>
      </c>
      <c r="T97" s="5">
        <f t="shared" si="8"/>
        <v>1826.2445194520546</v>
      </c>
      <c r="U97" s="15">
        <f t="shared" si="9"/>
        <v>52</v>
      </c>
      <c r="V97" s="3">
        <f t="shared" si="10"/>
        <v>5448.9142399999992</v>
      </c>
      <c r="W97" s="3">
        <f t="shared" si="11"/>
        <v>96</v>
      </c>
    </row>
    <row r="98" spans="1:23" x14ac:dyDescent="0.2">
      <c r="A98" t="s">
        <v>230</v>
      </c>
      <c r="B98" t="s">
        <v>231</v>
      </c>
      <c r="C98" t="s">
        <v>31</v>
      </c>
      <c r="D98" t="s">
        <v>37</v>
      </c>
      <c r="E98" t="s">
        <v>25</v>
      </c>
      <c r="F98" s="7">
        <v>6782855</v>
      </c>
      <c r="G98" t="s">
        <v>1240</v>
      </c>
      <c r="H98" s="5">
        <v>106897</v>
      </c>
      <c r="I98" s="12">
        <v>45764</v>
      </c>
      <c r="J98" s="15">
        <v>45</v>
      </c>
      <c r="K98" s="15">
        <v>5</v>
      </c>
      <c r="L98" s="9">
        <v>0.1188</v>
      </c>
      <c r="M98" s="9">
        <v>5.5300000000000002E-2</v>
      </c>
      <c r="N98" s="15">
        <v>7</v>
      </c>
      <c r="O98" t="s">
        <v>27</v>
      </c>
      <c r="P98" t="s">
        <v>28</v>
      </c>
      <c r="Q98" s="24">
        <v>0.8</v>
      </c>
      <c r="R98" s="5">
        <f t="shared" si="6"/>
        <v>1565.6749643835617</v>
      </c>
      <c r="S98" s="5">
        <f t="shared" si="7"/>
        <v>113.36939369863016</v>
      </c>
      <c r="T98" s="5">
        <f t="shared" si="8"/>
        <v>1452.3055706849316</v>
      </c>
      <c r="U98" s="15">
        <f t="shared" si="9"/>
        <v>38</v>
      </c>
      <c r="V98" s="3">
        <f t="shared" si="10"/>
        <v>5430.3676000000005</v>
      </c>
      <c r="W98" s="3">
        <f t="shared" si="11"/>
        <v>97</v>
      </c>
    </row>
    <row r="99" spans="1:23" x14ac:dyDescent="0.2">
      <c r="A99" t="s">
        <v>217</v>
      </c>
      <c r="B99" t="s">
        <v>218</v>
      </c>
      <c r="C99" t="s">
        <v>23</v>
      </c>
      <c r="D99" t="s">
        <v>48</v>
      </c>
      <c r="E99" t="s">
        <v>49</v>
      </c>
      <c r="F99" s="7">
        <v>1120197</v>
      </c>
      <c r="G99" t="s">
        <v>375</v>
      </c>
      <c r="H99" s="5">
        <v>103177</v>
      </c>
      <c r="I99" s="12">
        <v>45896</v>
      </c>
      <c r="J99" s="15">
        <v>60</v>
      </c>
      <c r="K99" s="15">
        <v>3</v>
      </c>
      <c r="L99" s="9">
        <v>0.1338</v>
      </c>
      <c r="M99" s="9">
        <v>5.2900000000000003E-2</v>
      </c>
      <c r="N99" s="15">
        <v>6</v>
      </c>
      <c r="O99" t="s">
        <v>27</v>
      </c>
      <c r="P99" t="s">
        <v>28</v>
      </c>
      <c r="Q99" s="24">
        <v>0.65</v>
      </c>
      <c r="R99" s="5">
        <f t="shared" si="6"/>
        <v>2269.3286465753422</v>
      </c>
      <c r="S99" s="5">
        <f t="shared" si="7"/>
        <v>89.721588493150691</v>
      </c>
      <c r="T99" s="5">
        <f t="shared" si="8"/>
        <v>2179.6070580821915</v>
      </c>
      <c r="U99" s="15">
        <f t="shared" si="9"/>
        <v>54</v>
      </c>
      <c r="V99" s="3">
        <f t="shared" si="10"/>
        <v>5425.5625449999998</v>
      </c>
      <c r="W99" s="3">
        <f t="shared" si="11"/>
        <v>98</v>
      </c>
    </row>
    <row r="100" spans="1:23" x14ac:dyDescent="0.2">
      <c r="A100" t="s">
        <v>61</v>
      </c>
      <c r="B100" t="s">
        <v>62</v>
      </c>
      <c r="C100" t="s">
        <v>31</v>
      </c>
      <c r="D100" t="s">
        <v>48</v>
      </c>
      <c r="E100" t="s">
        <v>25</v>
      </c>
      <c r="F100" s="7">
        <v>3350013</v>
      </c>
      <c r="G100" t="s">
        <v>1490</v>
      </c>
      <c r="H100" s="5">
        <v>102660</v>
      </c>
      <c r="I100" s="12">
        <v>45805</v>
      </c>
      <c r="J100" s="15">
        <v>45</v>
      </c>
      <c r="K100" s="15">
        <v>3</v>
      </c>
      <c r="L100" s="9">
        <v>0.1144</v>
      </c>
      <c r="M100" s="9">
        <v>4.8399999999999999E-2</v>
      </c>
      <c r="N100" s="15">
        <v>6</v>
      </c>
      <c r="O100" t="s">
        <v>27</v>
      </c>
      <c r="P100" t="s">
        <v>28</v>
      </c>
      <c r="Q100" s="24">
        <v>0.8</v>
      </c>
      <c r="R100" s="5">
        <f t="shared" si="6"/>
        <v>1447.9278904109588</v>
      </c>
      <c r="S100" s="5">
        <f t="shared" si="7"/>
        <v>81.677983561643828</v>
      </c>
      <c r="T100" s="5">
        <f t="shared" si="8"/>
        <v>1366.2499068493148</v>
      </c>
      <c r="U100" s="15">
        <f t="shared" si="9"/>
        <v>39</v>
      </c>
      <c r="V100" s="3">
        <f t="shared" si="10"/>
        <v>5420.4480000000003</v>
      </c>
      <c r="W100" s="3">
        <f t="shared" si="11"/>
        <v>99</v>
      </c>
    </row>
    <row r="101" spans="1:23" x14ac:dyDescent="0.2">
      <c r="A101" t="s">
        <v>889</v>
      </c>
      <c r="B101" t="s">
        <v>286</v>
      </c>
      <c r="C101" t="s">
        <v>23</v>
      </c>
      <c r="D101" t="s">
        <v>66</v>
      </c>
      <c r="E101" t="s">
        <v>49</v>
      </c>
      <c r="F101" s="7">
        <v>1374525</v>
      </c>
      <c r="G101" t="s">
        <v>1045</v>
      </c>
      <c r="H101" s="5">
        <v>80846</v>
      </c>
      <c r="I101" s="12">
        <v>46035</v>
      </c>
      <c r="J101" s="15">
        <v>45</v>
      </c>
      <c r="K101" s="15">
        <v>2</v>
      </c>
      <c r="L101" s="9">
        <v>0.13320000000000001</v>
      </c>
      <c r="M101" s="9">
        <v>4.9799999999999997E-2</v>
      </c>
      <c r="N101" s="15">
        <v>5</v>
      </c>
      <c r="O101" t="s">
        <v>27</v>
      </c>
      <c r="P101" t="s">
        <v>28</v>
      </c>
      <c r="Q101" s="24">
        <v>0.8</v>
      </c>
      <c r="R101" s="5">
        <f t="shared" si="6"/>
        <v>1327.6463671232877</v>
      </c>
      <c r="S101" s="5">
        <f t="shared" si="7"/>
        <v>55.152476712328763</v>
      </c>
      <c r="T101" s="5">
        <f t="shared" si="8"/>
        <v>1272.493890410959</v>
      </c>
      <c r="U101" s="15">
        <f t="shared" si="9"/>
        <v>40</v>
      </c>
      <c r="V101" s="3">
        <f t="shared" si="10"/>
        <v>5394.0451200000016</v>
      </c>
      <c r="W101" s="3">
        <f t="shared" si="11"/>
        <v>100</v>
      </c>
    </row>
    <row r="102" spans="1:23" x14ac:dyDescent="0.2">
      <c r="A102" t="s">
        <v>105</v>
      </c>
      <c r="B102" t="s">
        <v>106</v>
      </c>
      <c r="C102" t="s">
        <v>41</v>
      </c>
      <c r="D102" t="s">
        <v>66</v>
      </c>
      <c r="E102" t="s">
        <v>49</v>
      </c>
      <c r="F102" s="7">
        <v>1373788</v>
      </c>
      <c r="G102" t="s">
        <v>880</v>
      </c>
      <c r="H102" s="5">
        <v>87324</v>
      </c>
      <c r="I102" s="12">
        <v>45930</v>
      </c>
      <c r="J102" s="15">
        <v>45</v>
      </c>
      <c r="K102" s="15">
        <v>2</v>
      </c>
      <c r="L102" s="9">
        <v>0.17660000000000001</v>
      </c>
      <c r="M102" s="9">
        <v>5.3100000000000001E-2</v>
      </c>
      <c r="N102" s="15">
        <v>5</v>
      </c>
      <c r="O102" t="s">
        <v>27</v>
      </c>
      <c r="P102" t="s">
        <v>28</v>
      </c>
      <c r="Q102" s="24">
        <v>0.5</v>
      </c>
      <c r="R102" s="5">
        <f t="shared" si="6"/>
        <v>1901.2707616438356</v>
      </c>
      <c r="S102" s="5">
        <f t="shared" si="7"/>
        <v>63.519238356164387</v>
      </c>
      <c r="T102" s="5">
        <f t="shared" si="8"/>
        <v>1837.7515232876713</v>
      </c>
      <c r="U102" s="15">
        <f t="shared" si="9"/>
        <v>40</v>
      </c>
      <c r="V102" s="3">
        <f t="shared" si="10"/>
        <v>5392.2569999999996</v>
      </c>
      <c r="W102" s="3">
        <f t="shared" si="11"/>
        <v>101</v>
      </c>
    </row>
    <row r="103" spans="1:23" x14ac:dyDescent="0.2">
      <c r="A103" t="s">
        <v>151</v>
      </c>
      <c r="B103" t="s">
        <v>131</v>
      </c>
      <c r="C103" t="s">
        <v>77</v>
      </c>
      <c r="D103" t="s">
        <v>66</v>
      </c>
      <c r="E103" t="s">
        <v>49</v>
      </c>
      <c r="F103" s="7">
        <v>1106462</v>
      </c>
      <c r="G103" t="s">
        <v>984</v>
      </c>
      <c r="H103" s="5">
        <v>85535</v>
      </c>
      <c r="I103" s="12">
        <v>45875</v>
      </c>
      <c r="J103" s="15">
        <v>30</v>
      </c>
      <c r="K103" s="15">
        <v>10</v>
      </c>
      <c r="L103" s="9">
        <v>0.1328</v>
      </c>
      <c r="M103" s="9">
        <v>6.2799999999999995E-2</v>
      </c>
      <c r="N103" s="15">
        <v>8</v>
      </c>
      <c r="O103" t="s">
        <v>27</v>
      </c>
      <c r="P103" t="s">
        <v>28</v>
      </c>
      <c r="Q103" s="24">
        <v>0.9</v>
      </c>
      <c r="R103" s="5">
        <f t="shared" si="6"/>
        <v>933.62038356164385</v>
      </c>
      <c r="S103" s="5">
        <f t="shared" si="7"/>
        <v>117.73365479452055</v>
      </c>
      <c r="T103" s="5">
        <f t="shared" si="8"/>
        <v>815.88672876712326</v>
      </c>
      <c r="U103" s="15">
        <f t="shared" si="9"/>
        <v>22</v>
      </c>
      <c r="V103" s="3">
        <f t="shared" si="10"/>
        <v>5388.7050000000008</v>
      </c>
      <c r="W103" s="3">
        <f t="shared" si="11"/>
        <v>102</v>
      </c>
    </row>
    <row r="104" spans="1:23" x14ac:dyDescent="0.2">
      <c r="A104" t="s">
        <v>156</v>
      </c>
      <c r="B104" t="s">
        <v>157</v>
      </c>
      <c r="C104" t="s">
        <v>23</v>
      </c>
      <c r="D104" t="s">
        <v>66</v>
      </c>
      <c r="E104" t="s">
        <v>49</v>
      </c>
      <c r="F104" s="7">
        <v>981924</v>
      </c>
      <c r="G104" t="s">
        <v>884</v>
      </c>
      <c r="H104" s="5">
        <v>54647</v>
      </c>
      <c r="I104" s="12">
        <v>46052</v>
      </c>
      <c r="J104" s="15">
        <v>60</v>
      </c>
      <c r="K104" s="15">
        <v>5</v>
      </c>
      <c r="L104" s="9">
        <v>0.17169999999999999</v>
      </c>
      <c r="M104" s="9">
        <v>4.8500000000000001E-2</v>
      </c>
      <c r="N104" s="15">
        <v>8</v>
      </c>
      <c r="O104" t="s">
        <v>28</v>
      </c>
      <c r="P104" t="s">
        <v>28</v>
      </c>
      <c r="Q104" s="24">
        <v>0.8</v>
      </c>
      <c r="R104" s="5">
        <f t="shared" si="6"/>
        <v>1542.3928602739725</v>
      </c>
      <c r="S104" s="5">
        <f t="shared" si="7"/>
        <v>58.090509589041098</v>
      </c>
      <c r="T104" s="5">
        <f t="shared" si="8"/>
        <v>1484.3023506849313</v>
      </c>
      <c r="U104" s="15">
        <f t="shared" si="9"/>
        <v>52</v>
      </c>
      <c r="V104" s="3">
        <f t="shared" si="10"/>
        <v>5386.0083199999999</v>
      </c>
      <c r="W104" s="3">
        <f t="shared" si="11"/>
        <v>103</v>
      </c>
    </row>
    <row r="105" spans="1:23" x14ac:dyDescent="0.2">
      <c r="A105" t="s">
        <v>407</v>
      </c>
      <c r="B105" t="s">
        <v>218</v>
      </c>
      <c r="C105" t="s">
        <v>41</v>
      </c>
      <c r="D105" t="s">
        <v>32</v>
      </c>
      <c r="E105" t="s">
        <v>25</v>
      </c>
      <c r="F105" s="7">
        <v>1514188</v>
      </c>
      <c r="G105" t="s">
        <v>1695</v>
      </c>
      <c r="H105" s="5">
        <v>108034</v>
      </c>
      <c r="I105" s="12">
        <v>46028</v>
      </c>
      <c r="J105" s="15">
        <v>60</v>
      </c>
      <c r="K105" s="15">
        <v>7</v>
      </c>
      <c r="L105" s="9">
        <v>0.11600000000000001</v>
      </c>
      <c r="M105" s="9">
        <v>5.4199999999999998E-2</v>
      </c>
      <c r="N105" s="15">
        <v>5</v>
      </c>
      <c r="O105" t="s">
        <v>27</v>
      </c>
      <c r="P105" t="s">
        <v>28</v>
      </c>
      <c r="Q105" s="24">
        <v>0.8</v>
      </c>
      <c r="R105" s="5">
        <f t="shared" si="6"/>
        <v>2060.0455890410958</v>
      </c>
      <c r="S105" s="5">
        <f t="shared" si="7"/>
        <v>80.211545205479439</v>
      </c>
      <c r="T105" s="5">
        <f t="shared" si="8"/>
        <v>1979.8340438356163</v>
      </c>
      <c r="U105" s="15">
        <f t="shared" si="9"/>
        <v>55</v>
      </c>
      <c r="V105" s="3">
        <f t="shared" si="10"/>
        <v>5341.200960000001</v>
      </c>
      <c r="W105" s="3">
        <f t="shared" si="11"/>
        <v>104</v>
      </c>
    </row>
    <row r="106" spans="1:23" x14ac:dyDescent="0.2">
      <c r="A106" t="s">
        <v>407</v>
      </c>
      <c r="B106" t="s">
        <v>218</v>
      </c>
      <c r="C106" t="s">
        <v>41</v>
      </c>
      <c r="D106" t="s">
        <v>32</v>
      </c>
      <c r="E106" t="s">
        <v>25</v>
      </c>
      <c r="F106" s="7">
        <v>1514188</v>
      </c>
      <c r="G106" t="s">
        <v>668</v>
      </c>
      <c r="H106" s="5">
        <v>94511</v>
      </c>
      <c r="I106" s="12">
        <v>46054</v>
      </c>
      <c r="J106" s="15">
        <v>60</v>
      </c>
      <c r="K106" s="15">
        <v>10</v>
      </c>
      <c r="L106" s="9">
        <v>0.11600000000000001</v>
      </c>
      <c r="M106" s="9">
        <v>5.3499999999999999E-2</v>
      </c>
      <c r="N106" s="15">
        <v>5</v>
      </c>
      <c r="O106" t="s">
        <v>28</v>
      </c>
      <c r="P106" t="s">
        <v>28</v>
      </c>
      <c r="Q106" s="24">
        <v>0.9</v>
      </c>
      <c r="R106" s="5">
        <f t="shared" si="6"/>
        <v>1802.1823561643835</v>
      </c>
      <c r="S106" s="5">
        <f t="shared" si="7"/>
        <v>69.26491095890411</v>
      </c>
      <c r="T106" s="5">
        <f t="shared" si="8"/>
        <v>1732.9174452054795</v>
      </c>
      <c r="U106" s="15">
        <f t="shared" si="9"/>
        <v>55</v>
      </c>
      <c r="V106" s="3">
        <f t="shared" si="10"/>
        <v>5316.2437500000005</v>
      </c>
      <c r="W106" s="3">
        <f t="shared" si="11"/>
        <v>105</v>
      </c>
    </row>
    <row r="107" spans="1:23" x14ac:dyDescent="0.2">
      <c r="A107" t="s">
        <v>117</v>
      </c>
      <c r="B107" t="s">
        <v>118</v>
      </c>
      <c r="C107" t="s">
        <v>77</v>
      </c>
      <c r="D107" t="s">
        <v>32</v>
      </c>
      <c r="E107" t="s">
        <v>25</v>
      </c>
      <c r="F107" s="7">
        <v>6024640</v>
      </c>
      <c r="G107" t="s">
        <v>985</v>
      </c>
      <c r="H107" s="5">
        <v>107499</v>
      </c>
      <c r="I107" s="12">
        <v>45926</v>
      </c>
      <c r="J107" s="15">
        <v>90</v>
      </c>
      <c r="K107" s="15">
        <v>3</v>
      </c>
      <c r="L107" s="9">
        <v>0.13769999999999999</v>
      </c>
      <c r="M107" s="9">
        <v>6.1699999999999998E-2</v>
      </c>
      <c r="N107" s="15">
        <v>10</v>
      </c>
      <c r="O107" t="s">
        <v>28</v>
      </c>
      <c r="P107" t="s">
        <v>28</v>
      </c>
      <c r="Q107" s="24">
        <v>0.65</v>
      </c>
      <c r="R107" s="5">
        <f t="shared" si="6"/>
        <v>3649.9591972602734</v>
      </c>
      <c r="S107" s="5">
        <f t="shared" si="7"/>
        <v>181.71748767123287</v>
      </c>
      <c r="T107" s="5">
        <f t="shared" si="8"/>
        <v>3468.2417095890405</v>
      </c>
      <c r="U107" s="15">
        <f t="shared" si="9"/>
        <v>80</v>
      </c>
      <c r="V107" s="3">
        <f t="shared" si="10"/>
        <v>5310.4505999999992</v>
      </c>
      <c r="W107" s="3">
        <f t="shared" si="11"/>
        <v>106</v>
      </c>
    </row>
    <row r="108" spans="1:23" x14ac:dyDescent="0.2">
      <c r="A108" t="s">
        <v>88</v>
      </c>
      <c r="B108" t="s">
        <v>89</v>
      </c>
      <c r="C108" t="s">
        <v>23</v>
      </c>
      <c r="D108" t="s">
        <v>66</v>
      </c>
      <c r="E108" t="s">
        <v>49</v>
      </c>
      <c r="F108" s="7">
        <v>896464</v>
      </c>
      <c r="G108" t="s">
        <v>700</v>
      </c>
      <c r="H108" s="5">
        <v>75133</v>
      </c>
      <c r="I108" s="12">
        <v>45919</v>
      </c>
      <c r="J108" s="15">
        <v>45</v>
      </c>
      <c r="K108" s="15">
        <v>5</v>
      </c>
      <c r="L108" s="9">
        <v>0.13550000000000001</v>
      </c>
      <c r="M108" s="9">
        <v>5.7000000000000002E-2</v>
      </c>
      <c r="N108" s="15">
        <v>10</v>
      </c>
      <c r="O108" t="s">
        <v>27</v>
      </c>
      <c r="P108" t="s">
        <v>28</v>
      </c>
      <c r="Q108" s="24">
        <v>0.9</v>
      </c>
      <c r="R108" s="5">
        <f t="shared" si="6"/>
        <v>1255.1327876712328</v>
      </c>
      <c r="S108" s="5">
        <f t="shared" si="7"/>
        <v>117.33098630136986</v>
      </c>
      <c r="T108" s="5">
        <f t="shared" si="8"/>
        <v>1137.8018013698629</v>
      </c>
      <c r="U108" s="15">
        <f t="shared" si="9"/>
        <v>35</v>
      </c>
      <c r="V108" s="3">
        <f t="shared" si="10"/>
        <v>5308.1464500000011</v>
      </c>
      <c r="W108" s="3">
        <f t="shared" si="11"/>
        <v>107</v>
      </c>
    </row>
    <row r="109" spans="1:23" x14ac:dyDescent="0.2">
      <c r="A109" t="s">
        <v>46</v>
      </c>
      <c r="B109" t="s">
        <v>47</v>
      </c>
      <c r="C109" t="s">
        <v>23</v>
      </c>
      <c r="D109" t="s">
        <v>48</v>
      </c>
      <c r="E109" t="s">
        <v>49</v>
      </c>
      <c r="F109" s="7">
        <v>372648</v>
      </c>
      <c r="G109" t="s">
        <v>1669</v>
      </c>
      <c r="H109" s="5">
        <v>89121</v>
      </c>
      <c r="I109" s="12">
        <v>45901</v>
      </c>
      <c r="J109" s="15">
        <v>90</v>
      </c>
      <c r="K109" s="15">
        <v>4</v>
      </c>
      <c r="L109" s="9">
        <v>0.15049999999999999</v>
      </c>
      <c r="M109" s="9">
        <v>5.8999999999999997E-2</v>
      </c>
      <c r="N109" s="15">
        <v>7</v>
      </c>
      <c r="O109" t="s">
        <v>27</v>
      </c>
      <c r="P109" t="s">
        <v>28</v>
      </c>
      <c r="Q109" s="24">
        <v>0.65</v>
      </c>
      <c r="R109" s="5">
        <f t="shared" si="6"/>
        <v>3307.2436849315063</v>
      </c>
      <c r="S109" s="5">
        <f t="shared" si="7"/>
        <v>100.84102191780822</v>
      </c>
      <c r="T109" s="5">
        <f t="shared" si="8"/>
        <v>3206.4026630136982</v>
      </c>
      <c r="U109" s="15">
        <f t="shared" si="9"/>
        <v>83</v>
      </c>
      <c r="V109" s="3">
        <f t="shared" si="10"/>
        <v>5300.4714750000003</v>
      </c>
      <c r="W109" s="3">
        <f t="shared" si="11"/>
        <v>108</v>
      </c>
    </row>
    <row r="110" spans="1:23" x14ac:dyDescent="0.2">
      <c r="A110" t="s">
        <v>252</v>
      </c>
      <c r="B110" t="s">
        <v>89</v>
      </c>
      <c r="C110" t="s">
        <v>31</v>
      </c>
      <c r="D110" t="s">
        <v>24</v>
      </c>
      <c r="E110" t="s">
        <v>49</v>
      </c>
      <c r="F110" s="7">
        <v>971327</v>
      </c>
      <c r="G110" t="s">
        <v>480</v>
      </c>
      <c r="H110" s="5">
        <v>102968</v>
      </c>
      <c r="I110" s="12">
        <v>45846</v>
      </c>
      <c r="J110" s="15">
        <v>45</v>
      </c>
      <c r="K110" s="15">
        <v>2</v>
      </c>
      <c r="L110" s="9">
        <v>0.15229999999999999</v>
      </c>
      <c r="M110" s="9">
        <v>4.9599999999999998E-2</v>
      </c>
      <c r="N110" s="15">
        <v>5</v>
      </c>
      <c r="O110" t="s">
        <v>27</v>
      </c>
      <c r="P110" t="s">
        <v>28</v>
      </c>
      <c r="Q110" s="24">
        <v>0.5</v>
      </c>
      <c r="R110" s="5">
        <f t="shared" si="6"/>
        <v>1933.400515068493</v>
      </c>
      <c r="S110" s="5">
        <f t="shared" si="7"/>
        <v>69.961819178082195</v>
      </c>
      <c r="T110" s="5">
        <f t="shared" si="8"/>
        <v>1863.4386958904108</v>
      </c>
      <c r="U110" s="15">
        <f t="shared" si="9"/>
        <v>40</v>
      </c>
      <c r="V110" s="3">
        <f t="shared" si="10"/>
        <v>5287.4067999999988</v>
      </c>
      <c r="W110" s="3">
        <f t="shared" si="11"/>
        <v>109</v>
      </c>
    </row>
    <row r="111" spans="1:23" x14ac:dyDescent="0.2">
      <c r="A111" t="s">
        <v>244</v>
      </c>
      <c r="B111" t="s">
        <v>245</v>
      </c>
      <c r="C111" t="s">
        <v>77</v>
      </c>
      <c r="D111" t="s">
        <v>48</v>
      </c>
      <c r="E111" t="s">
        <v>49</v>
      </c>
      <c r="F111" s="7">
        <v>759292</v>
      </c>
      <c r="G111" t="s">
        <v>277</v>
      </c>
      <c r="H111" s="5">
        <v>95753</v>
      </c>
      <c r="I111" s="12">
        <v>45865</v>
      </c>
      <c r="J111" s="15">
        <v>30</v>
      </c>
      <c r="K111" s="15">
        <v>10</v>
      </c>
      <c r="L111" s="9">
        <v>0.1171</v>
      </c>
      <c r="M111" s="9">
        <v>5.5899999999999998E-2</v>
      </c>
      <c r="N111" s="15">
        <v>7</v>
      </c>
      <c r="O111" t="s">
        <v>27</v>
      </c>
      <c r="P111" t="s">
        <v>28</v>
      </c>
      <c r="Q111" s="24">
        <v>0.9</v>
      </c>
      <c r="R111" s="5">
        <f t="shared" si="6"/>
        <v>921.58983287671219</v>
      </c>
      <c r="S111" s="5">
        <f t="shared" si="7"/>
        <v>102.65246273972603</v>
      </c>
      <c r="T111" s="5">
        <f t="shared" si="8"/>
        <v>818.93737013698615</v>
      </c>
      <c r="U111" s="15">
        <f t="shared" si="9"/>
        <v>23</v>
      </c>
      <c r="V111" s="3">
        <f t="shared" si="10"/>
        <v>5274.0752400000001</v>
      </c>
      <c r="W111" s="3">
        <f t="shared" si="11"/>
        <v>110</v>
      </c>
    </row>
    <row r="112" spans="1:23" x14ac:dyDescent="0.2">
      <c r="A112" t="s">
        <v>438</v>
      </c>
      <c r="B112" t="s">
        <v>439</v>
      </c>
      <c r="C112" t="s">
        <v>41</v>
      </c>
      <c r="D112" t="s">
        <v>48</v>
      </c>
      <c r="E112" t="s">
        <v>25</v>
      </c>
      <c r="F112" s="7">
        <v>2438415</v>
      </c>
      <c r="G112" t="s">
        <v>940</v>
      </c>
      <c r="H112" s="5">
        <v>80562</v>
      </c>
      <c r="I112" s="12">
        <v>45913</v>
      </c>
      <c r="J112" s="15">
        <v>60</v>
      </c>
      <c r="K112" s="15">
        <v>3</v>
      </c>
      <c r="L112" s="9">
        <v>0.13650000000000001</v>
      </c>
      <c r="M112" s="9">
        <v>6.3799999999999996E-2</v>
      </c>
      <c r="N112" s="15">
        <v>10</v>
      </c>
      <c r="O112" t="s">
        <v>27</v>
      </c>
      <c r="P112" t="s">
        <v>28</v>
      </c>
      <c r="Q112" s="24">
        <v>0.9</v>
      </c>
      <c r="R112" s="5">
        <f t="shared" si="6"/>
        <v>1807.6788493150686</v>
      </c>
      <c r="S112" s="5">
        <f t="shared" si="7"/>
        <v>140.81796164383562</v>
      </c>
      <c r="T112" s="5">
        <f t="shared" si="8"/>
        <v>1666.8608876712331</v>
      </c>
      <c r="U112" s="15">
        <f t="shared" si="9"/>
        <v>50</v>
      </c>
      <c r="V112" s="3">
        <f t="shared" si="10"/>
        <v>5271.1716600000009</v>
      </c>
      <c r="W112" s="3">
        <f t="shared" si="11"/>
        <v>111</v>
      </c>
    </row>
    <row r="113" spans="1:23" x14ac:dyDescent="0.2">
      <c r="A113" t="s">
        <v>151</v>
      </c>
      <c r="B113" t="s">
        <v>131</v>
      </c>
      <c r="C113" t="s">
        <v>77</v>
      </c>
      <c r="D113" t="s">
        <v>66</v>
      </c>
      <c r="E113" t="s">
        <v>49</v>
      </c>
      <c r="F113" s="7">
        <v>1106462</v>
      </c>
      <c r="G113" t="s">
        <v>551</v>
      </c>
      <c r="H113" s="5">
        <v>70540</v>
      </c>
      <c r="I113" s="12">
        <v>45658</v>
      </c>
      <c r="J113" s="15">
        <v>30</v>
      </c>
      <c r="K113" s="15">
        <v>3</v>
      </c>
      <c r="L113" s="9">
        <v>0.1328</v>
      </c>
      <c r="M113" s="9">
        <v>0.05</v>
      </c>
      <c r="N113" s="15">
        <v>5</v>
      </c>
      <c r="O113" t="s">
        <v>27</v>
      </c>
      <c r="P113" t="s">
        <v>28</v>
      </c>
      <c r="Q113" s="24">
        <v>0.9</v>
      </c>
      <c r="R113" s="5">
        <f t="shared" si="6"/>
        <v>769.94893150684925</v>
      </c>
      <c r="S113" s="5">
        <f t="shared" si="7"/>
        <v>48.315068493150683</v>
      </c>
      <c r="T113" s="5">
        <f t="shared" si="8"/>
        <v>721.6338630136986</v>
      </c>
      <c r="U113" s="15">
        <f t="shared" si="9"/>
        <v>25</v>
      </c>
      <c r="V113" s="3">
        <f t="shared" si="10"/>
        <v>5256.6408000000001</v>
      </c>
      <c r="W113" s="3">
        <f t="shared" si="11"/>
        <v>112</v>
      </c>
    </row>
    <row r="114" spans="1:23" x14ac:dyDescent="0.2">
      <c r="A114" t="s">
        <v>501</v>
      </c>
      <c r="B114" t="s">
        <v>502</v>
      </c>
      <c r="C114" t="s">
        <v>23</v>
      </c>
      <c r="D114" t="s">
        <v>32</v>
      </c>
      <c r="E114" t="s">
        <v>49</v>
      </c>
      <c r="F114" s="7">
        <v>412494</v>
      </c>
      <c r="G114" t="s">
        <v>1555</v>
      </c>
      <c r="H114" s="5">
        <v>105471</v>
      </c>
      <c r="I114" s="12">
        <v>45821</v>
      </c>
      <c r="J114" s="15">
        <v>60</v>
      </c>
      <c r="K114" s="15">
        <v>4</v>
      </c>
      <c r="L114" s="9">
        <v>0.15989999999999999</v>
      </c>
      <c r="M114" s="9">
        <v>6.0600000000000001E-2</v>
      </c>
      <c r="N114" s="15">
        <v>7</v>
      </c>
      <c r="O114" t="s">
        <v>27</v>
      </c>
      <c r="P114" t="s">
        <v>28</v>
      </c>
      <c r="Q114" s="24">
        <v>0.5</v>
      </c>
      <c r="R114" s="5">
        <f t="shared" si="6"/>
        <v>2772.2980109589034</v>
      </c>
      <c r="S114" s="5">
        <f t="shared" si="7"/>
        <v>122.57752931506849</v>
      </c>
      <c r="T114" s="5">
        <f t="shared" si="8"/>
        <v>2649.7204816438348</v>
      </c>
      <c r="U114" s="15">
        <f t="shared" si="9"/>
        <v>53</v>
      </c>
      <c r="V114" s="3">
        <f t="shared" si="10"/>
        <v>5236.6351499999992</v>
      </c>
      <c r="W114" s="3">
        <f t="shared" si="11"/>
        <v>113</v>
      </c>
    </row>
    <row r="115" spans="1:23" x14ac:dyDescent="0.2">
      <c r="A115" t="s">
        <v>362</v>
      </c>
      <c r="B115" t="s">
        <v>363</v>
      </c>
      <c r="C115" t="s">
        <v>31</v>
      </c>
      <c r="D115" t="s">
        <v>66</v>
      </c>
      <c r="E115" t="s">
        <v>25</v>
      </c>
      <c r="F115" s="7">
        <v>3573998</v>
      </c>
      <c r="G115" t="s">
        <v>1543</v>
      </c>
      <c r="H115" s="5">
        <v>103425</v>
      </c>
      <c r="I115" s="12">
        <v>45791</v>
      </c>
      <c r="J115" s="15">
        <v>90</v>
      </c>
      <c r="K115" s="15">
        <v>7</v>
      </c>
      <c r="L115" s="9">
        <v>0.13200000000000001</v>
      </c>
      <c r="M115" s="9">
        <v>5.4399999999999997E-2</v>
      </c>
      <c r="N115" s="15">
        <v>7</v>
      </c>
      <c r="O115" t="s">
        <v>27</v>
      </c>
      <c r="P115" t="s">
        <v>28</v>
      </c>
      <c r="Q115" s="24">
        <v>0.65</v>
      </c>
      <c r="R115" s="5">
        <f t="shared" si="6"/>
        <v>3366.271232876712</v>
      </c>
      <c r="S115" s="5">
        <f t="shared" si="7"/>
        <v>107.90202739726027</v>
      </c>
      <c r="T115" s="5">
        <f t="shared" si="8"/>
        <v>3258.3692054794519</v>
      </c>
      <c r="U115" s="15">
        <f t="shared" si="9"/>
        <v>83</v>
      </c>
      <c r="V115" s="3">
        <f t="shared" si="10"/>
        <v>5216.7570000000005</v>
      </c>
      <c r="W115" s="3">
        <f t="shared" si="11"/>
        <v>114</v>
      </c>
    </row>
    <row r="116" spans="1:23" x14ac:dyDescent="0.2">
      <c r="A116" t="s">
        <v>427</v>
      </c>
      <c r="B116" t="s">
        <v>352</v>
      </c>
      <c r="C116" t="s">
        <v>77</v>
      </c>
      <c r="D116" t="s">
        <v>48</v>
      </c>
      <c r="E116" t="s">
        <v>25</v>
      </c>
      <c r="F116" s="7">
        <v>3836607</v>
      </c>
      <c r="G116" t="s">
        <v>1284</v>
      </c>
      <c r="H116" s="5">
        <v>100219</v>
      </c>
      <c r="I116" s="12">
        <v>45781</v>
      </c>
      <c r="J116" s="15">
        <v>90</v>
      </c>
      <c r="K116" s="15">
        <v>5</v>
      </c>
      <c r="L116" s="9">
        <v>0.11310000000000001</v>
      </c>
      <c r="M116" s="9">
        <v>4.8399999999999999E-2</v>
      </c>
      <c r="N116" s="15">
        <v>8</v>
      </c>
      <c r="O116" t="s">
        <v>27</v>
      </c>
      <c r="P116" t="s">
        <v>28</v>
      </c>
      <c r="Q116" s="24">
        <v>0.8</v>
      </c>
      <c r="R116" s="5">
        <f t="shared" si="6"/>
        <v>2794.8745232876713</v>
      </c>
      <c r="S116" s="5">
        <f t="shared" si="7"/>
        <v>106.3145117808219</v>
      </c>
      <c r="T116" s="5">
        <f t="shared" si="8"/>
        <v>2688.5600115068496</v>
      </c>
      <c r="U116" s="15">
        <f t="shared" si="9"/>
        <v>82</v>
      </c>
      <c r="V116" s="3">
        <f t="shared" si="10"/>
        <v>5187.3354400000007</v>
      </c>
      <c r="W116" s="3">
        <f t="shared" si="11"/>
        <v>115</v>
      </c>
    </row>
    <row r="117" spans="1:23" x14ac:dyDescent="0.2">
      <c r="A117" t="s">
        <v>156</v>
      </c>
      <c r="B117" t="s">
        <v>157</v>
      </c>
      <c r="C117" t="s">
        <v>23</v>
      </c>
      <c r="D117" t="s">
        <v>66</v>
      </c>
      <c r="E117" t="s">
        <v>49</v>
      </c>
      <c r="F117" s="7">
        <v>981924</v>
      </c>
      <c r="G117" t="s">
        <v>1293</v>
      </c>
      <c r="H117" s="5">
        <v>50905</v>
      </c>
      <c r="I117" s="12">
        <v>46068</v>
      </c>
      <c r="J117" s="15">
        <v>60</v>
      </c>
      <c r="K117" s="15">
        <v>5</v>
      </c>
      <c r="L117" s="9">
        <v>0.17169999999999999</v>
      </c>
      <c r="M117" s="9">
        <v>5.8599999999999999E-2</v>
      </c>
      <c r="N117" s="15">
        <v>6</v>
      </c>
      <c r="O117" t="s">
        <v>27</v>
      </c>
      <c r="P117" t="s">
        <v>28</v>
      </c>
      <c r="Q117" s="24">
        <v>0.9</v>
      </c>
      <c r="R117" s="5">
        <f t="shared" si="6"/>
        <v>1436.7761917808216</v>
      </c>
      <c r="S117" s="5">
        <f t="shared" si="7"/>
        <v>49.036158904109584</v>
      </c>
      <c r="T117" s="5">
        <f t="shared" si="8"/>
        <v>1387.7400328767121</v>
      </c>
      <c r="U117" s="15">
        <f t="shared" si="9"/>
        <v>54</v>
      </c>
      <c r="V117" s="3">
        <f t="shared" si="10"/>
        <v>5181.6199499999993</v>
      </c>
      <c r="W117" s="3">
        <f t="shared" si="11"/>
        <v>116</v>
      </c>
    </row>
    <row r="118" spans="1:23" x14ac:dyDescent="0.2">
      <c r="A118" t="s">
        <v>256</v>
      </c>
      <c r="B118" t="s">
        <v>257</v>
      </c>
      <c r="C118" t="s">
        <v>36</v>
      </c>
      <c r="D118" t="s">
        <v>48</v>
      </c>
      <c r="E118" t="s">
        <v>25</v>
      </c>
      <c r="F118" s="7">
        <v>3046555</v>
      </c>
      <c r="G118" t="s">
        <v>1625</v>
      </c>
      <c r="H118" s="5">
        <v>78400</v>
      </c>
      <c r="I118" s="12">
        <v>45713</v>
      </c>
      <c r="J118" s="15">
        <v>45</v>
      </c>
      <c r="K118" s="15">
        <v>2</v>
      </c>
      <c r="L118" s="9">
        <v>0.13830000000000001</v>
      </c>
      <c r="M118" s="9">
        <v>6.4899999999999999E-2</v>
      </c>
      <c r="N118" s="15">
        <v>8</v>
      </c>
      <c r="O118" t="s">
        <v>27</v>
      </c>
      <c r="P118" t="s">
        <v>28</v>
      </c>
      <c r="Q118" s="24">
        <v>0.9</v>
      </c>
      <c r="R118" s="5">
        <f t="shared" si="6"/>
        <v>1336.773698630137</v>
      </c>
      <c r="S118" s="5">
        <f t="shared" si="7"/>
        <v>111.52131506849315</v>
      </c>
      <c r="T118" s="5">
        <f t="shared" si="8"/>
        <v>1225.2523835616439</v>
      </c>
      <c r="U118" s="15">
        <f t="shared" si="9"/>
        <v>37</v>
      </c>
      <c r="V118" s="3">
        <f t="shared" si="10"/>
        <v>5179.1040000000003</v>
      </c>
      <c r="W118" s="3">
        <f t="shared" si="11"/>
        <v>117</v>
      </c>
    </row>
    <row r="119" spans="1:23" x14ac:dyDescent="0.2">
      <c r="A119" t="s">
        <v>750</v>
      </c>
      <c r="B119" t="s">
        <v>751</v>
      </c>
      <c r="C119" t="s">
        <v>41</v>
      </c>
      <c r="D119" t="s">
        <v>48</v>
      </c>
      <c r="E119" t="s">
        <v>25</v>
      </c>
      <c r="F119" s="7">
        <v>1709806</v>
      </c>
      <c r="G119" t="s">
        <v>1758</v>
      </c>
      <c r="H119" s="5">
        <v>85641</v>
      </c>
      <c r="I119" s="12">
        <v>46076</v>
      </c>
      <c r="J119" s="15">
        <v>30</v>
      </c>
      <c r="K119" s="15">
        <v>3</v>
      </c>
      <c r="L119" s="9">
        <v>0.12709999999999999</v>
      </c>
      <c r="M119" s="9">
        <v>5.16E-2</v>
      </c>
      <c r="N119" s="15">
        <v>10</v>
      </c>
      <c r="O119" t="s">
        <v>27</v>
      </c>
      <c r="P119" t="s">
        <v>28</v>
      </c>
      <c r="Q119" s="24">
        <v>0.8</v>
      </c>
      <c r="R119" s="5">
        <f t="shared" si="6"/>
        <v>894.6551589041095</v>
      </c>
      <c r="S119" s="5">
        <f t="shared" si="7"/>
        <v>121.07056438356165</v>
      </c>
      <c r="T119" s="5">
        <f t="shared" si="8"/>
        <v>773.58459452054785</v>
      </c>
      <c r="U119" s="15">
        <f t="shared" si="9"/>
        <v>20</v>
      </c>
      <c r="V119" s="3">
        <f t="shared" si="10"/>
        <v>5172.7163999999993</v>
      </c>
      <c r="W119" s="3">
        <f t="shared" si="11"/>
        <v>118</v>
      </c>
    </row>
    <row r="120" spans="1:23" x14ac:dyDescent="0.2">
      <c r="A120" t="s">
        <v>559</v>
      </c>
      <c r="B120" t="s">
        <v>560</v>
      </c>
      <c r="C120" t="s">
        <v>41</v>
      </c>
      <c r="D120" t="s">
        <v>32</v>
      </c>
      <c r="E120" t="s">
        <v>25</v>
      </c>
      <c r="F120" s="7">
        <v>5681664</v>
      </c>
      <c r="G120" t="s">
        <v>1466</v>
      </c>
      <c r="H120" s="5">
        <v>81109</v>
      </c>
      <c r="I120" s="12">
        <v>45696</v>
      </c>
      <c r="J120" s="15">
        <v>45</v>
      </c>
      <c r="K120" s="15">
        <v>7</v>
      </c>
      <c r="L120" s="9">
        <v>0.12130000000000001</v>
      </c>
      <c r="M120" s="9">
        <v>5.0599999999999999E-2</v>
      </c>
      <c r="N120" s="15">
        <v>10</v>
      </c>
      <c r="O120" t="s">
        <v>27</v>
      </c>
      <c r="P120" t="s">
        <v>28</v>
      </c>
      <c r="Q120" s="24">
        <v>0.9</v>
      </c>
      <c r="R120" s="5">
        <f t="shared" si="6"/>
        <v>1212.9684287671234</v>
      </c>
      <c r="S120" s="5">
        <f t="shared" si="7"/>
        <v>112.44151780821916</v>
      </c>
      <c r="T120" s="5">
        <f t="shared" si="8"/>
        <v>1100.5269109589042</v>
      </c>
      <c r="U120" s="15">
        <f t="shared" si="9"/>
        <v>35</v>
      </c>
      <c r="V120" s="3">
        <f t="shared" si="10"/>
        <v>5160.9656700000014</v>
      </c>
      <c r="W120" s="3">
        <f t="shared" si="11"/>
        <v>119</v>
      </c>
    </row>
    <row r="121" spans="1:23" x14ac:dyDescent="0.2">
      <c r="A121" t="s">
        <v>415</v>
      </c>
      <c r="B121" t="s">
        <v>416</v>
      </c>
      <c r="C121" t="s">
        <v>31</v>
      </c>
      <c r="D121" t="s">
        <v>66</v>
      </c>
      <c r="E121" t="s">
        <v>49</v>
      </c>
      <c r="F121" s="7">
        <v>1241903</v>
      </c>
      <c r="G121" t="s">
        <v>1075</v>
      </c>
      <c r="H121" s="5">
        <v>53026</v>
      </c>
      <c r="I121" s="12">
        <v>45983</v>
      </c>
      <c r="J121" s="15">
        <v>60</v>
      </c>
      <c r="K121" s="15">
        <v>3</v>
      </c>
      <c r="L121" s="9">
        <v>0.15939999999999999</v>
      </c>
      <c r="M121" s="9">
        <v>5.1299999999999998E-2</v>
      </c>
      <c r="N121" s="15">
        <v>8</v>
      </c>
      <c r="O121" t="s">
        <v>27</v>
      </c>
      <c r="P121" t="s">
        <v>28</v>
      </c>
      <c r="Q121" s="24">
        <v>0.9</v>
      </c>
      <c r="R121" s="5">
        <f t="shared" si="6"/>
        <v>1389.4264767123286</v>
      </c>
      <c r="S121" s="5">
        <f t="shared" si="7"/>
        <v>59.621562739726031</v>
      </c>
      <c r="T121" s="5">
        <f t="shared" si="8"/>
        <v>1329.8049139726027</v>
      </c>
      <c r="U121" s="15">
        <f t="shared" si="9"/>
        <v>52</v>
      </c>
      <c r="V121" s="3">
        <f t="shared" si="10"/>
        <v>5158.8995399999994</v>
      </c>
      <c r="W121" s="3">
        <f t="shared" si="11"/>
        <v>120</v>
      </c>
    </row>
    <row r="122" spans="1:23" x14ac:dyDescent="0.2">
      <c r="A122" t="s">
        <v>582</v>
      </c>
      <c r="B122" t="s">
        <v>76</v>
      </c>
      <c r="C122" t="s">
        <v>36</v>
      </c>
      <c r="D122" t="s">
        <v>37</v>
      </c>
      <c r="E122" t="s">
        <v>49</v>
      </c>
      <c r="F122" s="7">
        <v>1336236</v>
      </c>
      <c r="G122" t="s">
        <v>1189</v>
      </c>
      <c r="H122" s="5">
        <v>67320</v>
      </c>
      <c r="I122" s="12">
        <v>45901</v>
      </c>
      <c r="J122" s="15">
        <v>60</v>
      </c>
      <c r="K122" s="15">
        <v>3</v>
      </c>
      <c r="L122" s="9">
        <v>0.14249999999999999</v>
      </c>
      <c r="M122" s="9">
        <v>5.7799999999999997E-2</v>
      </c>
      <c r="N122" s="15">
        <v>6</v>
      </c>
      <c r="O122" t="s">
        <v>27</v>
      </c>
      <c r="P122" t="s">
        <v>28</v>
      </c>
      <c r="Q122" s="24">
        <v>0.9</v>
      </c>
      <c r="R122" s="5">
        <f t="shared" si="6"/>
        <v>1576.9479452054791</v>
      </c>
      <c r="S122" s="5">
        <f t="shared" si="7"/>
        <v>63.963221917808212</v>
      </c>
      <c r="T122" s="5">
        <f t="shared" si="8"/>
        <v>1512.9847232876709</v>
      </c>
      <c r="U122" s="15">
        <f t="shared" si="9"/>
        <v>54</v>
      </c>
      <c r="V122" s="3">
        <f t="shared" si="10"/>
        <v>5131.8036000000002</v>
      </c>
      <c r="W122" s="3">
        <f t="shared" si="11"/>
        <v>121</v>
      </c>
    </row>
    <row r="123" spans="1:23" x14ac:dyDescent="0.2">
      <c r="A123" t="s">
        <v>468</v>
      </c>
      <c r="B123" t="s">
        <v>412</v>
      </c>
      <c r="C123" t="s">
        <v>41</v>
      </c>
      <c r="D123" t="s">
        <v>48</v>
      </c>
      <c r="E123" t="s">
        <v>49</v>
      </c>
      <c r="F123" s="7">
        <v>1406086</v>
      </c>
      <c r="G123" t="s">
        <v>1147</v>
      </c>
      <c r="H123" s="5">
        <v>87609</v>
      </c>
      <c r="I123" s="12">
        <v>45930</v>
      </c>
      <c r="J123" s="15">
        <v>60</v>
      </c>
      <c r="K123" s="15">
        <v>7</v>
      </c>
      <c r="L123" s="9">
        <v>0.1201</v>
      </c>
      <c r="M123" s="9">
        <v>5.5399999999999998E-2</v>
      </c>
      <c r="N123" s="15">
        <v>8</v>
      </c>
      <c r="O123" t="s">
        <v>27</v>
      </c>
      <c r="P123" t="s">
        <v>28</v>
      </c>
      <c r="Q123" s="24">
        <v>0.9</v>
      </c>
      <c r="R123" s="5">
        <f t="shared" si="6"/>
        <v>1729.6176821917807</v>
      </c>
      <c r="S123" s="5">
        <f t="shared" si="7"/>
        <v>106.37892821917808</v>
      </c>
      <c r="T123" s="5">
        <f t="shared" si="8"/>
        <v>1623.2387539726026</v>
      </c>
      <c r="U123" s="15">
        <f t="shared" si="9"/>
        <v>52</v>
      </c>
      <c r="V123" s="3">
        <f t="shared" si="10"/>
        <v>5101.4720700000007</v>
      </c>
      <c r="W123" s="3">
        <f t="shared" si="11"/>
        <v>122</v>
      </c>
    </row>
    <row r="124" spans="1:23" x14ac:dyDescent="0.2">
      <c r="A124" t="s">
        <v>153</v>
      </c>
      <c r="B124" t="s">
        <v>154</v>
      </c>
      <c r="C124" t="s">
        <v>41</v>
      </c>
      <c r="D124" t="s">
        <v>66</v>
      </c>
      <c r="E124" t="s">
        <v>49</v>
      </c>
      <c r="F124" s="7">
        <v>367690</v>
      </c>
      <c r="G124" t="s">
        <v>946</v>
      </c>
      <c r="H124" s="5">
        <v>79489</v>
      </c>
      <c r="I124" s="12">
        <v>46004</v>
      </c>
      <c r="J124" s="15">
        <v>45</v>
      </c>
      <c r="K124" s="15">
        <v>3</v>
      </c>
      <c r="L124" s="9">
        <v>0.1305</v>
      </c>
      <c r="M124" s="9">
        <v>5.9400000000000001E-2</v>
      </c>
      <c r="N124" s="15">
        <v>10</v>
      </c>
      <c r="O124" t="s">
        <v>27</v>
      </c>
      <c r="P124" t="s">
        <v>28</v>
      </c>
      <c r="Q124" s="24">
        <v>0.9</v>
      </c>
      <c r="R124" s="5">
        <f t="shared" si="6"/>
        <v>1278.9017876712328</v>
      </c>
      <c r="S124" s="5">
        <f t="shared" si="7"/>
        <v>129.36018082191779</v>
      </c>
      <c r="T124" s="5">
        <f t="shared" si="8"/>
        <v>1149.541606849315</v>
      </c>
      <c r="U124" s="15">
        <f t="shared" si="9"/>
        <v>35</v>
      </c>
      <c r="V124" s="3">
        <f t="shared" si="10"/>
        <v>5086.5011100000002</v>
      </c>
      <c r="W124" s="3">
        <f t="shared" si="11"/>
        <v>123</v>
      </c>
    </row>
    <row r="125" spans="1:23" x14ac:dyDescent="0.2">
      <c r="A125" t="s">
        <v>308</v>
      </c>
      <c r="B125" t="s">
        <v>309</v>
      </c>
      <c r="C125" t="s">
        <v>31</v>
      </c>
      <c r="D125" t="s">
        <v>24</v>
      </c>
      <c r="E125" t="s">
        <v>49</v>
      </c>
      <c r="F125" s="7">
        <v>1224427</v>
      </c>
      <c r="G125" t="s">
        <v>1422</v>
      </c>
      <c r="H125" s="5">
        <v>75739</v>
      </c>
      <c r="I125" s="12">
        <v>45732</v>
      </c>
      <c r="J125" s="15">
        <v>45</v>
      </c>
      <c r="K125" s="15">
        <v>10</v>
      </c>
      <c r="L125" s="9">
        <v>0.15670000000000001</v>
      </c>
      <c r="M125" s="9">
        <v>5.45E-2</v>
      </c>
      <c r="N125" s="15">
        <v>7</v>
      </c>
      <c r="O125" t="s">
        <v>27</v>
      </c>
      <c r="P125" t="s">
        <v>28</v>
      </c>
      <c r="Q125" s="24">
        <v>0.65</v>
      </c>
      <c r="R125" s="5">
        <f t="shared" si="6"/>
        <v>1463.2152287671233</v>
      </c>
      <c r="S125" s="5">
        <f t="shared" si="7"/>
        <v>79.162817808219174</v>
      </c>
      <c r="T125" s="5">
        <f t="shared" si="8"/>
        <v>1384.0524109589041</v>
      </c>
      <c r="U125" s="15">
        <f t="shared" si="9"/>
        <v>38</v>
      </c>
      <c r="V125" s="3">
        <f t="shared" si="10"/>
        <v>5031.3417700000009</v>
      </c>
      <c r="W125" s="3">
        <f t="shared" si="11"/>
        <v>124</v>
      </c>
    </row>
    <row r="126" spans="1:23" x14ac:dyDescent="0.2">
      <c r="A126" t="s">
        <v>239</v>
      </c>
      <c r="B126" t="s">
        <v>240</v>
      </c>
      <c r="C126" t="s">
        <v>31</v>
      </c>
      <c r="D126" t="s">
        <v>32</v>
      </c>
      <c r="E126" t="s">
        <v>49</v>
      </c>
      <c r="F126" s="7">
        <v>1485779</v>
      </c>
      <c r="G126" t="s">
        <v>937</v>
      </c>
      <c r="H126" s="5">
        <v>84536</v>
      </c>
      <c r="I126" s="12">
        <v>45971</v>
      </c>
      <c r="J126" s="15">
        <v>45</v>
      </c>
      <c r="K126" s="15">
        <v>3</v>
      </c>
      <c r="L126" s="9">
        <v>0.1295</v>
      </c>
      <c r="M126" s="9">
        <v>6.3500000000000001E-2</v>
      </c>
      <c r="N126" s="15">
        <v>5</v>
      </c>
      <c r="O126" t="s">
        <v>28</v>
      </c>
      <c r="P126" t="s">
        <v>28</v>
      </c>
      <c r="Q126" s="24">
        <v>0.9</v>
      </c>
      <c r="R126" s="5">
        <f t="shared" si="6"/>
        <v>1349.6809315068492</v>
      </c>
      <c r="S126" s="5">
        <f t="shared" si="7"/>
        <v>73.534739726027397</v>
      </c>
      <c r="T126" s="5">
        <f t="shared" si="8"/>
        <v>1276.1461917808219</v>
      </c>
      <c r="U126" s="15">
        <f t="shared" si="9"/>
        <v>40</v>
      </c>
      <c r="V126" s="3">
        <f t="shared" si="10"/>
        <v>5021.4384</v>
      </c>
      <c r="W126" s="3">
        <f t="shared" si="11"/>
        <v>125</v>
      </c>
    </row>
    <row r="127" spans="1:23" x14ac:dyDescent="0.2">
      <c r="A127" t="s">
        <v>34</v>
      </c>
      <c r="B127" t="s">
        <v>35</v>
      </c>
      <c r="C127" t="s">
        <v>36</v>
      </c>
      <c r="D127" t="s">
        <v>37</v>
      </c>
      <c r="E127" t="s">
        <v>25</v>
      </c>
      <c r="F127" s="7">
        <v>3714458</v>
      </c>
      <c r="G127" t="s">
        <v>1368</v>
      </c>
      <c r="H127" s="5">
        <v>91319</v>
      </c>
      <c r="I127" s="12">
        <v>45808</v>
      </c>
      <c r="J127" s="15">
        <v>90</v>
      </c>
      <c r="K127" s="15">
        <v>4</v>
      </c>
      <c r="L127" s="9">
        <v>0.1153</v>
      </c>
      <c r="M127" s="9">
        <v>4.6699999999999998E-2</v>
      </c>
      <c r="N127" s="15">
        <v>10</v>
      </c>
      <c r="O127" t="s">
        <v>27</v>
      </c>
      <c r="P127" t="s">
        <v>28</v>
      </c>
      <c r="Q127" s="24">
        <v>0.8</v>
      </c>
      <c r="R127" s="5">
        <f t="shared" si="6"/>
        <v>2596.2116794520548</v>
      </c>
      <c r="S127" s="5">
        <f t="shared" si="7"/>
        <v>116.83828219178081</v>
      </c>
      <c r="T127" s="5">
        <f t="shared" si="8"/>
        <v>2479.373397260274</v>
      </c>
      <c r="U127" s="15">
        <f t="shared" si="9"/>
        <v>80</v>
      </c>
      <c r="V127" s="3">
        <f t="shared" si="10"/>
        <v>5011.5867200000002</v>
      </c>
      <c r="W127" s="3">
        <f t="shared" si="11"/>
        <v>126</v>
      </c>
    </row>
    <row r="128" spans="1:23" x14ac:dyDescent="0.2">
      <c r="A128" t="s">
        <v>289</v>
      </c>
      <c r="B128" t="s">
        <v>204</v>
      </c>
      <c r="C128" t="s">
        <v>31</v>
      </c>
      <c r="D128" t="s">
        <v>32</v>
      </c>
      <c r="E128" t="s">
        <v>49</v>
      </c>
      <c r="F128" s="7">
        <v>782629</v>
      </c>
      <c r="G128" t="s">
        <v>1713</v>
      </c>
      <c r="H128" s="5">
        <v>66801</v>
      </c>
      <c r="I128" s="12">
        <v>45915</v>
      </c>
      <c r="J128" s="15">
        <v>90</v>
      </c>
      <c r="K128" s="15">
        <v>5</v>
      </c>
      <c r="L128" s="9">
        <v>0.14219999999999999</v>
      </c>
      <c r="M128" s="9">
        <v>4.8800000000000003E-2</v>
      </c>
      <c r="N128" s="15">
        <v>5</v>
      </c>
      <c r="O128" t="s">
        <v>27</v>
      </c>
      <c r="P128" t="s">
        <v>28</v>
      </c>
      <c r="Q128" s="24">
        <v>0.8</v>
      </c>
      <c r="R128" s="5">
        <f t="shared" si="6"/>
        <v>2342.2443780821914</v>
      </c>
      <c r="S128" s="5">
        <f t="shared" si="7"/>
        <v>44.656010958904112</v>
      </c>
      <c r="T128" s="5">
        <f t="shared" si="8"/>
        <v>2297.5883671232873</v>
      </c>
      <c r="U128" s="15">
        <f t="shared" si="9"/>
        <v>85</v>
      </c>
      <c r="V128" s="3">
        <f t="shared" si="10"/>
        <v>4991.3707199999999</v>
      </c>
      <c r="W128" s="3">
        <f t="shared" si="11"/>
        <v>127</v>
      </c>
    </row>
    <row r="129" spans="1:23" x14ac:dyDescent="0.2">
      <c r="A129" t="s">
        <v>169</v>
      </c>
      <c r="B129" t="s">
        <v>170</v>
      </c>
      <c r="C129" t="s">
        <v>31</v>
      </c>
      <c r="D129" t="s">
        <v>37</v>
      </c>
      <c r="E129" t="s">
        <v>25</v>
      </c>
      <c r="F129" s="7">
        <v>4193232</v>
      </c>
      <c r="G129" t="s">
        <v>1405</v>
      </c>
      <c r="H129" s="5">
        <v>84311</v>
      </c>
      <c r="I129" s="12">
        <v>46062</v>
      </c>
      <c r="J129" s="15">
        <v>45</v>
      </c>
      <c r="K129" s="15">
        <v>2</v>
      </c>
      <c r="L129" s="9">
        <v>0.1235</v>
      </c>
      <c r="M129" s="9">
        <v>4.9799999999999997E-2</v>
      </c>
      <c r="N129" s="15">
        <v>5</v>
      </c>
      <c r="O129" t="s">
        <v>27</v>
      </c>
      <c r="P129" t="s">
        <v>28</v>
      </c>
      <c r="Q129" s="24">
        <v>0.8</v>
      </c>
      <c r="R129" s="5">
        <f t="shared" si="6"/>
        <v>1283.7215958904108</v>
      </c>
      <c r="S129" s="5">
        <f t="shared" si="7"/>
        <v>57.516271232876704</v>
      </c>
      <c r="T129" s="5">
        <f t="shared" si="8"/>
        <v>1226.205324657534</v>
      </c>
      <c r="U129" s="15">
        <f t="shared" si="9"/>
        <v>40</v>
      </c>
      <c r="V129" s="3">
        <f t="shared" si="10"/>
        <v>4970.9765600000001</v>
      </c>
      <c r="W129" s="3">
        <f t="shared" si="11"/>
        <v>128</v>
      </c>
    </row>
    <row r="130" spans="1:23" x14ac:dyDescent="0.2">
      <c r="A130" t="s">
        <v>407</v>
      </c>
      <c r="B130" t="s">
        <v>218</v>
      </c>
      <c r="C130" t="s">
        <v>41</v>
      </c>
      <c r="D130" t="s">
        <v>32</v>
      </c>
      <c r="E130" t="s">
        <v>25</v>
      </c>
      <c r="F130" s="7">
        <v>1514188</v>
      </c>
      <c r="G130" t="s">
        <v>1640</v>
      </c>
      <c r="H130" s="5">
        <v>94420</v>
      </c>
      <c r="I130" s="12">
        <v>46050</v>
      </c>
      <c r="J130" s="15">
        <v>30</v>
      </c>
      <c r="K130" s="15">
        <v>3</v>
      </c>
      <c r="L130" s="9">
        <v>0.11600000000000001</v>
      </c>
      <c r="M130" s="9">
        <v>5.0500000000000003E-2</v>
      </c>
      <c r="N130" s="15">
        <v>8</v>
      </c>
      <c r="O130" t="s">
        <v>27</v>
      </c>
      <c r="P130" t="s">
        <v>28</v>
      </c>
      <c r="Q130" s="24">
        <v>0.8</v>
      </c>
      <c r="R130" s="5">
        <f t="shared" ref="R130:R193" si="12">H130*L130*(J130/365)</f>
        <v>900.22356164383564</v>
      </c>
      <c r="S130" s="5">
        <f t="shared" ref="S130:S193" si="13">H130*M130*(N130/365)</f>
        <v>104.50871232876713</v>
      </c>
      <c r="T130" s="5">
        <f t="shared" ref="T130:T193" si="14">R130-S130</f>
        <v>795.71484931506848</v>
      </c>
      <c r="U130" s="15">
        <f t="shared" ref="U130:U193" si="15">J130-N130</f>
        <v>22</v>
      </c>
      <c r="V130" s="3">
        <f t="shared" ref="V130:V193" si="16">Q130*(L130-M130)*H130</f>
        <v>4947.6080000000002</v>
      </c>
      <c r="W130" s="3">
        <f t="shared" ref="W130:W193" si="17">RANK(V130,$V$2:$V$1501)</f>
        <v>129</v>
      </c>
    </row>
    <row r="131" spans="1:23" x14ac:dyDescent="0.2">
      <c r="A131" t="s">
        <v>117</v>
      </c>
      <c r="B131" t="s">
        <v>118</v>
      </c>
      <c r="C131" t="s">
        <v>77</v>
      </c>
      <c r="D131" t="s">
        <v>32</v>
      </c>
      <c r="E131" t="s">
        <v>25</v>
      </c>
      <c r="F131" s="7">
        <v>6024640</v>
      </c>
      <c r="G131" t="s">
        <v>119</v>
      </c>
      <c r="H131" s="5">
        <v>67435</v>
      </c>
      <c r="I131" s="12">
        <v>45917</v>
      </c>
      <c r="J131" s="15">
        <v>90</v>
      </c>
      <c r="K131" s="15">
        <v>10</v>
      </c>
      <c r="L131" s="9">
        <v>0.13769999999999999</v>
      </c>
      <c r="M131" s="9">
        <v>4.5999999999999999E-2</v>
      </c>
      <c r="N131" s="15">
        <v>7</v>
      </c>
      <c r="O131" t="s">
        <v>27</v>
      </c>
      <c r="P131" t="s">
        <v>28</v>
      </c>
      <c r="Q131" s="24">
        <v>0.8</v>
      </c>
      <c r="R131" s="5">
        <f t="shared" si="12"/>
        <v>2289.6491917808216</v>
      </c>
      <c r="S131" s="5">
        <f t="shared" si="13"/>
        <v>59.490602739726029</v>
      </c>
      <c r="T131" s="5">
        <f t="shared" si="14"/>
        <v>2230.1585890410956</v>
      </c>
      <c r="U131" s="15">
        <f t="shared" si="15"/>
        <v>83</v>
      </c>
      <c r="V131" s="3">
        <f t="shared" si="16"/>
        <v>4947.0315999999993</v>
      </c>
      <c r="W131" s="3">
        <f t="shared" si="17"/>
        <v>130</v>
      </c>
    </row>
    <row r="132" spans="1:23" x14ac:dyDescent="0.2">
      <c r="A132" t="s">
        <v>750</v>
      </c>
      <c r="B132" t="s">
        <v>751</v>
      </c>
      <c r="C132" t="s">
        <v>41</v>
      </c>
      <c r="D132" t="s">
        <v>48</v>
      </c>
      <c r="E132" t="s">
        <v>25</v>
      </c>
      <c r="F132" s="7">
        <v>1709806</v>
      </c>
      <c r="G132" t="s">
        <v>1523</v>
      </c>
      <c r="H132" s="5">
        <v>79045</v>
      </c>
      <c r="I132" s="12">
        <v>45910</v>
      </c>
      <c r="J132" s="15">
        <v>60</v>
      </c>
      <c r="K132" s="15">
        <v>7</v>
      </c>
      <c r="L132" s="9">
        <v>0.12709999999999999</v>
      </c>
      <c r="M132" s="9">
        <v>4.9000000000000002E-2</v>
      </c>
      <c r="N132" s="15">
        <v>8</v>
      </c>
      <c r="O132" t="s">
        <v>27</v>
      </c>
      <c r="P132" t="s">
        <v>28</v>
      </c>
      <c r="Q132" s="24">
        <v>0.8</v>
      </c>
      <c r="R132" s="5">
        <f t="shared" si="12"/>
        <v>1651.4990958904107</v>
      </c>
      <c r="S132" s="5">
        <f t="shared" si="13"/>
        <v>84.892164383561649</v>
      </c>
      <c r="T132" s="5">
        <f t="shared" si="14"/>
        <v>1566.6069315068489</v>
      </c>
      <c r="U132" s="15">
        <f t="shared" si="15"/>
        <v>52</v>
      </c>
      <c r="V132" s="3">
        <f t="shared" si="16"/>
        <v>4938.7315999999992</v>
      </c>
      <c r="W132" s="3">
        <f t="shared" si="17"/>
        <v>131</v>
      </c>
    </row>
    <row r="133" spans="1:23" x14ac:dyDescent="0.2">
      <c r="A133" t="s">
        <v>501</v>
      </c>
      <c r="B133" t="s">
        <v>502</v>
      </c>
      <c r="C133" t="s">
        <v>23</v>
      </c>
      <c r="D133" t="s">
        <v>32</v>
      </c>
      <c r="E133" t="s">
        <v>49</v>
      </c>
      <c r="F133" s="7">
        <v>412494</v>
      </c>
      <c r="G133" t="s">
        <v>503</v>
      </c>
      <c r="H133" s="5">
        <v>94251</v>
      </c>
      <c r="I133" s="12">
        <v>45738</v>
      </c>
      <c r="J133" s="15">
        <v>30</v>
      </c>
      <c r="K133" s="15">
        <v>5</v>
      </c>
      <c r="L133" s="9">
        <v>0.15989999999999999</v>
      </c>
      <c r="M133" s="9">
        <v>5.5199999999999999E-2</v>
      </c>
      <c r="N133" s="15">
        <v>5</v>
      </c>
      <c r="O133" t="s">
        <v>27</v>
      </c>
      <c r="P133" t="s">
        <v>28</v>
      </c>
      <c r="Q133" s="24">
        <v>0.5</v>
      </c>
      <c r="R133" s="5">
        <f t="shared" si="12"/>
        <v>1238.6905397260273</v>
      </c>
      <c r="S133" s="5">
        <f t="shared" si="13"/>
        <v>71.269249315068492</v>
      </c>
      <c r="T133" s="5">
        <f t="shared" si="14"/>
        <v>1167.4212904109588</v>
      </c>
      <c r="U133" s="15">
        <f t="shared" si="15"/>
        <v>25</v>
      </c>
      <c r="V133" s="3">
        <f t="shared" si="16"/>
        <v>4934.0398499999992</v>
      </c>
      <c r="W133" s="3">
        <f t="shared" si="17"/>
        <v>132</v>
      </c>
    </row>
    <row r="134" spans="1:23" x14ac:dyDescent="0.2">
      <c r="A134" t="s">
        <v>593</v>
      </c>
      <c r="B134" t="s">
        <v>594</v>
      </c>
      <c r="C134" t="s">
        <v>36</v>
      </c>
      <c r="D134" t="s">
        <v>66</v>
      </c>
      <c r="E134" t="s">
        <v>25</v>
      </c>
      <c r="F134" s="7">
        <v>3384926</v>
      </c>
      <c r="G134" t="s">
        <v>1345</v>
      </c>
      <c r="H134" s="5">
        <v>107157</v>
      </c>
      <c r="I134" s="12">
        <v>45914</v>
      </c>
      <c r="J134" s="15">
        <v>90</v>
      </c>
      <c r="K134" s="15">
        <v>5</v>
      </c>
      <c r="L134" s="9">
        <v>0.1396</v>
      </c>
      <c r="M134" s="9">
        <v>4.7600000000000003E-2</v>
      </c>
      <c r="N134" s="15">
        <v>5</v>
      </c>
      <c r="O134" t="s">
        <v>27</v>
      </c>
      <c r="P134" t="s">
        <v>28</v>
      </c>
      <c r="Q134" s="24">
        <v>0.5</v>
      </c>
      <c r="R134" s="5">
        <f t="shared" si="12"/>
        <v>3688.5494465753422</v>
      </c>
      <c r="S134" s="5">
        <f t="shared" si="13"/>
        <v>69.87223561643836</v>
      </c>
      <c r="T134" s="5">
        <f t="shared" si="14"/>
        <v>3618.6772109589037</v>
      </c>
      <c r="U134" s="15">
        <f t="shared" si="15"/>
        <v>85</v>
      </c>
      <c r="V134" s="3">
        <f t="shared" si="16"/>
        <v>4929.2219999999998</v>
      </c>
      <c r="W134" s="3">
        <f t="shared" si="17"/>
        <v>133</v>
      </c>
    </row>
    <row r="135" spans="1:23" x14ac:dyDescent="0.2">
      <c r="A135" t="s">
        <v>252</v>
      </c>
      <c r="B135" t="s">
        <v>89</v>
      </c>
      <c r="C135" t="s">
        <v>31</v>
      </c>
      <c r="D135" t="s">
        <v>24</v>
      </c>
      <c r="E135" t="s">
        <v>49</v>
      </c>
      <c r="F135" s="7">
        <v>971327</v>
      </c>
      <c r="G135" t="s">
        <v>253</v>
      </c>
      <c r="H135" s="5">
        <v>60096</v>
      </c>
      <c r="I135" s="12">
        <v>45856</v>
      </c>
      <c r="J135" s="15">
        <v>60</v>
      </c>
      <c r="K135" s="15">
        <v>10</v>
      </c>
      <c r="L135" s="9">
        <v>0.15229999999999999</v>
      </c>
      <c r="M135" s="9">
        <v>5.0599999999999999E-2</v>
      </c>
      <c r="N135" s="15">
        <v>5</v>
      </c>
      <c r="O135" t="s">
        <v>28</v>
      </c>
      <c r="P135" t="s">
        <v>28</v>
      </c>
      <c r="Q135" s="24">
        <v>0.8</v>
      </c>
      <c r="R135" s="5">
        <f t="shared" si="12"/>
        <v>1504.5404054794517</v>
      </c>
      <c r="S135" s="5">
        <f t="shared" si="13"/>
        <v>41.65558356164383</v>
      </c>
      <c r="T135" s="5">
        <f t="shared" si="14"/>
        <v>1462.8848219178078</v>
      </c>
      <c r="U135" s="15">
        <f t="shared" si="15"/>
        <v>55</v>
      </c>
      <c r="V135" s="3">
        <f t="shared" si="16"/>
        <v>4889.4105599999994</v>
      </c>
      <c r="W135" s="3">
        <f t="shared" si="17"/>
        <v>134</v>
      </c>
    </row>
    <row r="136" spans="1:23" x14ac:dyDescent="0.2">
      <c r="A136" t="s">
        <v>582</v>
      </c>
      <c r="B136" t="s">
        <v>76</v>
      </c>
      <c r="C136" t="s">
        <v>36</v>
      </c>
      <c r="D136" t="s">
        <v>37</v>
      </c>
      <c r="E136" t="s">
        <v>49</v>
      </c>
      <c r="F136" s="7">
        <v>1336236</v>
      </c>
      <c r="G136" t="s">
        <v>814</v>
      </c>
      <c r="H136" s="5">
        <v>59214</v>
      </c>
      <c r="I136" s="12">
        <v>45708</v>
      </c>
      <c r="J136" s="15">
        <v>90</v>
      </c>
      <c r="K136" s="15">
        <v>2</v>
      </c>
      <c r="L136" s="9">
        <v>0.14249999999999999</v>
      </c>
      <c r="M136" s="9">
        <v>5.0799999999999998E-2</v>
      </c>
      <c r="N136" s="15">
        <v>8</v>
      </c>
      <c r="O136" t="s">
        <v>28</v>
      </c>
      <c r="P136" t="s">
        <v>28</v>
      </c>
      <c r="Q136" s="24">
        <v>0.9</v>
      </c>
      <c r="R136" s="5">
        <f t="shared" si="12"/>
        <v>2080.6015068493148</v>
      </c>
      <c r="S136" s="5">
        <f t="shared" si="13"/>
        <v>65.930327671232874</v>
      </c>
      <c r="T136" s="5">
        <f t="shared" si="14"/>
        <v>2014.671179178082</v>
      </c>
      <c r="U136" s="15">
        <f t="shared" si="15"/>
        <v>82</v>
      </c>
      <c r="V136" s="3">
        <f t="shared" si="16"/>
        <v>4886.9314199999999</v>
      </c>
      <c r="W136" s="3">
        <f t="shared" si="17"/>
        <v>135</v>
      </c>
    </row>
    <row r="137" spans="1:23" x14ac:dyDescent="0.2">
      <c r="A137" t="s">
        <v>285</v>
      </c>
      <c r="B137" t="s">
        <v>286</v>
      </c>
      <c r="C137" t="s">
        <v>77</v>
      </c>
      <c r="D137" t="s">
        <v>32</v>
      </c>
      <c r="E137" t="s">
        <v>25</v>
      </c>
      <c r="F137" s="7">
        <v>6140796</v>
      </c>
      <c r="G137" t="s">
        <v>1468</v>
      </c>
      <c r="H137" s="5">
        <v>76740</v>
      </c>
      <c r="I137" s="12">
        <v>45854</v>
      </c>
      <c r="J137" s="15">
        <v>60</v>
      </c>
      <c r="K137" s="15">
        <v>4</v>
      </c>
      <c r="L137" s="9">
        <v>0.13300000000000001</v>
      </c>
      <c r="M137" s="9">
        <v>5.3400000000000003E-2</v>
      </c>
      <c r="N137" s="15">
        <v>5</v>
      </c>
      <c r="O137" t="s">
        <v>27</v>
      </c>
      <c r="P137" t="s">
        <v>28</v>
      </c>
      <c r="Q137" s="24">
        <v>0.8</v>
      </c>
      <c r="R137" s="5">
        <f t="shared" si="12"/>
        <v>1677.7676712328766</v>
      </c>
      <c r="S137" s="5">
        <f t="shared" si="13"/>
        <v>56.135835616438357</v>
      </c>
      <c r="T137" s="5">
        <f t="shared" si="14"/>
        <v>1621.6318356164384</v>
      </c>
      <c r="U137" s="15">
        <f t="shared" si="15"/>
        <v>55</v>
      </c>
      <c r="V137" s="3">
        <f t="shared" si="16"/>
        <v>4886.8032000000003</v>
      </c>
      <c r="W137" s="3">
        <f t="shared" si="17"/>
        <v>136</v>
      </c>
    </row>
    <row r="138" spans="1:23" x14ac:dyDescent="0.2">
      <c r="A138" t="s">
        <v>156</v>
      </c>
      <c r="B138" t="s">
        <v>157</v>
      </c>
      <c r="C138" t="s">
        <v>23</v>
      </c>
      <c r="D138" t="s">
        <v>66</v>
      </c>
      <c r="E138" t="s">
        <v>49</v>
      </c>
      <c r="F138" s="7">
        <v>981924</v>
      </c>
      <c r="G138" t="s">
        <v>443</v>
      </c>
      <c r="H138" s="5">
        <v>67885</v>
      </c>
      <c r="I138" s="12">
        <v>45672</v>
      </c>
      <c r="J138" s="15">
        <v>90</v>
      </c>
      <c r="K138" s="15">
        <v>3</v>
      </c>
      <c r="L138" s="9">
        <v>0.17169999999999999</v>
      </c>
      <c r="M138" s="9">
        <v>6.0999999999999999E-2</v>
      </c>
      <c r="N138" s="15">
        <v>6</v>
      </c>
      <c r="O138" t="s">
        <v>28</v>
      </c>
      <c r="P138" t="s">
        <v>28</v>
      </c>
      <c r="Q138" s="24">
        <v>0.65</v>
      </c>
      <c r="R138" s="5">
        <f t="shared" si="12"/>
        <v>2874.0463150684927</v>
      </c>
      <c r="S138" s="5">
        <f t="shared" si="13"/>
        <v>68.070986301369857</v>
      </c>
      <c r="T138" s="5">
        <f t="shared" si="14"/>
        <v>2805.9753287671228</v>
      </c>
      <c r="U138" s="15">
        <f t="shared" si="15"/>
        <v>84</v>
      </c>
      <c r="V138" s="3">
        <f t="shared" si="16"/>
        <v>4884.6651749999992</v>
      </c>
      <c r="W138" s="3">
        <f t="shared" si="17"/>
        <v>137</v>
      </c>
    </row>
    <row r="139" spans="1:23" x14ac:dyDescent="0.2">
      <c r="A139" t="s">
        <v>105</v>
      </c>
      <c r="B139" t="s">
        <v>106</v>
      </c>
      <c r="C139" t="s">
        <v>41</v>
      </c>
      <c r="D139" t="s">
        <v>66</v>
      </c>
      <c r="E139" t="s">
        <v>49</v>
      </c>
      <c r="F139" s="7">
        <v>1373788</v>
      </c>
      <c r="G139" t="s">
        <v>1418</v>
      </c>
      <c r="H139" s="5">
        <v>46449</v>
      </c>
      <c r="I139" s="12">
        <v>45662</v>
      </c>
      <c r="J139" s="15">
        <v>90</v>
      </c>
      <c r="K139" s="15">
        <v>10</v>
      </c>
      <c r="L139" s="9">
        <v>0.17660000000000001</v>
      </c>
      <c r="M139" s="9">
        <v>4.5900000000000003E-2</v>
      </c>
      <c r="N139" s="15">
        <v>5</v>
      </c>
      <c r="O139" t="s">
        <v>27</v>
      </c>
      <c r="P139" t="s">
        <v>28</v>
      </c>
      <c r="Q139" s="24">
        <v>0.8</v>
      </c>
      <c r="R139" s="5">
        <f t="shared" si="12"/>
        <v>2022.6312493150685</v>
      </c>
      <c r="S139" s="5">
        <f t="shared" si="13"/>
        <v>29.205604109589043</v>
      </c>
      <c r="T139" s="5">
        <f t="shared" si="14"/>
        <v>1993.4256452054794</v>
      </c>
      <c r="U139" s="15">
        <f t="shared" si="15"/>
        <v>85</v>
      </c>
      <c r="V139" s="3">
        <f t="shared" si="16"/>
        <v>4856.707440000001</v>
      </c>
      <c r="W139" s="3">
        <f t="shared" si="17"/>
        <v>138</v>
      </c>
    </row>
    <row r="140" spans="1:23" x14ac:dyDescent="0.2">
      <c r="A140" t="s">
        <v>259</v>
      </c>
      <c r="B140" t="s">
        <v>260</v>
      </c>
      <c r="C140" t="s">
        <v>77</v>
      </c>
      <c r="D140" t="s">
        <v>37</v>
      </c>
      <c r="E140" t="s">
        <v>56</v>
      </c>
      <c r="F140" s="7">
        <v>20068674</v>
      </c>
      <c r="G140" t="s">
        <v>1309</v>
      </c>
      <c r="H140" s="5">
        <v>105555</v>
      </c>
      <c r="I140" s="12">
        <v>45908</v>
      </c>
      <c r="J140" s="15">
        <v>90</v>
      </c>
      <c r="K140" s="15">
        <v>7</v>
      </c>
      <c r="L140" s="9">
        <v>0.1062</v>
      </c>
      <c r="M140" s="9">
        <v>4.87E-2</v>
      </c>
      <c r="N140" s="15">
        <v>5</v>
      </c>
      <c r="O140" t="s">
        <v>27</v>
      </c>
      <c r="P140" t="s">
        <v>28</v>
      </c>
      <c r="Q140" s="24">
        <v>0.8</v>
      </c>
      <c r="R140" s="5">
        <f t="shared" si="12"/>
        <v>2764.0950410958903</v>
      </c>
      <c r="S140" s="5">
        <f t="shared" si="13"/>
        <v>70.418198630136985</v>
      </c>
      <c r="T140" s="5">
        <f t="shared" si="14"/>
        <v>2693.6768424657535</v>
      </c>
      <c r="U140" s="15">
        <f t="shared" si="15"/>
        <v>85</v>
      </c>
      <c r="V140" s="3">
        <f t="shared" si="16"/>
        <v>4855.5300000000007</v>
      </c>
      <c r="W140" s="3">
        <f t="shared" si="17"/>
        <v>139</v>
      </c>
    </row>
    <row r="141" spans="1:23" x14ac:dyDescent="0.2">
      <c r="A141" t="s">
        <v>117</v>
      </c>
      <c r="B141" t="s">
        <v>118</v>
      </c>
      <c r="C141" t="s">
        <v>77</v>
      </c>
      <c r="D141" t="s">
        <v>32</v>
      </c>
      <c r="E141" t="s">
        <v>25</v>
      </c>
      <c r="F141" s="7">
        <v>6024640</v>
      </c>
      <c r="G141" t="s">
        <v>1673</v>
      </c>
      <c r="H141" s="5">
        <v>78448</v>
      </c>
      <c r="I141" s="12">
        <v>45743</v>
      </c>
      <c r="J141" s="15">
        <v>45</v>
      </c>
      <c r="K141" s="15">
        <v>5</v>
      </c>
      <c r="L141" s="9">
        <v>0.13769999999999999</v>
      </c>
      <c r="M141" s="9">
        <v>6.0499999999999998E-2</v>
      </c>
      <c r="N141" s="15">
        <v>10</v>
      </c>
      <c r="O141" t="s">
        <v>27</v>
      </c>
      <c r="P141" t="s">
        <v>28</v>
      </c>
      <c r="Q141" s="24">
        <v>0.8</v>
      </c>
      <c r="R141" s="5">
        <f t="shared" si="12"/>
        <v>1331.789128767123</v>
      </c>
      <c r="S141" s="5">
        <f t="shared" si="13"/>
        <v>130.03024657534246</v>
      </c>
      <c r="T141" s="5">
        <f t="shared" si="14"/>
        <v>1201.7588821917805</v>
      </c>
      <c r="U141" s="15">
        <f t="shared" si="15"/>
        <v>35</v>
      </c>
      <c r="V141" s="3">
        <f t="shared" si="16"/>
        <v>4844.94848</v>
      </c>
      <c r="W141" s="3">
        <f t="shared" si="17"/>
        <v>140</v>
      </c>
    </row>
    <row r="142" spans="1:23" x14ac:dyDescent="0.2">
      <c r="A142" t="s">
        <v>117</v>
      </c>
      <c r="B142" t="s">
        <v>118</v>
      </c>
      <c r="C142" t="s">
        <v>77</v>
      </c>
      <c r="D142" t="s">
        <v>32</v>
      </c>
      <c r="E142" t="s">
        <v>25</v>
      </c>
      <c r="F142" s="7">
        <v>6024640</v>
      </c>
      <c r="G142" t="s">
        <v>846</v>
      </c>
      <c r="H142" s="5">
        <v>65759</v>
      </c>
      <c r="I142" s="12">
        <v>45943</v>
      </c>
      <c r="J142" s="15">
        <v>60</v>
      </c>
      <c r="K142" s="15">
        <v>7</v>
      </c>
      <c r="L142" s="9">
        <v>0.13769999999999999</v>
      </c>
      <c r="M142" s="9">
        <v>5.7000000000000002E-2</v>
      </c>
      <c r="N142" s="15">
        <v>6</v>
      </c>
      <c r="O142" t="s">
        <v>27</v>
      </c>
      <c r="P142" t="s">
        <v>28</v>
      </c>
      <c r="Q142" s="24">
        <v>0.9</v>
      </c>
      <c r="R142" s="5">
        <f t="shared" si="12"/>
        <v>1488.4955013698627</v>
      </c>
      <c r="S142" s="5">
        <f t="shared" si="13"/>
        <v>61.615282191780814</v>
      </c>
      <c r="T142" s="5">
        <f t="shared" si="14"/>
        <v>1426.8802191780819</v>
      </c>
      <c r="U142" s="15">
        <f t="shared" si="15"/>
        <v>54</v>
      </c>
      <c r="V142" s="3">
        <f t="shared" si="16"/>
        <v>4776.0761700000003</v>
      </c>
      <c r="W142" s="3">
        <f t="shared" si="17"/>
        <v>141</v>
      </c>
    </row>
    <row r="143" spans="1:23" x14ac:dyDescent="0.2">
      <c r="A143" t="s">
        <v>297</v>
      </c>
      <c r="B143" t="s">
        <v>298</v>
      </c>
      <c r="C143" t="s">
        <v>36</v>
      </c>
      <c r="D143" t="s">
        <v>24</v>
      </c>
      <c r="E143" t="s">
        <v>49</v>
      </c>
      <c r="F143" s="7">
        <v>1249897</v>
      </c>
      <c r="G143" t="s">
        <v>646</v>
      </c>
      <c r="H143" s="5">
        <v>66099</v>
      </c>
      <c r="I143" s="12">
        <v>45981</v>
      </c>
      <c r="J143" s="15">
        <v>60</v>
      </c>
      <c r="K143" s="15">
        <v>10</v>
      </c>
      <c r="L143" s="9">
        <v>0.1452</v>
      </c>
      <c r="M143" s="9">
        <v>5.5199999999999999E-2</v>
      </c>
      <c r="N143" s="15">
        <v>10</v>
      </c>
      <c r="O143" t="s">
        <v>27</v>
      </c>
      <c r="P143" t="s">
        <v>28</v>
      </c>
      <c r="Q143" s="24">
        <v>0.8</v>
      </c>
      <c r="R143" s="5">
        <f t="shared" si="12"/>
        <v>1577.6835287671233</v>
      </c>
      <c r="S143" s="5">
        <f t="shared" si="13"/>
        <v>99.963419178082191</v>
      </c>
      <c r="T143" s="5">
        <f t="shared" si="14"/>
        <v>1477.7201095890412</v>
      </c>
      <c r="U143" s="15">
        <f t="shared" si="15"/>
        <v>50</v>
      </c>
      <c r="V143" s="3">
        <f t="shared" si="16"/>
        <v>4759.1279999999997</v>
      </c>
      <c r="W143" s="3">
        <f t="shared" si="17"/>
        <v>142</v>
      </c>
    </row>
    <row r="144" spans="1:23" x14ac:dyDescent="0.2">
      <c r="A144" t="s">
        <v>142</v>
      </c>
      <c r="B144" t="s">
        <v>143</v>
      </c>
      <c r="C144" t="s">
        <v>36</v>
      </c>
      <c r="D144" t="s">
        <v>66</v>
      </c>
      <c r="E144" t="s">
        <v>49</v>
      </c>
      <c r="F144" s="7">
        <v>735440</v>
      </c>
      <c r="G144" t="s">
        <v>1099</v>
      </c>
      <c r="H144" s="5">
        <v>63773</v>
      </c>
      <c r="I144" s="12">
        <v>45754</v>
      </c>
      <c r="J144" s="15">
        <v>60</v>
      </c>
      <c r="K144" s="15">
        <v>2</v>
      </c>
      <c r="L144" s="9">
        <v>0.13020000000000001</v>
      </c>
      <c r="M144" s="9">
        <v>4.7500000000000001E-2</v>
      </c>
      <c r="N144" s="15">
        <v>5</v>
      </c>
      <c r="O144" t="s">
        <v>28</v>
      </c>
      <c r="P144" t="s">
        <v>28</v>
      </c>
      <c r="Q144" s="24">
        <v>0.9</v>
      </c>
      <c r="R144" s="5">
        <f t="shared" si="12"/>
        <v>1364.9169205479452</v>
      </c>
      <c r="S144" s="5">
        <f t="shared" si="13"/>
        <v>41.496130136986302</v>
      </c>
      <c r="T144" s="5">
        <f t="shared" si="14"/>
        <v>1323.4207904109589</v>
      </c>
      <c r="U144" s="15">
        <f t="shared" si="15"/>
        <v>55</v>
      </c>
      <c r="V144" s="3">
        <f t="shared" si="16"/>
        <v>4746.6243900000009</v>
      </c>
      <c r="W144" s="3">
        <f t="shared" si="17"/>
        <v>143</v>
      </c>
    </row>
    <row r="145" spans="1:23" x14ac:dyDescent="0.2">
      <c r="A145" t="s">
        <v>256</v>
      </c>
      <c r="B145" t="s">
        <v>257</v>
      </c>
      <c r="C145" t="s">
        <v>36</v>
      </c>
      <c r="D145" t="s">
        <v>48</v>
      </c>
      <c r="E145" t="s">
        <v>25</v>
      </c>
      <c r="F145" s="7">
        <v>3046555</v>
      </c>
      <c r="G145" t="s">
        <v>1108</v>
      </c>
      <c r="H145" s="5">
        <v>90918</v>
      </c>
      <c r="I145" s="12">
        <v>45871</v>
      </c>
      <c r="J145" s="15">
        <v>90</v>
      </c>
      <c r="K145" s="15">
        <v>10</v>
      </c>
      <c r="L145" s="9">
        <v>0.13830000000000001</v>
      </c>
      <c r="M145" s="9">
        <v>5.8099999999999999E-2</v>
      </c>
      <c r="N145" s="15">
        <v>6</v>
      </c>
      <c r="O145" t="s">
        <v>27</v>
      </c>
      <c r="P145" t="s">
        <v>28</v>
      </c>
      <c r="Q145" s="24">
        <v>0.65</v>
      </c>
      <c r="R145" s="5">
        <f t="shared" si="12"/>
        <v>3100.4283452054792</v>
      </c>
      <c r="S145" s="5">
        <f t="shared" si="13"/>
        <v>86.832917260273959</v>
      </c>
      <c r="T145" s="5">
        <f t="shared" si="14"/>
        <v>3013.5954279452053</v>
      </c>
      <c r="U145" s="15">
        <f t="shared" si="15"/>
        <v>84</v>
      </c>
      <c r="V145" s="3">
        <f t="shared" si="16"/>
        <v>4739.5553400000008</v>
      </c>
      <c r="W145" s="3">
        <f t="shared" si="17"/>
        <v>144</v>
      </c>
    </row>
    <row r="146" spans="1:23" x14ac:dyDescent="0.2">
      <c r="A146" t="s">
        <v>366</v>
      </c>
      <c r="B146" t="s">
        <v>367</v>
      </c>
      <c r="C146" t="s">
        <v>41</v>
      </c>
      <c r="D146" t="s">
        <v>37</v>
      </c>
      <c r="E146" t="s">
        <v>56</v>
      </c>
      <c r="F146" s="7">
        <v>13330124</v>
      </c>
      <c r="G146" t="s">
        <v>658</v>
      </c>
      <c r="H146" s="5">
        <v>107015</v>
      </c>
      <c r="I146" s="12">
        <v>45719</v>
      </c>
      <c r="J146" s="15">
        <v>90</v>
      </c>
      <c r="K146" s="15">
        <v>4</v>
      </c>
      <c r="L146" s="9">
        <v>0.10920000000000001</v>
      </c>
      <c r="M146" s="9">
        <v>5.3999999999999999E-2</v>
      </c>
      <c r="N146" s="15">
        <v>5</v>
      </c>
      <c r="O146" t="s">
        <v>28</v>
      </c>
      <c r="P146" t="s">
        <v>28</v>
      </c>
      <c r="Q146" s="24">
        <v>0.8</v>
      </c>
      <c r="R146" s="5">
        <f t="shared" si="12"/>
        <v>2881.4888219178083</v>
      </c>
      <c r="S146" s="5">
        <f t="shared" si="13"/>
        <v>79.161780821917802</v>
      </c>
      <c r="T146" s="5">
        <f t="shared" si="14"/>
        <v>2802.3270410958903</v>
      </c>
      <c r="U146" s="15">
        <f t="shared" si="15"/>
        <v>85</v>
      </c>
      <c r="V146" s="3">
        <f t="shared" si="16"/>
        <v>4725.782400000001</v>
      </c>
      <c r="W146" s="3">
        <f t="shared" si="17"/>
        <v>145</v>
      </c>
    </row>
    <row r="147" spans="1:23" x14ac:dyDescent="0.2">
      <c r="A147" t="s">
        <v>82</v>
      </c>
      <c r="B147" t="s">
        <v>83</v>
      </c>
      <c r="C147" t="s">
        <v>23</v>
      </c>
      <c r="D147" t="s">
        <v>66</v>
      </c>
      <c r="E147" t="s">
        <v>49</v>
      </c>
      <c r="F147" s="7">
        <v>946643</v>
      </c>
      <c r="G147" t="s">
        <v>1533</v>
      </c>
      <c r="H147" s="5">
        <v>67057</v>
      </c>
      <c r="I147" s="12">
        <v>46048</v>
      </c>
      <c r="J147" s="15">
        <v>90</v>
      </c>
      <c r="K147" s="15">
        <v>2</v>
      </c>
      <c r="L147" s="9">
        <v>0.1648</v>
      </c>
      <c r="M147" s="9">
        <v>5.7200000000000001E-2</v>
      </c>
      <c r="N147" s="15">
        <v>5</v>
      </c>
      <c r="O147" t="s">
        <v>28</v>
      </c>
      <c r="P147" t="s">
        <v>28</v>
      </c>
      <c r="Q147" s="24">
        <v>0.65</v>
      </c>
      <c r="R147" s="5">
        <f t="shared" si="12"/>
        <v>2724.9025315068493</v>
      </c>
      <c r="S147" s="5">
        <f t="shared" si="13"/>
        <v>52.543293150684931</v>
      </c>
      <c r="T147" s="5">
        <f t="shared" si="14"/>
        <v>2672.3592383561645</v>
      </c>
      <c r="U147" s="15">
        <f t="shared" si="15"/>
        <v>85</v>
      </c>
      <c r="V147" s="3">
        <f t="shared" si="16"/>
        <v>4689.9665800000002</v>
      </c>
      <c r="W147" s="3">
        <f t="shared" si="17"/>
        <v>146</v>
      </c>
    </row>
    <row r="148" spans="1:23" x14ac:dyDescent="0.2">
      <c r="A148" t="s">
        <v>156</v>
      </c>
      <c r="B148" t="s">
        <v>157</v>
      </c>
      <c r="C148" t="s">
        <v>23</v>
      </c>
      <c r="D148" t="s">
        <v>66</v>
      </c>
      <c r="E148" t="s">
        <v>49</v>
      </c>
      <c r="F148" s="7">
        <v>981924</v>
      </c>
      <c r="G148" t="s">
        <v>328</v>
      </c>
      <c r="H148" s="5">
        <v>66773</v>
      </c>
      <c r="I148" s="12">
        <v>45753</v>
      </c>
      <c r="J148" s="15">
        <v>90</v>
      </c>
      <c r="K148" s="15">
        <v>3</v>
      </c>
      <c r="L148" s="9">
        <v>0.17169999999999999</v>
      </c>
      <c r="M148" s="9">
        <v>6.3700000000000007E-2</v>
      </c>
      <c r="N148" s="15">
        <v>5</v>
      </c>
      <c r="O148" t="s">
        <v>27</v>
      </c>
      <c r="P148" t="s">
        <v>28</v>
      </c>
      <c r="Q148" s="24">
        <v>0.65</v>
      </c>
      <c r="R148" s="5">
        <f t="shared" si="12"/>
        <v>2826.9675863013699</v>
      </c>
      <c r="S148" s="5">
        <f t="shared" si="13"/>
        <v>58.266302739726036</v>
      </c>
      <c r="T148" s="5">
        <f t="shared" si="14"/>
        <v>2768.7012835616438</v>
      </c>
      <c r="U148" s="15">
        <f t="shared" si="15"/>
        <v>85</v>
      </c>
      <c r="V148" s="3">
        <f t="shared" si="16"/>
        <v>4687.4646000000002</v>
      </c>
      <c r="W148" s="3">
        <f t="shared" si="17"/>
        <v>147</v>
      </c>
    </row>
    <row r="149" spans="1:23" x14ac:dyDescent="0.2">
      <c r="A149" t="s">
        <v>711</v>
      </c>
      <c r="B149" t="s">
        <v>190</v>
      </c>
      <c r="C149" t="s">
        <v>77</v>
      </c>
      <c r="D149" t="s">
        <v>37</v>
      </c>
      <c r="E149" t="s">
        <v>49</v>
      </c>
      <c r="F149" s="7">
        <v>407422</v>
      </c>
      <c r="G149" t="s">
        <v>1438</v>
      </c>
      <c r="H149" s="5">
        <v>97147</v>
      </c>
      <c r="I149" s="12">
        <v>45915</v>
      </c>
      <c r="J149" s="15">
        <v>30</v>
      </c>
      <c r="K149" s="15">
        <v>5</v>
      </c>
      <c r="L149" s="9">
        <v>0.121</v>
      </c>
      <c r="M149" s="9">
        <v>4.7100000000000003E-2</v>
      </c>
      <c r="N149" s="15">
        <v>10</v>
      </c>
      <c r="O149" t="s">
        <v>27</v>
      </c>
      <c r="P149" t="s">
        <v>28</v>
      </c>
      <c r="Q149" s="24">
        <v>0.65</v>
      </c>
      <c r="R149" s="5">
        <f t="shared" si="12"/>
        <v>966.14687671232878</v>
      </c>
      <c r="S149" s="5">
        <f t="shared" si="13"/>
        <v>125.35955342465753</v>
      </c>
      <c r="T149" s="5">
        <f t="shared" si="14"/>
        <v>840.78732328767126</v>
      </c>
      <c r="U149" s="15">
        <f t="shared" si="15"/>
        <v>20</v>
      </c>
      <c r="V149" s="3">
        <f t="shared" si="16"/>
        <v>4666.4561449999992</v>
      </c>
      <c r="W149" s="3">
        <f t="shared" si="17"/>
        <v>148</v>
      </c>
    </row>
    <row r="150" spans="1:23" x14ac:dyDescent="0.2">
      <c r="A150" t="s">
        <v>722</v>
      </c>
      <c r="B150" t="s">
        <v>723</v>
      </c>
      <c r="C150" t="s">
        <v>77</v>
      </c>
      <c r="D150" t="s">
        <v>24</v>
      </c>
      <c r="E150" t="s">
        <v>49</v>
      </c>
      <c r="F150" s="7">
        <v>1097913</v>
      </c>
      <c r="G150" t="s">
        <v>1219</v>
      </c>
      <c r="H150" s="5">
        <v>82056</v>
      </c>
      <c r="I150" s="12">
        <v>45705</v>
      </c>
      <c r="J150" s="15">
        <v>60</v>
      </c>
      <c r="K150" s="15">
        <v>5</v>
      </c>
      <c r="L150" s="9">
        <v>0.16070000000000001</v>
      </c>
      <c r="M150" s="9">
        <v>4.7199999999999999E-2</v>
      </c>
      <c r="N150" s="15">
        <v>10</v>
      </c>
      <c r="O150" t="s">
        <v>27</v>
      </c>
      <c r="P150" t="s">
        <v>28</v>
      </c>
      <c r="Q150" s="24">
        <v>0.5</v>
      </c>
      <c r="R150" s="5">
        <f t="shared" si="12"/>
        <v>2167.627265753425</v>
      </c>
      <c r="S150" s="5">
        <f t="shared" si="13"/>
        <v>106.11077260273973</v>
      </c>
      <c r="T150" s="5">
        <f t="shared" si="14"/>
        <v>2061.5164931506852</v>
      </c>
      <c r="U150" s="15">
        <f t="shared" si="15"/>
        <v>50</v>
      </c>
      <c r="V150" s="3">
        <f t="shared" si="16"/>
        <v>4656.6780000000008</v>
      </c>
      <c r="W150" s="3">
        <f t="shared" si="17"/>
        <v>149</v>
      </c>
    </row>
    <row r="151" spans="1:23" x14ac:dyDescent="0.2">
      <c r="A151" t="s">
        <v>362</v>
      </c>
      <c r="B151" t="s">
        <v>363</v>
      </c>
      <c r="C151" t="s">
        <v>31</v>
      </c>
      <c r="D151" t="s">
        <v>66</v>
      </c>
      <c r="E151" t="s">
        <v>25</v>
      </c>
      <c r="F151" s="7">
        <v>3573998</v>
      </c>
      <c r="G151" t="s">
        <v>1318</v>
      </c>
      <c r="H151" s="5">
        <v>67750</v>
      </c>
      <c r="I151" s="12">
        <v>46014</v>
      </c>
      <c r="J151" s="15">
        <v>90</v>
      </c>
      <c r="K151" s="15">
        <v>3</v>
      </c>
      <c r="L151" s="9">
        <v>0.13200000000000001</v>
      </c>
      <c r="M151" s="9">
        <v>5.57E-2</v>
      </c>
      <c r="N151" s="15">
        <v>5</v>
      </c>
      <c r="O151" t="s">
        <v>27</v>
      </c>
      <c r="P151" t="s">
        <v>28</v>
      </c>
      <c r="Q151" s="24">
        <v>0.9</v>
      </c>
      <c r="R151" s="5">
        <f t="shared" si="12"/>
        <v>2205.1232876712329</v>
      </c>
      <c r="S151" s="5">
        <f t="shared" si="13"/>
        <v>51.694178082191783</v>
      </c>
      <c r="T151" s="5">
        <f t="shared" si="14"/>
        <v>2153.4291095890412</v>
      </c>
      <c r="U151" s="15">
        <f t="shared" si="15"/>
        <v>85</v>
      </c>
      <c r="V151" s="3">
        <f t="shared" si="16"/>
        <v>4652.3925000000008</v>
      </c>
      <c r="W151" s="3">
        <f t="shared" si="17"/>
        <v>150</v>
      </c>
    </row>
    <row r="152" spans="1:23" x14ac:dyDescent="0.2">
      <c r="A152" t="s">
        <v>79</v>
      </c>
      <c r="B152" t="s">
        <v>80</v>
      </c>
      <c r="C152" t="s">
        <v>31</v>
      </c>
      <c r="D152" t="s">
        <v>32</v>
      </c>
      <c r="E152" t="s">
        <v>25</v>
      </c>
      <c r="F152" s="7">
        <v>1969242</v>
      </c>
      <c r="G152" t="s">
        <v>1044</v>
      </c>
      <c r="H152" s="5">
        <v>106926</v>
      </c>
      <c r="I152" s="12">
        <v>46054</v>
      </c>
      <c r="J152" s="15">
        <v>60</v>
      </c>
      <c r="K152" s="15">
        <v>3</v>
      </c>
      <c r="L152" s="9">
        <v>0.10150000000000001</v>
      </c>
      <c r="M152" s="9">
        <v>4.7199999999999999E-2</v>
      </c>
      <c r="N152" s="15">
        <v>10</v>
      </c>
      <c r="O152" t="s">
        <v>27</v>
      </c>
      <c r="P152" t="s">
        <v>28</v>
      </c>
      <c r="Q152" s="24">
        <v>0.8</v>
      </c>
      <c r="R152" s="5">
        <f t="shared" si="12"/>
        <v>1784.0529863013701</v>
      </c>
      <c r="S152" s="5">
        <f t="shared" si="13"/>
        <v>138.27143013698628</v>
      </c>
      <c r="T152" s="5">
        <f t="shared" si="14"/>
        <v>1645.7815561643838</v>
      </c>
      <c r="U152" s="15">
        <f t="shared" si="15"/>
        <v>50</v>
      </c>
      <c r="V152" s="3">
        <f t="shared" si="16"/>
        <v>4644.8654400000005</v>
      </c>
      <c r="W152" s="3">
        <f t="shared" si="17"/>
        <v>151</v>
      </c>
    </row>
    <row r="153" spans="1:23" x14ac:dyDescent="0.2">
      <c r="A153" t="s">
        <v>837</v>
      </c>
      <c r="B153" t="s">
        <v>838</v>
      </c>
      <c r="C153" t="s">
        <v>77</v>
      </c>
      <c r="D153" t="s">
        <v>32</v>
      </c>
      <c r="E153" t="s">
        <v>25</v>
      </c>
      <c r="F153" s="7">
        <v>6051605</v>
      </c>
      <c r="G153" t="s">
        <v>839</v>
      </c>
      <c r="H153" s="5">
        <v>83618</v>
      </c>
      <c r="I153" s="12">
        <v>45761</v>
      </c>
      <c r="J153" s="15">
        <v>45</v>
      </c>
      <c r="K153" s="15">
        <v>5</v>
      </c>
      <c r="L153" s="9">
        <v>0.11310000000000001</v>
      </c>
      <c r="M153" s="9">
        <v>5.1499999999999997E-2</v>
      </c>
      <c r="N153" s="15">
        <v>5</v>
      </c>
      <c r="O153" t="s">
        <v>28</v>
      </c>
      <c r="P153" t="s">
        <v>28</v>
      </c>
      <c r="Q153" s="24">
        <v>0.9</v>
      </c>
      <c r="R153" s="5">
        <f t="shared" si="12"/>
        <v>1165.9556465753426</v>
      </c>
      <c r="S153" s="5">
        <f t="shared" si="13"/>
        <v>58.990780821917795</v>
      </c>
      <c r="T153" s="5">
        <f t="shared" si="14"/>
        <v>1106.9648657534249</v>
      </c>
      <c r="U153" s="15">
        <f t="shared" si="15"/>
        <v>40</v>
      </c>
      <c r="V153" s="3">
        <f t="shared" si="16"/>
        <v>4635.7819200000013</v>
      </c>
      <c r="W153" s="3">
        <f t="shared" si="17"/>
        <v>152</v>
      </c>
    </row>
    <row r="154" spans="1:23" x14ac:dyDescent="0.2">
      <c r="A154" t="s">
        <v>115</v>
      </c>
      <c r="B154" t="s">
        <v>80</v>
      </c>
      <c r="C154" t="s">
        <v>36</v>
      </c>
      <c r="D154" t="s">
        <v>24</v>
      </c>
      <c r="E154" t="s">
        <v>49</v>
      </c>
      <c r="F154" s="7">
        <v>373467</v>
      </c>
      <c r="G154" t="s">
        <v>1559</v>
      </c>
      <c r="H154" s="5">
        <v>89101</v>
      </c>
      <c r="I154" s="12">
        <v>45854</v>
      </c>
      <c r="J154" s="15">
        <v>60</v>
      </c>
      <c r="K154" s="15">
        <v>2</v>
      </c>
      <c r="L154" s="9">
        <v>0.126</v>
      </c>
      <c r="M154" s="9">
        <v>4.6199999999999998E-2</v>
      </c>
      <c r="N154" s="15">
        <v>10</v>
      </c>
      <c r="O154" t="s">
        <v>27</v>
      </c>
      <c r="P154" t="s">
        <v>28</v>
      </c>
      <c r="Q154" s="24">
        <v>0.65</v>
      </c>
      <c r="R154" s="5">
        <f t="shared" si="12"/>
        <v>1845.489205479452</v>
      </c>
      <c r="S154" s="5">
        <f t="shared" si="13"/>
        <v>112.77989589041096</v>
      </c>
      <c r="T154" s="5">
        <f t="shared" si="14"/>
        <v>1732.7093095890411</v>
      </c>
      <c r="U154" s="15">
        <f t="shared" si="15"/>
        <v>50</v>
      </c>
      <c r="V154" s="3">
        <f t="shared" si="16"/>
        <v>4621.6688700000004</v>
      </c>
      <c r="W154" s="3">
        <f t="shared" si="17"/>
        <v>153</v>
      </c>
    </row>
    <row r="155" spans="1:23" x14ac:dyDescent="0.2">
      <c r="A155" t="s">
        <v>169</v>
      </c>
      <c r="B155" t="s">
        <v>170</v>
      </c>
      <c r="C155" t="s">
        <v>31</v>
      </c>
      <c r="D155" t="s">
        <v>37</v>
      </c>
      <c r="E155" t="s">
        <v>25</v>
      </c>
      <c r="F155" s="7">
        <v>4193232</v>
      </c>
      <c r="G155" t="s">
        <v>463</v>
      </c>
      <c r="H155" s="5">
        <v>92760</v>
      </c>
      <c r="I155" s="12">
        <v>45933</v>
      </c>
      <c r="J155" s="15">
        <v>45</v>
      </c>
      <c r="K155" s="15">
        <v>3</v>
      </c>
      <c r="L155" s="9">
        <v>0.1235</v>
      </c>
      <c r="M155" s="9">
        <v>6.13E-2</v>
      </c>
      <c r="N155" s="15">
        <v>5</v>
      </c>
      <c r="O155" t="s">
        <v>27</v>
      </c>
      <c r="P155" t="s">
        <v>28</v>
      </c>
      <c r="Q155" s="24">
        <v>0.8</v>
      </c>
      <c r="R155" s="5">
        <f t="shared" si="12"/>
        <v>1412.3663013698631</v>
      </c>
      <c r="S155" s="5">
        <f t="shared" si="13"/>
        <v>77.892986301369859</v>
      </c>
      <c r="T155" s="5">
        <f t="shared" si="14"/>
        <v>1334.4733150684933</v>
      </c>
      <c r="U155" s="15">
        <f t="shared" si="15"/>
        <v>40</v>
      </c>
      <c r="V155" s="3">
        <f t="shared" si="16"/>
        <v>4615.7375999999995</v>
      </c>
      <c r="W155" s="3">
        <f t="shared" si="17"/>
        <v>154</v>
      </c>
    </row>
    <row r="156" spans="1:23" x14ac:dyDescent="0.2">
      <c r="A156" t="s">
        <v>177</v>
      </c>
      <c r="B156" t="s">
        <v>121</v>
      </c>
      <c r="C156" t="s">
        <v>36</v>
      </c>
      <c r="D156" t="s">
        <v>32</v>
      </c>
      <c r="E156" t="s">
        <v>25</v>
      </c>
      <c r="F156" s="7">
        <v>3292658</v>
      </c>
      <c r="G156" t="s">
        <v>178</v>
      </c>
      <c r="H156" s="5">
        <v>80517</v>
      </c>
      <c r="I156" s="12">
        <v>45964</v>
      </c>
      <c r="J156" s="15">
        <v>60</v>
      </c>
      <c r="K156" s="15">
        <v>4</v>
      </c>
      <c r="L156" s="9">
        <v>0.11559999999999999</v>
      </c>
      <c r="M156" s="9">
        <v>5.2499999999999998E-2</v>
      </c>
      <c r="N156" s="15">
        <v>7</v>
      </c>
      <c r="O156" t="s">
        <v>27</v>
      </c>
      <c r="P156" t="s">
        <v>28</v>
      </c>
      <c r="Q156" s="24">
        <v>0.9</v>
      </c>
      <c r="R156" s="5">
        <f t="shared" si="12"/>
        <v>1530.0435945205479</v>
      </c>
      <c r="S156" s="5">
        <f t="shared" si="13"/>
        <v>81.068486301369859</v>
      </c>
      <c r="T156" s="5">
        <f t="shared" si="14"/>
        <v>1448.9751082191781</v>
      </c>
      <c r="U156" s="15">
        <f t="shared" si="15"/>
        <v>53</v>
      </c>
      <c r="V156" s="3">
        <f t="shared" si="16"/>
        <v>4572.5604299999995</v>
      </c>
      <c r="W156" s="3">
        <f t="shared" si="17"/>
        <v>155</v>
      </c>
    </row>
    <row r="157" spans="1:23" x14ac:dyDescent="0.2">
      <c r="A157" t="s">
        <v>244</v>
      </c>
      <c r="B157" t="s">
        <v>245</v>
      </c>
      <c r="C157" t="s">
        <v>77</v>
      </c>
      <c r="D157" t="s">
        <v>48</v>
      </c>
      <c r="E157" t="s">
        <v>49</v>
      </c>
      <c r="F157" s="7">
        <v>759292</v>
      </c>
      <c r="G157" t="s">
        <v>1530</v>
      </c>
      <c r="H157" s="5">
        <v>98364</v>
      </c>
      <c r="I157" s="12">
        <v>45864</v>
      </c>
      <c r="J157" s="15">
        <v>60</v>
      </c>
      <c r="K157" s="15">
        <v>3</v>
      </c>
      <c r="L157" s="9">
        <v>0.1171</v>
      </c>
      <c r="M157" s="9">
        <v>5.8999999999999997E-2</v>
      </c>
      <c r="N157" s="15">
        <v>10</v>
      </c>
      <c r="O157" t="s">
        <v>27</v>
      </c>
      <c r="P157" t="s">
        <v>28</v>
      </c>
      <c r="Q157" s="24">
        <v>0.8</v>
      </c>
      <c r="R157" s="5">
        <f t="shared" si="12"/>
        <v>1893.4396273972602</v>
      </c>
      <c r="S157" s="5">
        <f t="shared" si="13"/>
        <v>158.99934246575341</v>
      </c>
      <c r="T157" s="5">
        <f t="shared" si="14"/>
        <v>1734.4402849315068</v>
      </c>
      <c r="U157" s="15">
        <f t="shared" si="15"/>
        <v>50</v>
      </c>
      <c r="V157" s="3">
        <f t="shared" si="16"/>
        <v>4571.9587199999996</v>
      </c>
      <c r="W157" s="3">
        <f t="shared" si="17"/>
        <v>156</v>
      </c>
    </row>
    <row r="158" spans="1:23" x14ac:dyDescent="0.2">
      <c r="A158" t="s">
        <v>82</v>
      </c>
      <c r="B158" t="s">
        <v>83</v>
      </c>
      <c r="C158" t="s">
        <v>23</v>
      </c>
      <c r="D158" t="s">
        <v>66</v>
      </c>
      <c r="E158" t="s">
        <v>49</v>
      </c>
      <c r="F158" s="7">
        <v>946643</v>
      </c>
      <c r="G158" t="s">
        <v>409</v>
      </c>
      <c r="H158" s="5">
        <v>44302</v>
      </c>
      <c r="I158" s="12">
        <v>45857</v>
      </c>
      <c r="J158" s="15">
        <v>60</v>
      </c>
      <c r="K158" s="15">
        <v>2</v>
      </c>
      <c r="L158" s="9">
        <v>0.1648</v>
      </c>
      <c r="M158" s="9">
        <v>5.04E-2</v>
      </c>
      <c r="N158" s="15">
        <v>8</v>
      </c>
      <c r="O158" t="s">
        <v>27</v>
      </c>
      <c r="P158" t="s">
        <v>28</v>
      </c>
      <c r="Q158" s="24">
        <v>0.9</v>
      </c>
      <c r="R158" s="5">
        <f t="shared" si="12"/>
        <v>1200.1593863013698</v>
      </c>
      <c r="S158" s="5">
        <f t="shared" si="13"/>
        <v>48.938538082191783</v>
      </c>
      <c r="T158" s="5">
        <f t="shared" si="14"/>
        <v>1151.2208482191779</v>
      </c>
      <c r="U158" s="15">
        <f t="shared" si="15"/>
        <v>52</v>
      </c>
      <c r="V158" s="3">
        <f t="shared" si="16"/>
        <v>4561.33392</v>
      </c>
      <c r="W158" s="3">
        <f t="shared" si="17"/>
        <v>157</v>
      </c>
    </row>
    <row r="159" spans="1:23" x14ac:dyDescent="0.2">
      <c r="A159" t="s">
        <v>206</v>
      </c>
      <c r="B159" t="s">
        <v>207</v>
      </c>
      <c r="C159" t="s">
        <v>77</v>
      </c>
      <c r="D159" t="s">
        <v>32</v>
      </c>
      <c r="E159" t="s">
        <v>25</v>
      </c>
      <c r="F159" s="7">
        <v>3819447</v>
      </c>
      <c r="G159" t="s">
        <v>1647</v>
      </c>
      <c r="H159" s="5">
        <v>91348</v>
      </c>
      <c r="I159" s="12">
        <v>45884</v>
      </c>
      <c r="J159" s="15">
        <v>60</v>
      </c>
      <c r="K159" s="15">
        <v>3</v>
      </c>
      <c r="L159" s="9">
        <v>0.12620000000000001</v>
      </c>
      <c r="M159" s="9">
        <v>6.3899999999999998E-2</v>
      </c>
      <c r="N159" s="15">
        <v>7</v>
      </c>
      <c r="O159" t="s">
        <v>27</v>
      </c>
      <c r="P159" t="s">
        <v>28</v>
      </c>
      <c r="Q159" s="24">
        <v>0.8</v>
      </c>
      <c r="R159" s="5">
        <f t="shared" si="12"/>
        <v>1895.0330301369863</v>
      </c>
      <c r="S159" s="5">
        <f t="shared" si="13"/>
        <v>111.94509698630138</v>
      </c>
      <c r="T159" s="5">
        <f t="shared" si="14"/>
        <v>1783.0879331506849</v>
      </c>
      <c r="U159" s="15">
        <f t="shared" si="15"/>
        <v>53</v>
      </c>
      <c r="V159" s="3">
        <f t="shared" si="16"/>
        <v>4552.7843200000007</v>
      </c>
      <c r="W159" s="3">
        <f t="shared" si="17"/>
        <v>158</v>
      </c>
    </row>
    <row r="160" spans="1:23" x14ac:dyDescent="0.2">
      <c r="A160" t="s">
        <v>407</v>
      </c>
      <c r="B160" t="s">
        <v>218</v>
      </c>
      <c r="C160" t="s">
        <v>41</v>
      </c>
      <c r="D160" t="s">
        <v>32</v>
      </c>
      <c r="E160" t="s">
        <v>25</v>
      </c>
      <c r="F160" s="7">
        <v>1514188</v>
      </c>
      <c r="G160" t="s">
        <v>408</v>
      </c>
      <c r="H160" s="5">
        <v>84487</v>
      </c>
      <c r="I160" s="12">
        <v>45809</v>
      </c>
      <c r="J160" s="15">
        <v>90</v>
      </c>
      <c r="K160" s="15">
        <v>5</v>
      </c>
      <c r="L160" s="9">
        <v>0.11600000000000001</v>
      </c>
      <c r="M160" s="9">
        <v>4.87E-2</v>
      </c>
      <c r="N160" s="15">
        <v>10</v>
      </c>
      <c r="O160" t="s">
        <v>27</v>
      </c>
      <c r="P160" t="s">
        <v>28</v>
      </c>
      <c r="Q160" s="24">
        <v>0.8</v>
      </c>
      <c r="R160" s="5">
        <f t="shared" si="12"/>
        <v>2416.5596712328766</v>
      </c>
      <c r="S160" s="5">
        <f t="shared" si="13"/>
        <v>112.72649041095889</v>
      </c>
      <c r="T160" s="5">
        <f t="shared" si="14"/>
        <v>2303.8331808219177</v>
      </c>
      <c r="U160" s="15">
        <f t="shared" si="15"/>
        <v>80</v>
      </c>
      <c r="V160" s="3">
        <f t="shared" si="16"/>
        <v>4548.7800799999995</v>
      </c>
      <c r="W160" s="3">
        <f t="shared" si="17"/>
        <v>159</v>
      </c>
    </row>
    <row r="161" spans="1:23" x14ac:dyDescent="0.2">
      <c r="A161" t="s">
        <v>169</v>
      </c>
      <c r="B161" t="s">
        <v>170</v>
      </c>
      <c r="C161" t="s">
        <v>31</v>
      </c>
      <c r="D161" t="s">
        <v>37</v>
      </c>
      <c r="E161" t="s">
        <v>25</v>
      </c>
      <c r="F161" s="7">
        <v>4193232</v>
      </c>
      <c r="G161" t="s">
        <v>859</v>
      </c>
      <c r="H161" s="5">
        <v>92739</v>
      </c>
      <c r="I161" s="12">
        <v>46066</v>
      </c>
      <c r="J161" s="15">
        <v>90</v>
      </c>
      <c r="K161" s="15">
        <v>3</v>
      </c>
      <c r="L161" s="9">
        <v>0.1235</v>
      </c>
      <c r="M161" s="9">
        <v>4.8899999999999999E-2</v>
      </c>
      <c r="N161" s="15">
        <v>7</v>
      </c>
      <c r="O161" t="s">
        <v>27</v>
      </c>
      <c r="P161" t="s">
        <v>28</v>
      </c>
      <c r="Q161" s="24">
        <v>0.65</v>
      </c>
      <c r="R161" s="5">
        <f t="shared" si="12"/>
        <v>2824.093109589041</v>
      </c>
      <c r="S161" s="5">
        <f t="shared" si="13"/>
        <v>86.971396438356166</v>
      </c>
      <c r="T161" s="5">
        <f t="shared" si="14"/>
        <v>2737.1217131506846</v>
      </c>
      <c r="U161" s="15">
        <f t="shared" si="15"/>
        <v>83</v>
      </c>
      <c r="V161" s="3">
        <f t="shared" si="16"/>
        <v>4496.9141099999997</v>
      </c>
      <c r="W161" s="3">
        <f t="shared" si="17"/>
        <v>160</v>
      </c>
    </row>
    <row r="162" spans="1:23" x14ac:dyDescent="0.2">
      <c r="A162" t="s">
        <v>82</v>
      </c>
      <c r="B162" t="s">
        <v>83</v>
      </c>
      <c r="C162" t="s">
        <v>23</v>
      </c>
      <c r="D162" t="s">
        <v>66</v>
      </c>
      <c r="E162" t="s">
        <v>49</v>
      </c>
      <c r="F162" s="7">
        <v>946643</v>
      </c>
      <c r="G162" t="s">
        <v>1119</v>
      </c>
      <c r="H162" s="5">
        <v>60815</v>
      </c>
      <c r="I162" s="12">
        <v>46061</v>
      </c>
      <c r="J162" s="15">
        <v>60</v>
      </c>
      <c r="K162" s="15">
        <v>5</v>
      </c>
      <c r="L162" s="9">
        <v>0.1648</v>
      </c>
      <c r="M162" s="9">
        <v>5.2200000000000003E-2</v>
      </c>
      <c r="N162" s="15">
        <v>6</v>
      </c>
      <c r="O162" t="s">
        <v>28</v>
      </c>
      <c r="P162" t="s">
        <v>28</v>
      </c>
      <c r="Q162" s="24">
        <v>0.65</v>
      </c>
      <c r="R162" s="5">
        <f t="shared" si="12"/>
        <v>1647.5033424657533</v>
      </c>
      <c r="S162" s="5">
        <f t="shared" si="13"/>
        <v>52.184268493150682</v>
      </c>
      <c r="T162" s="5">
        <f t="shared" si="14"/>
        <v>1595.3190739726026</v>
      </c>
      <c r="U162" s="15">
        <f t="shared" si="15"/>
        <v>54</v>
      </c>
      <c r="V162" s="3">
        <f t="shared" si="16"/>
        <v>4451.0498500000003</v>
      </c>
      <c r="W162" s="3">
        <f t="shared" si="17"/>
        <v>161</v>
      </c>
    </row>
    <row r="163" spans="1:23" x14ac:dyDescent="0.2">
      <c r="A163" t="s">
        <v>256</v>
      </c>
      <c r="B163" t="s">
        <v>257</v>
      </c>
      <c r="C163" t="s">
        <v>36</v>
      </c>
      <c r="D163" t="s">
        <v>48</v>
      </c>
      <c r="E163" t="s">
        <v>25</v>
      </c>
      <c r="F163" s="7">
        <v>3046555</v>
      </c>
      <c r="G163" t="s">
        <v>565</v>
      </c>
      <c r="H163" s="5">
        <v>89296</v>
      </c>
      <c r="I163" s="12">
        <v>45951</v>
      </c>
      <c r="J163" s="15">
        <v>45</v>
      </c>
      <c r="K163" s="15">
        <v>2</v>
      </c>
      <c r="L163" s="9">
        <v>0.13830000000000001</v>
      </c>
      <c r="M163" s="9">
        <v>6.1800000000000001E-2</v>
      </c>
      <c r="N163" s="15">
        <v>10</v>
      </c>
      <c r="O163" t="s">
        <v>27</v>
      </c>
      <c r="P163" t="s">
        <v>28</v>
      </c>
      <c r="Q163" s="24">
        <v>0.65</v>
      </c>
      <c r="R163" s="5">
        <f t="shared" si="12"/>
        <v>1522.5579616438356</v>
      </c>
      <c r="S163" s="5">
        <f t="shared" si="13"/>
        <v>151.19158356164382</v>
      </c>
      <c r="T163" s="5">
        <f t="shared" si="14"/>
        <v>1371.3663780821917</v>
      </c>
      <c r="U163" s="15">
        <f t="shared" si="15"/>
        <v>35</v>
      </c>
      <c r="V163" s="3">
        <f t="shared" si="16"/>
        <v>4440.2436000000007</v>
      </c>
      <c r="W163" s="3">
        <f t="shared" si="17"/>
        <v>162</v>
      </c>
    </row>
    <row r="164" spans="1:23" x14ac:dyDescent="0.2">
      <c r="A164" t="s">
        <v>415</v>
      </c>
      <c r="B164" t="s">
        <v>416</v>
      </c>
      <c r="C164" t="s">
        <v>31</v>
      </c>
      <c r="D164" t="s">
        <v>66</v>
      </c>
      <c r="E164" t="s">
        <v>49</v>
      </c>
      <c r="F164" s="7">
        <v>1241903</v>
      </c>
      <c r="G164" t="s">
        <v>417</v>
      </c>
      <c r="H164" s="5">
        <v>85339</v>
      </c>
      <c r="I164" s="12">
        <v>45812</v>
      </c>
      <c r="J164" s="15">
        <v>90</v>
      </c>
      <c r="K164" s="15">
        <v>3</v>
      </c>
      <c r="L164" s="9">
        <v>0.15939999999999999</v>
      </c>
      <c r="M164" s="9">
        <v>5.6399999999999999E-2</v>
      </c>
      <c r="N164" s="15">
        <v>6</v>
      </c>
      <c r="O164" t="s">
        <v>27</v>
      </c>
      <c r="P164" t="s">
        <v>28</v>
      </c>
      <c r="Q164" s="24">
        <v>0.5</v>
      </c>
      <c r="R164" s="5">
        <f t="shared" si="12"/>
        <v>3354.1734082191779</v>
      </c>
      <c r="S164" s="5">
        <f t="shared" si="13"/>
        <v>79.119774246575332</v>
      </c>
      <c r="T164" s="5">
        <f t="shared" si="14"/>
        <v>3275.0536339726027</v>
      </c>
      <c r="U164" s="15">
        <f t="shared" si="15"/>
        <v>84</v>
      </c>
      <c r="V164" s="3">
        <f t="shared" si="16"/>
        <v>4394.9584999999988</v>
      </c>
      <c r="W164" s="3">
        <f t="shared" si="17"/>
        <v>163</v>
      </c>
    </row>
    <row r="165" spans="1:23" x14ac:dyDescent="0.2">
      <c r="A165" t="s">
        <v>88</v>
      </c>
      <c r="B165" t="s">
        <v>89</v>
      </c>
      <c r="C165" t="s">
        <v>23</v>
      </c>
      <c r="D165" t="s">
        <v>66</v>
      </c>
      <c r="E165" t="s">
        <v>49</v>
      </c>
      <c r="F165" s="7">
        <v>896464</v>
      </c>
      <c r="G165" t="s">
        <v>844</v>
      </c>
      <c r="H165" s="5">
        <v>94110</v>
      </c>
      <c r="I165" s="12">
        <v>45912</v>
      </c>
      <c r="J165" s="15">
        <v>45</v>
      </c>
      <c r="K165" s="15">
        <v>3</v>
      </c>
      <c r="L165" s="9">
        <v>0.13550000000000001</v>
      </c>
      <c r="M165" s="9">
        <v>6.4199999999999993E-2</v>
      </c>
      <c r="N165" s="15">
        <v>5</v>
      </c>
      <c r="O165" t="s">
        <v>27</v>
      </c>
      <c r="P165" t="s">
        <v>28</v>
      </c>
      <c r="Q165" s="24">
        <v>0.65</v>
      </c>
      <c r="R165" s="5">
        <f t="shared" si="12"/>
        <v>1572.1526712328766</v>
      </c>
      <c r="S165" s="5">
        <f t="shared" si="13"/>
        <v>82.765232876712318</v>
      </c>
      <c r="T165" s="5">
        <f t="shared" si="14"/>
        <v>1489.3874383561642</v>
      </c>
      <c r="U165" s="15">
        <f t="shared" si="15"/>
        <v>40</v>
      </c>
      <c r="V165" s="3">
        <f t="shared" si="16"/>
        <v>4361.5279500000006</v>
      </c>
      <c r="W165" s="3">
        <f t="shared" si="17"/>
        <v>164</v>
      </c>
    </row>
    <row r="166" spans="1:23" x14ac:dyDescent="0.2">
      <c r="A166" t="s">
        <v>415</v>
      </c>
      <c r="B166" t="s">
        <v>416</v>
      </c>
      <c r="C166" t="s">
        <v>31</v>
      </c>
      <c r="D166" t="s">
        <v>66</v>
      </c>
      <c r="E166" t="s">
        <v>49</v>
      </c>
      <c r="F166" s="7">
        <v>1241903</v>
      </c>
      <c r="G166" t="s">
        <v>1341</v>
      </c>
      <c r="H166" s="5">
        <v>68143</v>
      </c>
      <c r="I166" s="12">
        <v>45740</v>
      </c>
      <c r="J166" s="15">
        <v>90</v>
      </c>
      <c r="K166" s="15">
        <v>7</v>
      </c>
      <c r="L166" s="9">
        <v>0.15939999999999999</v>
      </c>
      <c r="M166" s="9">
        <v>6.1199999999999997E-2</v>
      </c>
      <c r="N166" s="15">
        <v>5</v>
      </c>
      <c r="O166" t="s">
        <v>27</v>
      </c>
      <c r="P166" t="s">
        <v>28</v>
      </c>
      <c r="Q166" s="24">
        <v>0.65</v>
      </c>
      <c r="R166" s="5">
        <f t="shared" si="12"/>
        <v>2678.2999397260269</v>
      </c>
      <c r="S166" s="5">
        <f t="shared" si="13"/>
        <v>57.128104109589039</v>
      </c>
      <c r="T166" s="5">
        <f t="shared" si="14"/>
        <v>2621.1718356164379</v>
      </c>
      <c r="U166" s="15">
        <f t="shared" si="15"/>
        <v>85</v>
      </c>
      <c r="V166" s="3">
        <f t="shared" si="16"/>
        <v>4349.5676899999989</v>
      </c>
      <c r="W166" s="3">
        <f t="shared" si="17"/>
        <v>165</v>
      </c>
    </row>
    <row r="167" spans="1:23" x14ac:dyDescent="0.2">
      <c r="A167" t="s">
        <v>407</v>
      </c>
      <c r="B167" t="s">
        <v>218</v>
      </c>
      <c r="C167" t="s">
        <v>41</v>
      </c>
      <c r="D167" t="s">
        <v>32</v>
      </c>
      <c r="E167" t="s">
        <v>25</v>
      </c>
      <c r="F167" s="7">
        <v>1514188</v>
      </c>
      <c r="G167" t="s">
        <v>1658</v>
      </c>
      <c r="H167" s="5">
        <v>107545</v>
      </c>
      <c r="I167" s="12">
        <v>45746</v>
      </c>
      <c r="J167" s="15">
        <v>45</v>
      </c>
      <c r="K167" s="15">
        <v>3</v>
      </c>
      <c r="L167" s="9">
        <v>0.11600000000000001</v>
      </c>
      <c r="M167" s="9">
        <v>5.3900000000000003E-2</v>
      </c>
      <c r="N167" s="15">
        <v>7</v>
      </c>
      <c r="O167" t="s">
        <v>27</v>
      </c>
      <c r="P167" t="s">
        <v>28</v>
      </c>
      <c r="Q167" s="24">
        <v>0.65</v>
      </c>
      <c r="R167" s="5">
        <f t="shared" si="12"/>
        <v>1538.0408219178082</v>
      </c>
      <c r="S167" s="5">
        <f t="shared" si="13"/>
        <v>111.1691191780822</v>
      </c>
      <c r="T167" s="5">
        <f t="shared" si="14"/>
        <v>1426.8717027397261</v>
      </c>
      <c r="U167" s="15">
        <f t="shared" si="15"/>
        <v>38</v>
      </c>
      <c r="V167" s="3">
        <f t="shared" si="16"/>
        <v>4341.0539250000002</v>
      </c>
      <c r="W167" s="3">
        <f t="shared" si="17"/>
        <v>166</v>
      </c>
    </row>
    <row r="168" spans="1:23" x14ac:dyDescent="0.2">
      <c r="A168" t="s">
        <v>133</v>
      </c>
      <c r="B168" t="s">
        <v>134</v>
      </c>
      <c r="C168" t="s">
        <v>36</v>
      </c>
      <c r="D168" t="s">
        <v>24</v>
      </c>
      <c r="E168" t="s">
        <v>25</v>
      </c>
      <c r="F168" s="7">
        <v>6056843</v>
      </c>
      <c r="G168" t="s">
        <v>135</v>
      </c>
      <c r="H168" s="5">
        <v>86395</v>
      </c>
      <c r="I168" s="12">
        <v>45996</v>
      </c>
      <c r="J168" s="15">
        <v>60</v>
      </c>
      <c r="K168" s="15">
        <v>2</v>
      </c>
      <c r="L168" s="9">
        <v>0.12520000000000001</v>
      </c>
      <c r="M168" s="9">
        <v>4.8099999999999997E-2</v>
      </c>
      <c r="N168" s="15">
        <v>10</v>
      </c>
      <c r="O168" t="s">
        <v>28</v>
      </c>
      <c r="P168" t="s">
        <v>28</v>
      </c>
      <c r="Q168" s="24">
        <v>0.65</v>
      </c>
      <c r="R168" s="5">
        <f t="shared" si="12"/>
        <v>1778.0801095890411</v>
      </c>
      <c r="S168" s="5">
        <f t="shared" si="13"/>
        <v>113.85204109589039</v>
      </c>
      <c r="T168" s="5">
        <f t="shared" si="14"/>
        <v>1664.2280684931507</v>
      </c>
      <c r="U168" s="15">
        <f t="shared" si="15"/>
        <v>50</v>
      </c>
      <c r="V168" s="3">
        <f t="shared" si="16"/>
        <v>4329.6854249999997</v>
      </c>
      <c r="W168" s="3">
        <f t="shared" si="17"/>
        <v>167</v>
      </c>
    </row>
    <row r="169" spans="1:23" x14ac:dyDescent="0.2">
      <c r="A169" t="s">
        <v>453</v>
      </c>
      <c r="B169" t="s">
        <v>454</v>
      </c>
      <c r="C169" t="s">
        <v>23</v>
      </c>
      <c r="D169" t="s">
        <v>32</v>
      </c>
      <c r="E169" t="s">
        <v>49</v>
      </c>
      <c r="F169" s="7">
        <v>1410716</v>
      </c>
      <c r="G169" t="s">
        <v>1778</v>
      </c>
      <c r="H169" s="5">
        <v>68904</v>
      </c>
      <c r="I169" s="12">
        <v>45666</v>
      </c>
      <c r="J169" s="15">
        <v>90</v>
      </c>
      <c r="K169" s="15">
        <v>10</v>
      </c>
      <c r="L169" s="9">
        <v>0.1472</v>
      </c>
      <c r="M169" s="9">
        <v>5.0999999999999997E-2</v>
      </c>
      <c r="N169" s="15">
        <v>5</v>
      </c>
      <c r="O169" t="s">
        <v>27</v>
      </c>
      <c r="P169" t="s">
        <v>28</v>
      </c>
      <c r="Q169" s="24">
        <v>0.65</v>
      </c>
      <c r="R169" s="5">
        <f t="shared" si="12"/>
        <v>2500.9320328767121</v>
      </c>
      <c r="S169" s="5">
        <f t="shared" si="13"/>
        <v>48.138410958904103</v>
      </c>
      <c r="T169" s="5">
        <f t="shared" si="14"/>
        <v>2452.7936219178082</v>
      </c>
      <c r="U169" s="15">
        <f t="shared" si="15"/>
        <v>85</v>
      </c>
      <c r="V169" s="3">
        <f t="shared" si="16"/>
        <v>4308.5671199999997</v>
      </c>
      <c r="W169" s="3">
        <f t="shared" si="17"/>
        <v>168</v>
      </c>
    </row>
    <row r="170" spans="1:23" x14ac:dyDescent="0.2">
      <c r="A170" t="s">
        <v>247</v>
      </c>
      <c r="B170" t="s">
        <v>47</v>
      </c>
      <c r="C170" t="s">
        <v>31</v>
      </c>
      <c r="D170" t="s">
        <v>48</v>
      </c>
      <c r="E170" t="s">
        <v>49</v>
      </c>
      <c r="F170" s="7">
        <v>1089809</v>
      </c>
      <c r="G170" t="s">
        <v>1015</v>
      </c>
      <c r="H170" s="5">
        <v>42522</v>
      </c>
      <c r="I170" s="12">
        <v>45862</v>
      </c>
      <c r="J170" s="15">
        <v>60</v>
      </c>
      <c r="K170" s="15">
        <v>10</v>
      </c>
      <c r="L170" s="9">
        <v>0.16689999999999999</v>
      </c>
      <c r="M170" s="9">
        <v>5.5E-2</v>
      </c>
      <c r="N170" s="15">
        <v>10</v>
      </c>
      <c r="O170" t="s">
        <v>27</v>
      </c>
      <c r="P170" t="s">
        <v>28</v>
      </c>
      <c r="Q170" s="24">
        <v>0.9</v>
      </c>
      <c r="R170" s="5">
        <f t="shared" si="12"/>
        <v>1166.6172821917808</v>
      </c>
      <c r="S170" s="5">
        <f t="shared" si="13"/>
        <v>64.074246575342457</v>
      </c>
      <c r="T170" s="5">
        <f t="shared" si="14"/>
        <v>1102.5430356164384</v>
      </c>
      <c r="U170" s="15">
        <f t="shared" si="15"/>
        <v>50</v>
      </c>
      <c r="V170" s="3">
        <f t="shared" si="16"/>
        <v>4282.3906200000001</v>
      </c>
      <c r="W170" s="3">
        <f t="shared" si="17"/>
        <v>169</v>
      </c>
    </row>
    <row r="171" spans="1:23" x14ac:dyDescent="0.2">
      <c r="A171" t="s">
        <v>256</v>
      </c>
      <c r="B171" t="s">
        <v>257</v>
      </c>
      <c r="C171" t="s">
        <v>36</v>
      </c>
      <c r="D171" t="s">
        <v>48</v>
      </c>
      <c r="E171" t="s">
        <v>25</v>
      </c>
      <c r="F171" s="7">
        <v>3046555</v>
      </c>
      <c r="G171" t="s">
        <v>258</v>
      </c>
      <c r="H171" s="5">
        <v>57537</v>
      </c>
      <c r="I171" s="12">
        <v>45984</v>
      </c>
      <c r="J171" s="15">
        <v>60</v>
      </c>
      <c r="K171" s="15">
        <v>7</v>
      </c>
      <c r="L171" s="9">
        <v>0.13830000000000001</v>
      </c>
      <c r="M171" s="9">
        <v>5.5800000000000002E-2</v>
      </c>
      <c r="N171" s="15">
        <v>7</v>
      </c>
      <c r="O171" t="s">
        <v>27</v>
      </c>
      <c r="P171" t="s">
        <v>28</v>
      </c>
      <c r="Q171" s="24">
        <v>0.9</v>
      </c>
      <c r="R171" s="5">
        <f t="shared" si="12"/>
        <v>1308.0603452054795</v>
      </c>
      <c r="S171" s="5">
        <f t="shared" si="13"/>
        <v>61.572471780821921</v>
      </c>
      <c r="T171" s="5">
        <f t="shared" si="14"/>
        <v>1246.4878734246577</v>
      </c>
      <c r="U171" s="15">
        <f t="shared" si="15"/>
        <v>53</v>
      </c>
      <c r="V171" s="3">
        <f t="shared" si="16"/>
        <v>4272.1222500000003</v>
      </c>
      <c r="W171" s="3">
        <f t="shared" si="17"/>
        <v>170</v>
      </c>
    </row>
    <row r="172" spans="1:23" x14ac:dyDescent="0.2">
      <c r="A172" t="s">
        <v>249</v>
      </c>
      <c r="B172" t="s">
        <v>250</v>
      </c>
      <c r="C172" t="s">
        <v>23</v>
      </c>
      <c r="D172" t="s">
        <v>66</v>
      </c>
      <c r="E172" t="s">
        <v>25</v>
      </c>
      <c r="F172" s="7">
        <v>2803992</v>
      </c>
      <c r="G172" t="s">
        <v>1252</v>
      </c>
      <c r="H172" s="5">
        <v>102092</v>
      </c>
      <c r="I172" s="12">
        <v>45661</v>
      </c>
      <c r="J172" s="15">
        <v>60</v>
      </c>
      <c r="K172" s="15">
        <v>3</v>
      </c>
      <c r="L172" s="9">
        <v>0.1036</v>
      </c>
      <c r="M172" s="9">
        <v>5.7200000000000001E-2</v>
      </c>
      <c r="N172" s="15">
        <v>8</v>
      </c>
      <c r="O172" t="s">
        <v>27</v>
      </c>
      <c r="P172" t="s">
        <v>28</v>
      </c>
      <c r="Q172" s="24">
        <v>0.9</v>
      </c>
      <c r="R172" s="5">
        <f t="shared" si="12"/>
        <v>1738.6407452054793</v>
      </c>
      <c r="S172" s="5">
        <f t="shared" si="13"/>
        <v>127.99260054794522</v>
      </c>
      <c r="T172" s="5">
        <f t="shared" si="14"/>
        <v>1610.6481446575342</v>
      </c>
      <c r="U172" s="15">
        <f t="shared" si="15"/>
        <v>52</v>
      </c>
      <c r="V172" s="3">
        <f t="shared" si="16"/>
        <v>4263.3619200000003</v>
      </c>
      <c r="W172" s="3">
        <f t="shared" si="17"/>
        <v>171</v>
      </c>
    </row>
    <row r="173" spans="1:23" x14ac:dyDescent="0.2">
      <c r="A173" t="s">
        <v>434</v>
      </c>
      <c r="B173" t="s">
        <v>335</v>
      </c>
      <c r="C173" t="s">
        <v>31</v>
      </c>
      <c r="D173" t="s">
        <v>66</v>
      </c>
      <c r="E173" t="s">
        <v>49</v>
      </c>
      <c r="F173" s="7">
        <v>303851</v>
      </c>
      <c r="G173" t="s">
        <v>1207</v>
      </c>
      <c r="H173" s="5">
        <v>68689</v>
      </c>
      <c r="I173" s="12">
        <v>45988</v>
      </c>
      <c r="J173" s="15">
        <v>60</v>
      </c>
      <c r="K173" s="15">
        <v>5</v>
      </c>
      <c r="L173" s="9">
        <v>0.17499999999999999</v>
      </c>
      <c r="M173" s="9">
        <v>5.1299999999999998E-2</v>
      </c>
      <c r="N173" s="15">
        <v>8</v>
      </c>
      <c r="O173" t="s">
        <v>28</v>
      </c>
      <c r="P173" t="s">
        <v>28</v>
      </c>
      <c r="Q173" s="24">
        <v>0.5</v>
      </c>
      <c r="R173" s="5">
        <f t="shared" si="12"/>
        <v>1975.9849315068491</v>
      </c>
      <c r="S173" s="5">
        <f t="shared" si="13"/>
        <v>77.232782465753431</v>
      </c>
      <c r="T173" s="5">
        <f t="shared" si="14"/>
        <v>1898.7521490410957</v>
      </c>
      <c r="U173" s="15">
        <f t="shared" si="15"/>
        <v>52</v>
      </c>
      <c r="V173" s="3">
        <f t="shared" si="16"/>
        <v>4248.4146499999997</v>
      </c>
      <c r="W173" s="3">
        <f t="shared" si="17"/>
        <v>172</v>
      </c>
    </row>
    <row r="174" spans="1:23" x14ac:dyDescent="0.2">
      <c r="A174" t="s">
        <v>75</v>
      </c>
      <c r="B174" t="s">
        <v>76</v>
      </c>
      <c r="C174" t="s">
        <v>77</v>
      </c>
      <c r="D174" t="s">
        <v>37</v>
      </c>
      <c r="E174" t="s">
        <v>49</v>
      </c>
      <c r="F174" s="7">
        <v>1309806</v>
      </c>
      <c r="G174" t="s">
        <v>1313</v>
      </c>
      <c r="H174" s="5">
        <v>51135</v>
      </c>
      <c r="I174" s="12">
        <v>46058</v>
      </c>
      <c r="J174" s="15">
        <v>60</v>
      </c>
      <c r="K174" s="15">
        <v>7</v>
      </c>
      <c r="L174" s="9">
        <v>0.15210000000000001</v>
      </c>
      <c r="M174" s="9">
        <v>4.8399999999999999E-2</v>
      </c>
      <c r="N174" s="15">
        <v>5</v>
      </c>
      <c r="O174" t="s">
        <v>28</v>
      </c>
      <c r="P174" t="s">
        <v>28</v>
      </c>
      <c r="Q174" s="24">
        <v>0.8</v>
      </c>
      <c r="R174" s="5">
        <f t="shared" si="12"/>
        <v>1278.515095890411</v>
      </c>
      <c r="S174" s="5">
        <f t="shared" si="13"/>
        <v>33.903205479452048</v>
      </c>
      <c r="T174" s="5">
        <f t="shared" si="14"/>
        <v>1244.6118904109589</v>
      </c>
      <c r="U174" s="15">
        <f t="shared" si="15"/>
        <v>55</v>
      </c>
      <c r="V174" s="3">
        <f t="shared" si="16"/>
        <v>4242.1596000000009</v>
      </c>
      <c r="W174" s="3">
        <f t="shared" si="17"/>
        <v>173</v>
      </c>
    </row>
    <row r="175" spans="1:23" x14ac:dyDescent="0.2">
      <c r="A175" t="s">
        <v>115</v>
      </c>
      <c r="B175" t="s">
        <v>80</v>
      </c>
      <c r="C175" t="s">
        <v>36</v>
      </c>
      <c r="D175" t="s">
        <v>24</v>
      </c>
      <c r="E175" t="s">
        <v>49</v>
      </c>
      <c r="F175" s="7">
        <v>373467</v>
      </c>
      <c r="G175" t="s">
        <v>756</v>
      </c>
      <c r="H175" s="5">
        <v>81041</v>
      </c>
      <c r="I175" s="12">
        <v>45897</v>
      </c>
      <c r="J175" s="15">
        <v>60</v>
      </c>
      <c r="K175" s="15">
        <v>2</v>
      </c>
      <c r="L175" s="9">
        <v>0.126</v>
      </c>
      <c r="M175" s="9">
        <v>4.5699999999999998E-2</v>
      </c>
      <c r="N175" s="15">
        <v>7</v>
      </c>
      <c r="O175" t="s">
        <v>27</v>
      </c>
      <c r="P175" t="s">
        <v>28</v>
      </c>
      <c r="Q175" s="24">
        <v>0.65</v>
      </c>
      <c r="R175" s="5">
        <f t="shared" si="12"/>
        <v>1678.5478356164381</v>
      </c>
      <c r="S175" s="5">
        <f t="shared" si="13"/>
        <v>71.027440821917807</v>
      </c>
      <c r="T175" s="5">
        <f t="shared" si="14"/>
        <v>1607.5203947945204</v>
      </c>
      <c r="U175" s="15">
        <f t="shared" si="15"/>
        <v>53</v>
      </c>
      <c r="V175" s="3">
        <f t="shared" si="16"/>
        <v>4229.9349950000005</v>
      </c>
      <c r="W175" s="3">
        <f t="shared" si="17"/>
        <v>174</v>
      </c>
    </row>
    <row r="176" spans="1:23" x14ac:dyDescent="0.2">
      <c r="A176" t="s">
        <v>91</v>
      </c>
      <c r="B176" t="s">
        <v>92</v>
      </c>
      <c r="C176" t="s">
        <v>36</v>
      </c>
      <c r="D176" t="s">
        <v>24</v>
      </c>
      <c r="E176" t="s">
        <v>56</v>
      </c>
      <c r="F176" s="7">
        <v>15029491</v>
      </c>
      <c r="G176" t="s">
        <v>1491</v>
      </c>
      <c r="H176" s="5">
        <v>108191</v>
      </c>
      <c r="I176" s="12">
        <v>45780</v>
      </c>
      <c r="J176" s="15">
        <v>30</v>
      </c>
      <c r="K176" s="15">
        <v>3</v>
      </c>
      <c r="L176" s="9">
        <v>9.8400000000000001E-2</v>
      </c>
      <c r="M176" s="9">
        <v>5.5100000000000003E-2</v>
      </c>
      <c r="N176" s="15">
        <v>10</v>
      </c>
      <c r="O176" t="s">
        <v>27</v>
      </c>
      <c r="P176" t="s">
        <v>28</v>
      </c>
      <c r="Q176" s="24">
        <v>0.9</v>
      </c>
      <c r="R176" s="5">
        <f t="shared" si="12"/>
        <v>875.01323835616427</v>
      </c>
      <c r="S176" s="5">
        <f t="shared" si="13"/>
        <v>163.3239479452055</v>
      </c>
      <c r="T176" s="5">
        <f t="shared" si="14"/>
        <v>711.68929041095873</v>
      </c>
      <c r="U176" s="15">
        <f t="shared" si="15"/>
        <v>20</v>
      </c>
      <c r="V176" s="3">
        <f t="shared" si="16"/>
        <v>4216.20327</v>
      </c>
      <c r="W176" s="3">
        <f t="shared" si="17"/>
        <v>175</v>
      </c>
    </row>
    <row r="177" spans="1:23" x14ac:dyDescent="0.2">
      <c r="A177" t="s">
        <v>151</v>
      </c>
      <c r="B177" t="s">
        <v>131</v>
      </c>
      <c r="C177" t="s">
        <v>77</v>
      </c>
      <c r="D177" t="s">
        <v>66</v>
      </c>
      <c r="E177" t="s">
        <v>49</v>
      </c>
      <c r="F177" s="7">
        <v>1106462</v>
      </c>
      <c r="G177" t="s">
        <v>152</v>
      </c>
      <c r="H177" s="5">
        <v>93018</v>
      </c>
      <c r="I177" s="12">
        <v>45959</v>
      </c>
      <c r="J177" s="15">
        <v>60</v>
      </c>
      <c r="K177" s="15">
        <v>10</v>
      </c>
      <c r="L177" s="9">
        <v>0.1328</v>
      </c>
      <c r="M177" s="9">
        <v>6.3399999999999998E-2</v>
      </c>
      <c r="N177" s="15">
        <v>5</v>
      </c>
      <c r="O177" t="s">
        <v>27</v>
      </c>
      <c r="P177" t="s">
        <v>28</v>
      </c>
      <c r="Q177" s="24">
        <v>0.65</v>
      </c>
      <c r="R177" s="5">
        <f t="shared" si="12"/>
        <v>2030.5956821917807</v>
      </c>
      <c r="S177" s="5">
        <f t="shared" si="13"/>
        <v>80.785495890410957</v>
      </c>
      <c r="T177" s="5">
        <f t="shared" si="14"/>
        <v>1949.8101863013699</v>
      </c>
      <c r="U177" s="15">
        <f t="shared" si="15"/>
        <v>55</v>
      </c>
      <c r="V177" s="3">
        <f t="shared" si="16"/>
        <v>4196.04198</v>
      </c>
      <c r="W177" s="3">
        <f t="shared" si="17"/>
        <v>176</v>
      </c>
    </row>
    <row r="178" spans="1:23" x14ac:dyDescent="0.2">
      <c r="A178" t="s">
        <v>289</v>
      </c>
      <c r="B178" t="s">
        <v>204</v>
      </c>
      <c r="C178" t="s">
        <v>31</v>
      </c>
      <c r="D178" t="s">
        <v>32</v>
      </c>
      <c r="E178" t="s">
        <v>49</v>
      </c>
      <c r="F178" s="7">
        <v>782629</v>
      </c>
      <c r="G178" t="s">
        <v>290</v>
      </c>
      <c r="H178" s="5">
        <v>76866</v>
      </c>
      <c r="I178" s="12">
        <v>45726</v>
      </c>
      <c r="J178" s="15">
        <v>60</v>
      </c>
      <c r="K178" s="15">
        <v>10</v>
      </c>
      <c r="L178" s="9">
        <v>0.14219999999999999</v>
      </c>
      <c r="M178" s="9">
        <v>5.8500000000000003E-2</v>
      </c>
      <c r="N178" s="15">
        <v>7</v>
      </c>
      <c r="O178" t="s">
        <v>27</v>
      </c>
      <c r="P178" t="s">
        <v>28</v>
      </c>
      <c r="Q178" s="24">
        <v>0.65</v>
      </c>
      <c r="R178" s="5">
        <f t="shared" si="12"/>
        <v>1796.7690739726027</v>
      </c>
      <c r="S178" s="5">
        <f t="shared" si="13"/>
        <v>86.237334246575344</v>
      </c>
      <c r="T178" s="5">
        <f t="shared" si="14"/>
        <v>1710.5317397260274</v>
      </c>
      <c r="U178" s="15">
        <f t="shared" si="15"/>
        <v>53</v>
      </c>
      <c r="V178" s="3">
        <f t="shared" si="16"/>
        <v>4181.89473</v>
      </c>
      <c r="W178" s="3">
        <f t="shared" si="17"/>
        <v>177</v>
      </c>
    </row>
    <row r="179" spans="1:23" x14ac:dyDescent="0.2">
      <c r="A179" t="s">
        <v>94</v>
      </c>
      <c r="B179" t="s">
        <v>95</v>
      </c>
      <c r="C179" t="s">
        <v>41</v>
      </c>
      <c r="D179" t="s">
        <v>66</v>
      </c>
      <c r="E179" t="s">
        <v>25</v>
      </c>
      <c r="F179" s="7">
        <v>2406772</v>
      </c>
      <c r="G179" t="s">
        <v>778</v>
      </c>
      <c r="H179" s="5">
        <v>85272</v>
      </c>
      <c r="I179" s="12">
        <v>45897</v>
      </c>
      <c r="J179" s="15">
        <v>45</v>
      </c>
      <c r="K179" s="15">
        <v>10</v>
      </c>
      <c r="L179" s="9">
        <v>0.1091</v>
      </c>
      <c r="M179" s="9">
        <v>5.4800000000000001E-2</v>
      </c>
      <c r="N179" s="15">
        <v>10</v>
      </c>
      <c r="O179" t="s">
        <v>28</v>
      </c>
      <c r="P179" t="s">
        <v>28</v>
      </c>
      <c r="Q179" s="24">
        <v>0.9</v>
      </c>
      <c r="R179" s="5">
        <f t="shared" si="12"/>
        <v>1146.966805479452</v>
      </c>
      <c r="S179" s="5">
        <f t="shared" si="13"/>
        <v>128.02481095890411</v>
      </c>
      <c r="T179" s="5">
        <f t="shared" si="14"/>
        <v>1018.9419945205478</v>
      </c>
      <c r="U179" s="15">
        <f t="shared" si="15"/>
        <v>35</v>
      </c>
      <c r="V179" s="3">
        <f t="shared" si="16"/>
        <v>4167.2426400000004</v>
      </c>
      <c r="W179" s="3">
        <f t="shared" si="17"/>
        <v>178</v>
      </c>
    </row>
    <row r="180" spans="1:23" x14ac:dyDescent="0.2">
      <c r="A180" t="s">
        <v>351</v>
      </c>
      <c r="B180" t="s">
        <v>352</v>
      </c>
      <c r="C180" t="s">
        <v>36</v>
      </c>
      <c r="D180" t="s">
        <v>24</v>
      </c>
      <c r="E180" t="s">
        <v>49</v>
      </c>
      <c r="F180" s="7">
        <v>1439833</v>
      </c>
      <c r="G180" t="s">
        <v>777</v>
      </c>
      <c r="H180" s="5">
        <v>37292</v>
      </c>
      <c r="I180" s="12">
        <v>45882</v>
      </c>
      <c r="J180" s="15">
        <v>30</v>
      </c>
      <c r="K180" s="15">
        <v>5</v>
      </c>
      <c r="L180" s="9">
        <v>0.17630000000000001</v>
      </c>
      <c r="M180" s="9">
        <v>5.2200000000000003E-2</v>
      </c>
      <c r="N180" s="15">
        <v>6</v>
      </c>
      <c r="O180" t="s">
        <v>27</v>
      </c>
      <c r="P180" t="s">
        <v>28</v>
      </c>
      <c r="Q180" s="24">
        <v>0.9</v>
      </c>
      <c r="R180" s="5">
        <f t="shared" si="12"/>
        <v>540.37640547945205</v>
      </c>
      <c r="S180" s="5">
        <f t="shared" si="13"/>
        <v>31.999601095890412</v>
      </c>
      <c r="T180" s="5">
        <f t="shared" si="14"/>
        <v>508.37680438356165</v>
      </c>
      <c r="U180" s="15">
        <f t="shared" si="15"/>
        <v>24</v>
      </c>
      <c r="V180" s="3">
        <f t="shared" si="16"/>
        <v>4165.1434800000006</v>
      </c>
      <c r="W180" s="3">
        <f t="shared" si="17"/>
        <v>179</v>
      </c>
    </row>
    <row r="181" spans="1:23" x14ac:dyDescent="0.2">
      <c r="A181" t="s">
        <v>186</v>
      </c>
      <c r="B181" t="s">
        <v>187</v>
      </c>
      <c r="C181" t="s">
        <v>41</v>
      </c>
      <c r="D181" t="s">
        <v>32</v>
      </c>
      <c r="E181" t="s">
        <v>25</v>
      </c>
      <c r="F181" s="7">
        <v>3649528</v>
      </c>
      <c r="G181" t="s">
        <v>736</v>
      </c>
      <c r="H181" s="5">
        <v>64150</v>
      </c>
      <c r="I181" s="12">
        <v>45674</v>
      </c>
      <c r="J181" s="15">
        <v>45</v>
      </c>
      <c r="K181" s="15">
        <v>7</v>
      </c>
      <c r="L181" s="9">
        <v>0.1283</v>
      </c>
      <c r="M181" s="9">
        <v>4.7600000000000003E-2</v>
      </c>
      <c r="N181" s="15">
        <v>10</v>
      </c>
      <c r="O181" t="s">
        <v>27</v>
      </c>
      <c r="P181" t="s">
        <v>28</v>
      </c>
      <c r="Q181" s="24">
        <v>0.8</v>
      </c>
      <c r="R181" s="5">
        <f t="shared" si="12"/>
        <v>1014.7123972602739</v>
      </c>
      <c r="S181" s="5">
        <f t="shared" si="13"/>
        <v>83.658630136986304</v>
      </c>
      <c r="T181" s="5">
        <f t="shared" si="14"/>
        <v>931.05376712328757</v>
      </c>
      <c r="U181" s="15">
        <f t="shared" si="15"/>
        <v>35</v>
      </c>
      <c r="V181" s="3">
        <f t="shared" si="16"/>
        <v>4141.5239999999994</v>
      </c>
      <c r="W181" s="3">
        <f t="shared" si="17"/>
        <v>180</v>
      </c>
    </row>
    <row r="182" spans="1:23" x14ac:dyDescent="0.2">
      <c r="A182" t="s">
        <v>351</v>
      </c>
      <c r="B182" t="s">
        <v>352</v>
      </c>
      <c r="C182" t="s">
        <v>36</v>
      </c>
      <c r="D182" t="s">
        <v>24</v>
      </c>
      <c r="E182" t="s">
        <v>49</v>
      </c>
      <c r="F182" s="7">
        <v>1439833</v>
      </c>
      <c r="G182" t="s">
        <v>569</v>
      </c>
      <c r="H182" s="5">
        <v>45801</v>
      </c>
      <c r="I182" s="12">
        <v>45824</v>
      </c>
      <c r="J182" s="15">
        <v>60</v>
      </c>
      <c r="K182" s="15">
        <v>10</v>
      </c>
      <c r="L182" s="9">
        <v>0.17630000000000001</v>
      </c>
      <c r="M182" s="9">
        <v>6.3299999999999995E-2</v>
      </c>
      <c r="N182" s="15">
        <v>5</v>
      </c>
      <c r="O182" t="s">
        <v>28</v>
      </c>
      <c r="P182" t="s">
        <v>28</v>
      </c>
      <c r="Q182" s="24">
        <v>0.8</v>
      </c>
      <c r="R182" s="5">
        <f t="shared" si="12"/>
        <v>1327.3506246575344</v>
      </c>
      <c r="S182" s="5">
        <f t="shared" si="13"/>
        <v>39.715113698630127</v>
      </c>
      <c r="T182" s="5">
        <f t="shared" si="14"/>
        <v>1287.6355109589042</v>
      </c>
      <c r="U182" s="15">
        <f t="shared" si="15"/>
        <v>55</v>
      </c>
      <c r="V182" s="3">
        <f t="shared" si="16"/>
        <v>4140.4104000000007</v>
      </c>
      <c r="W182" s="3">
        <f t="shared" si="17"/>
        <v>181</v>
      </c>
    </row>
    <row r="183" spans="1:23" x14ac:dyDescent="0.2">
      <c r="A183" t="s">
        <v>239</v>
      </c>
      <c r="B183" t="s">
        <v>240</v>
      </c>
      <c r="C183" t="s">
        <v>31</v>
      </c>
      <c r="D183" t="s">
        <v>32</v>
      </c>
      <c r="E183" t="s">
        <v>49</v>
      </c>
      <c r="F183" s="7">
        <v>1485779</v>
      </c>
      <c r="G183" t="s">
        <v>1155</v>
      </c>
      <c r="H183" s="5">
        <v>65411</v>
      </c>
      <c r="I183" s="12">
        <v>45991</v>
      </c>
      <c r="J183" s="15">
        <v>60</v>
      </c>
      <c r="K183" s="15">
        <v>2</v>
      </c>
      <c r="L183" s="9">
        <v>0.1295</v>
      </c>
      <c r="M183" s="9">
        <v>5.04E-2</v>
      </c>
      <c r="N183" s="15">
        <v>10</v>
      </c>
      <c r="O183" t="s">
        <v>27</v>
      </c>
      <c r="P183" t="s">
        <v>28</v>
      </c>
      <c r="Q183" s="24">
        <v>0.8</v>
      </c>
      <c r="R183" s="5">
        <f t="shared" si="12"/>
        <v>1392.4478630136987</v>
      </c>
      <c r="S183" s="5">
        <f t="shared" si="13"/>
        <v>90.320942465753419</v>
      </c>
      <c r="T183" s="5">
        <f t="shared" si="14"/>
        <v>1302.1269205479452</v>
      </c>
      <c r="U183" s="15">
        <f t="shared" si="15"/>
        <v>50</v>
      </c>
      <c r="V183" s="3">
        <f t="shared" si="16"/>
        <v>4139.2080800000003</v>
      </c>
      <c r="W183" s="3">
        <f t="shared" si="17"/>
        <v>182</v>
      </c>
    </row>
    <row r="184" spans="1:23" x14ac:dyDescent="0.2">
      <c r="A184" t="s">
        <v>256</v>
      </c>
      <c r="B184" t="s">
        <v>257</v>
      </c>
      <c r="C184" t="s">
        <v>36</v>
      </c>
      <c r="D184" t="s">
        <v>48</v>
      </c>
      <c r="E184" t="s">
        <v>25</v>
      </c>
      <c r="F184" s="7">
        <v>3046555</v>
      </c>
      <c r="G184" t="s">
        <v>1031</v>
      </c>
      <c r="H184" s="5">
        <v>92586</v>
      </c>
      <c r="I184" s="12">
        <v>45793</v>
      </c>
      <c r="J184" s="15">
        <v>45</v>
      </c>
      <c r="K184" s="15">
        <v>5</v>
      </c>
      <c r="L184" s="9">
        <v>0.13830000000000001</v>
      </c>
      <c r="M184" s="9">
        <v>4.9000000000000002E-2</v>
      </c>
      <c r="N184" s="15">
        <v>5</v>
      </c>
      <c r="O184" t="s">
        <v>27</v>
      </c>
      <c r="P184" t="s">
        <v>28</v>
      </c>
      <c r="Q184" s="24">
        <v>0.5</v>
      </c>
      <c r="R184" s="5">
        <f t="shared" si="12"/>
        <v>1578.654715068493</v>
      </c>
      <c r="S184" s="5">
        <f t="shared" si="13"/>
        <v>62.146767123287667</v>
      </c>
      <c r="T184" s="5">
        <f t="shared" si="14"/>
        <v>1516.5079479452054</v>
      </c>
      <c r="U184" s="15">
        <f t="shared" si="15"/>
        <v>40</v>
      </c>
      <c r="V184" s="3">
        <f t="shared" si="16"/>
        <v>4133.9648999999999</v>
      </c>
      <c r="W184" s="3">
        <f t="shared" si="17"/>
        <v>183</v>
      </c>
    </row>
    <row r="185" spans="1:23" x14ac:dyDescent="0.2">
      <c r="A185" t="s">
        <v>186</v>
      </c>
      <c r="B185" t="s">
        <v>187</v>
      </c>
      <c r="C185" t="s">
        <v>41</v>
      </c>
      <c r="D185" t="s">
        <v>32</v>
      </c>
      <c r="E185" t="s">
        <v>25</v>
      </c>
      <c r="F185" s="7">
        <v>3649528</v>
      </c>
      <c r="G185" t="s">
        <v>370</v>
      </c>
      <c r="H185" s="5">
        <v>70954</v>
      </c>
      <c r="I185" s="12">
        <v>45966</v>
      </c>
      <c r="J185" s="15">
        <v>60</v>
      </c>
      <c r="K185" s="15">
        <v>2</v>
      </c>
      <c r="L185" s="9">
        <v>0.1283</v>
      </c>
      <c r="M185" s="9">
        <v>5.57E-2</v>
      </c>
      <c r="N185" s="15">
        <v>6</v>
      </c>
      <c r="O185" t="s">
        <v>28</v>
      </c>
      <c r="P185" t="s">
        <v>28</v>
      </c>
      <c r="Q185" s="24">
        <v>0.8</v>
      </c>
      <c r="R185" s="5">
        <f t="shared" si="12"/>
        <v>1496.4490191780822</v>
      </c>
      <c r="S185" s="5">
        <f t="shared" si="13"/>
        <v>64.966648767123274</v>
      </c>
      <c r="T185" s="5">
        <f t="shared" si="14"/>
        <v>1431.482370410959</v>
      </c>
      <c r="U185" s="15">
        <f t="shared" si="15"/>
        <v>54</v>
      </c>
      <c r="V185" s="3">
        <f t="shared" si="16"/>
        <v>4121.0083199999999</v>
      </c>
      <c r="W185" s="3">
        <f t="shared" si="17"/>
        <v>184</v>
      </c>
    </row>
    <row r="186" spans="1:23" x14ac:dyDescent="0.2">
      <c r="A186" t="s">
        <v>366</v>
      </c>
      <c r="B186" t="s">
        <v>367</v>
      </c>
      <c r="C186" t="s">
        <v>41</v>
      </c>
      <c r="D186" t="s">
        <v>37</v>
      </c>
      <c r="E186" t="s">
        <v>56</v>
      </c>
      <c r="F186" s="7">
        <v>13330124</v>
      </c>
      <c r="G186" t="s">
        <v>982</v>
      </c>
      <c r="H186" s="5">
        <v>79081</v>
      </c>
      <c r="I186" s="12">
        <v>45842</v>
      </c>
      <c r="J186" s="15">
        <v>60</v>
      </c>
      <c r="K186" s="15">
        <v>5</v>
      </c>
      <c r="L186" s="9">
        <v>0.10920000000000001</v>
      </c>
      <c r="M186" s="9">
        <v>5.1400000000000001E-2</v>
      </c>
      <c r="N186" s="15">
        <v>10</v>
      </c>
      <c r="O186" t="s">
        <v>27</v>
      </c>
      <c r="P186" t="s">
        <v>28</v>
      </c>
      <c r="Q186" s="24">
        <v>0.9</v>
      </c>
      <c r="R186" s="5">
        <f t="shared" si="12"/>
        <v>1419.5581150684932</v>
      </c>
      <c r="S186" s="5">
        <f t="shared" si="13"/>
        <v>111.36338082191781</v>
      </c>
      <c r="T186" s="5">
        <f t="shared" si="14"/>
        <v>1308.1947342465753</v>
      </c>
      <c r="U186" s="15">
        <f t="shared" si="15"/>
        <v>50</v>
      </c>
      <c r="V186" s="3">
        <f t="shared" si="16"/>
        <v>4113.7936200000004</v>
      </c>
      <c r="W186" s="3">
        <f t="shared" si="17"/>
        <v>185</v>
      </c>
    </row>
    <row r="187" spans="1:23" x14ac:dyDescent="0.2">
      <c r="A187" t="s">
        <v>256</v>
      </c>
      <c r="B187" t="s">
        <v>257</v>
      </c>
      <c r="C187" t="s">
        <v>36</v>
      </c>
      <c r="D187" t="s">
        <v>48</v>
      </c>
      <c r="E187" t="s">
        <v>25</v>
      </c>
      <c r="F187" s="7">
        <v>3046555</v>
      </c>
      <c r="G187" t="s">
        <v>900</v>
      </c>
      <c r="H187" s="5">
        <v>99650</v>
      </c>
      <c r="I187" s="12">
        <v>45931</v>
      </c>
      <c r="J187" s="15">
        <v>30</v>
      </c>
      <c r="K187" s="15">
        <v>10</v>
      </c>
      <c r="L187" s="9">
        <v>0.13830000000000001</v>
      </c>
      <c r="M187" s="9">
        <v>5.5800000000000002E-2</v>
      </c>
      <c r="N187" s="15">
        <v>10</v>
      </c>
      <c r="O187" t="s">
        <v>27</v>
      </c>
      <c r="P187" t="s">
        <v>28</v>
      </c>
      <c r="Q187" s="24">
        <v>0.5</v>
      </c>
      <c r="R187" s="5">
        <f t="shared" si="12"/>
        <v>1132.7338356164385</v>
      </c>
      <c r="S187" s="5">
        <f t="shared" si="13"/>
        <v>152.34164383561642</v>
      </c>
      <c r="T187" s="5">
        <f t="shared" si="14"/>
        <v>980.39219178082203</v>
      </c>
      <c r="U187" s="15">
        <f t="shared" si="15"/>
        <v>20</v>
      </c>
      <c r="V187" s="3">
        <f t="shared" si="16"/>
        <v>4110.5625</v>
      </c>
      <c r="W187" s="3">
        <f t="shared" si="17"/>
        <v>186</v>
      </c>
    </row>
    <row r="188" spans="1:23" x14ac:dyDescent="0.2">
      <c r="A188" t="s">
        <v>201</v>
      </c>
      <c r="B188" t="s">
        <v>76</v>
      </c>
      <c r="C188" t="s">
        <v>23</v>
      </c>
      <c r="D188" t="s">
        <v>37</v>
      </c>
      <c r="E188" t="s">
        <v>56</v>
      </c>
      <c r="F188" s="7">
        <v>21198154</v>
      </c>
      <c r="G188" t="s">
        <v>1624</v>
      </c>
      <c r="H188" s="5">
        <v>73787</v>
      </c>
      <c r="I188" s="12">
        <v>45931</v>
      </c>
      <c r="J188" s="15">
        <v>60</v>
      </c>
      <c r="K188" s="15">
        <v>5</v>
      </c>
      <c r="L188" s="9">
        <v>0.1086</v>
      </c>
      <c r="M188" s="9">
        <v>4.6899999999999997E-2</v>
      </c>
      <c r="N188" s="15">
        <v>8</v>
      </c>
      <c r="O188" t="s">
        <v>27</v>
      </c>
      <c r="P188" t="s">
        <v>28</v>
      </c>
      <c r="Q188" s="24">
        <v>0.9</v>
      </c>
      <c r="R188" s="5">
        <f t="shared" si="12"/>
        <v>1317.2495671232878</v>
      </c>
      <c r="S188" s="5">
        <f t="shared" si="13"/>
        <v>75.84899287671233</v>
      </c>
      <c r="T188" s="5">
        <f t="shared" si="14"/>
        <v>1241.4005742465754</v>
      </c>
      <c r="U188" s="15">
        <f t="shared" si="15"/>
        <v>52</v>
      </c>
      <c r="V188" s="3">
        <f t="shared" si="16"/>
        <v>4097.3921099999998</v>
      </c>
      <c r="W188" s="3">
        <f t="shared" si="17"/>
        <v>187</v>
      </c>
    </row>
    <row r="189" spans="1:23" x14ac:dyDescent="0.2">
      <c r="A189" t="s">
        <v>725</v>
      </c>
      <c r="B189" t="s">
        <v>47</v>
      </c>
      <c r="C189" t="s">
        <v>36</v>
      </c>
      <c r="D189" t="s">
        <v>48</v>
      </c>
      <c r="E189" t="s">
        <v>25</v>
      </c>
      <c r="F189" s="7">
        <v>6127831</v>
      </c>
      <c r="G189" t="s">
        <v>1556</v>
      </c>
      <c r="H189" s="5">
        <v>103458</v>
      </c>
      <c r="I189" s="12">
        <v>45698</v>
      </c>
      <c r="J189" s="15">
        <v>60</v>
      </c>
      <c r="K189" s="15">
        <v>2</v>
      </c>
      <c r="L189" s="9">
        <v>0.12529999999999999</v>
      </c>
      <c r="M189" s="9">
        <v>4.6100000000000002E-2</v>
      </c>
      <c r="N189" s="15">
        <v>8</v>
      </c>
      <c r="O189" t="s">
        <v>27</v>
      </c>
      <c r="P189" t="s">
        <v>28</v>
      </c>
      <c r="Q189" s="24">
        <v>0.5</v>
      </c>
      <c r="R189" s="5">
        <f t="shared" si="12"/>
        <v>2130.9513534246571</v>
      </c>
      <c r="S189" s="5">
        <f t="shared" si="13"/>
        <v>104.53509698630138</v>
      </c>
      <c r="T189" s="5">
        <f t="shared" si="14"/>
        <v>2026.4162564383557</v>
      </c>
      <c r="U189" s="15">
        <f t="shared" si="15"/>
        <v>52</v>
      </c>
      <c r="V189" s="3">
        <f t="shared" si="16"/>
        <v>4096.9367999999995</v>
      </c>
      <c r="W189" s="3">
        <f t="shared" si="17"/>
        <v>188</v>
      </c>
    </row>
    <row r="190" spans="1:23" x14ac:dyDescent="0.2">
      <c r="A190" t="s">
        <v>239</v>
      </c>
      <c r="B190" t="s">
        <v>240</v>
      </c>
      <c r="C190" t="s">
        <v>31</v>
      </c>
      <c r="D190" t="s">
        <v>32</v>
      </c>
      <c r="E190" t="s">
        <v>49</v>
      </c>
      <c r="F190" s="7">
        <v>1485779</v>
      </c>
      <c r="G190" t="s">
        <v>1063</v>
      </c>
      <c r="H190" s="5">
        <v>64564</v>
      </c>
      <c r="I190" s="12">
        <v>45718</v>
      </c>
      <c r="J190" s="15">
        <v>60</v>
      </c>
      <c r="K190" s="15">
        <v>7</v>
      </c>
      <c r="L190" s="9">
        <v>0.1295</v>
      </c>
      <c r="M190" s="9">
        <v>5.0200000000000002E-2</v>
      </c>
      <c r="N190" s="15">
        <v>5</v>
      </c>
      <c r="O190" t="s">
        <v>27</v>
      </c>
      <c r="P190" t="s">
        <v>28</v>
      </c>
      <c r="Q190" s="24">
        <v>0.8</v>
      </c>
      <c r="R190" s="5">
        <f t="shared" si="12"/>
        <v>1374.4172054794522</v>
      </c>
      <c r="S190" s="5">
        <f t="shared" si="13"/>
        <v>44.398805479452051</v>
      </c>
      <c r="T190" s="5">
        <f t="shared" si="14"/>
        <v>1330.0184000000002</v>
      </c>
      <c r="U190" s="15">
        <f t="shared" si="15"/>
        <v>55</v>
      </c>
      <c r="V190" s="3">
        <f t="shared" si="16"/>
        <v>4095.9401600000006</v>
      </c>
      <c r="W190" s="3">
        <f t="shared" si="17"/>
        <v>189</v>
      </c>
    </row>
    <row r="191" spans="1:23" x14ac:dyDescent="0.2">
      <c r="A191" t="s">
        <v>468</v>
      </c>
      <c r="B191" t="s">
        <v>412</v>
      </c>
      <c r="C191" t="s">
        <v>41</v>
      </c>
      <c r="D191" t="s">
        <v>48</v>
      </c>
      <c r="E191" t="s">
        <v>49</v>
      </c>
      <c r="F191" s="7">
        <v>1406086</v>
      </c>
      <c r="G191" t="s">
        <v>469</v>
      </c>
      <c r="H191" s="5">
        <v>71597</v>
      </c>
      <c r="I191" s="12">
        <v>46015</v>
      </c>
      <c r="J191" s="15">
        <v>90</v>
      </c>
      <c r="K191" s="15">
        <v>4</v>
      </c>
      <c r="L191" s="9">
        <v>0.1201</v>
      </c>
      <c r="M191" s="9">
        <v>5.6599999999999998E-2</v>
      </c>
      <c r="N191" s="15">
        <v>5</v>
      </c>
      <c r="O191" t="s">
        <v>27</v>
      </c>
      <c r="P191" t="s">
        <v>28</v>
      </c>
      <c r="Q191" s="24">
        <v>0.9</v>
      </c>
      <c r="R191" s="5">
        <f t="shared" si="12"/>
        <v>2120.2519808219176</v>
      </c>
      <c r="S191" s="5">
        <f t="shared" si="13"/>
        <v>55.512194520547936</v>
      </c>
      <c r="T191" s="5">
        <f t="shared" si="14"/>
        <v>2064.7397863013698</v>
      </c>
      <c r="U191" s="15">
        <f t="shared" si="15"/>
        <v>85</v>
      </c>
      <c r="V191" s="3">
        <f t="shared" si="16"/>
        <v>4091.7685499999998</v>
      </c>
      <c r="W191" s="3">
        <f t="shared" si="17"/>
        <v>190</v>
      </c>
    </row>
    <row r="192" spans="1:23" x14ac:dyDescent="0.2">
      <c r="A192" t="s">
        <v>377</v>
      </c>
      <c r="B192" t="s">
        <v>378</v>
      </c>
      <c r="C192" t="s">
        <v>31</v>
      </c>
      <c r="D192" t="s">
        <v>48</v>
      </c>
      <c r="E192" t="s">
        <v>25</v>
      </c>
      <c r="F192" s="7">
        <v>3293043</v>
      </c>
      <c r="G192" t="s">
        <v>1668</v>
      </c>
      <c r="H192" s="5">
        <v>79768</v>
      </c>
      <c r="I192" s="12">
        <v>45995</v>
      </c>
      <c r="J192" s="15">
        <v>60</v>
      </c>
      <c r="K192" s="15">
        <v>3</v>
      </c>
      <c r="L192" s="9">
        <v>0.13320000000000001</v>
      </c>
      <c r="M192" s="9">
        <v>5.45E-2</v>
      </c>
      <c r="N192" s="15">
        <v>8</v>
      </c>
      <c r="O192" t="s">
        <v>27</v>
      </c>
      <c r="P192" t="s">
        <v>28</v>
      </c>
      <c r="Q192" s="24">
        <v>0.65</v>
      </c>
      <c r="R192" s="5">
        <f t="shared" si="12"/>
        <v>1746.59138630137</v>
      </c>
      <c r="S192" s="5">
        <f t="shared" si="13"/>
        <v>95.28451506849315</v>
      </c>
      <c r="T192" s="5">
        <f t="shared" si="14"/>
        <v>1651.3068712328768</v>
      </c>
      <c r="U192" s="15">
        <f t="shared" si="15"/>
        <v>52</v>
      </c>
      <c r="V192" s="3">
        <f t="shared" si="16"/>
        <v>4080.532040000001</v>
      </c>
      <c r="W192" s="3">
        <f t="shared" si="17"/>
        <v>191</v>
      </c>
    </row>
    <row r="193" spans="1:23" x14ac:dyDescent="0.2">
      <c r="A193" t="s">
        <v>201</v>
      </c>
      <c r="B193" t="s">
        <v>76</v>
      </c>
      <c r="C193" t="s">
        <v>23</v>
      </c>
      <c r="D193" t="s">
        <v>37</v>
      </c>
      <c r="E193" t="s">
        <v>56</v>
      </c>
      <c r="F193" s="7">
        <v>21198154</v>
      </c>
      <c r="G193" t="s">
        <v>1439</v>
      </c>
      <c r="H193" s="5">
        <v>88183</v>
      </c>
      <c r="I193" s="12">
        <v>45853</v>
      </c>
      <c r="J193" s="15">
        <v>60</v>
      </c>
      <c r="K193" s="15">
        <v>10</v>
      </c>
      <c r="L193" s="9">
        <v>0.1086</v>
      </c>
      <c r="M193" s="9">
        <v>5.0799999999999998E-2</v>
      </c>
      <c r="N193" s="15">
        <v>8</v>
      </c>
      <c r="O193" t="s">
        <v>28</v>
      </c>
      <c r="P193" t="s">
        <v>28</v>
      </c>
      <c r="Q193" s="24">
        <v>0.8</v>
      </c>
      <c r="R193" s="5">
        <f t="shared" si="12"/>
        <v>1574.2477479452054</v>
      </c>
      <c r="S193" s="5">
        <f t="shared" si="13"/>
        <v>98.185126575342466</v>
      </c>
      <c r="T193" s="5">
        <f t="shared" si="14"/>
        <v>1476.0626213698629</v>
      </c>
      <c r="U193" s="15">
        <f t="shared" si="15"/>
        <v>52</v>
      </c>
      <c r="V193" s="3">
        <f t="shared" si="16"/>
        <v>4077.5819200000001</v>
      </c>
      <c r="W193" s="3">
        <f t="shared" si="17"/>
        <v>192</v>
      </c>
    </row>
    <row r="194" spans="1:23" x14ac:dyDescent="0.2">
      <c r="A194" t="s">
        <v>153</v>
      </c>
      <c r="B194" t="s">
        <v>154</v>
      </c>
      <c r="C194" t="s">
        <v>41</v>
      </c>
      <c r="D194" t="s">
        <v>66</v>
      </c>
      <c r="E194" t="s">
        <v>49</v>
      </c>
      <c r="F194" s="7">
        <v>367690</v>
      </c>
      <c r="G194" t="s">
        <v>834</v>
      </c>
      <c r="H194" s="5">
        <v>108360</v>
      </c>
      <c r="I194" s="12">
        <v>46054</v>
      </c>
      <c r="J194" s="15">
        <v>30</v>
      </c>
      <c r="K194" s="15">
        <v>5</v>
      </c>
      <c r="L194" s="9">
        <v>0.1305</v>
      </c>
      <c r="M194" s="9">
        <v>5.5300000000000002E-2</v>
      </c>
      <c r="N194" s="15">
        <v>5</v>
      </c>
      <c r="O194" t="s">
        <v>28</v>
      </c>
      <c r="P194" t="s">
        <v>28</v>
      </c>
      <c r="Q194" s="24">
        <v>0.5</v>
      </c>
      <c r="R194" s="5">
        <f t="shared" ref="R194:R257" si="18">H194*L194*(J194/365)</f>
        <v>1162.2723287671233</v>
      </c>
      <c r="S194" s="5">
        <f t="shared" ref="S194:S257" si="19">H194*M194*(N194/365)</f>
        <v>82.086410958904111</v>
      </c>
      <c r="T194" s="5">
        <f t="shared" ref="T194:T257" si="20">R194-S194</f>
        <v>1080.1859178082193</v>
      </c>
      <c r="U194" s="15">
        <f t="shared" ref="U194:U257" si="21">J194-N194</f>
        <v>25</v>
      </c>
      <c r="V194" s="3">
        <f t="shared" ref="V194:V257" si="22">Q194*(L194-M194)*H194</f>
        <v>4074.3360000000002</v>
      </c>
      <c r="W194" s="3">
        <f t="shared" ref="W194:W257" si="23">RANK(V194,$V$2:$V$1501)</f>
        <v>193</v>
      </c>
    </row>
    <row r="195" spans="1:23" x14ac:dyDescent="0.2">
      <c r="A195" t="s">
        <v>453</v>
      </c>
      <c r="B195" t="s">
        <v>454</v>
      </c>
      <c r="C195" t="s">
        <v>23</v>
      </c>
      <c r="D195" t="s">
        <v>32</v>
      </c>
      <c r="E195" t="s">
        <v>49</v>
      </c>
      <c r="F195" s="7">
        <v>1410716</v>
      </c>
      <c r="G195" t="s">
        <v>455</v>
      </c>
      <c r="H195" s="5">
        <v>75518</v>
      </c>
      <c r="I195" s="12">
        <v>45870</v>
      </c>
      <c r="J195" s="15">
        <v>45</v>
      </c>
      <c r="K195" s="15">
        <v>5</v>
      </c>
      <c r="L195" s="9">
        <v>0.1472</v>
      </c>
      <c r="M195" s="9">
        <v>6.4299999999999996E-2</v>
      </c>
      <c r="N195" s="15">
        <v>10</v>
      </c>
      <c r="O195" t="s">
        <v>27</v>
      </c>
      <c r="P195" t="s">
        <v>28</v>
      </c>
      <c r="Q195" s="24">
        <v>0.65</v>
      </c>
      <c r="R195" s="5">
        <f t="shared" si="18"/>
        <v>1370.4965260273971</v>
      </c>
      <c r="S195" s="5">
        <f t="shared" si="19"/>
        <v>133.03581917808216</v>
      </c>
      <c r="T195" s="5">
        <f t="shared" si="20"/>
        <v>1237.4607068493149</v>
      </c>
      <c r="U195" s="15">
        <f t="shared" si="21"/>
        <v>35</v>
      </c>
      <c r="V195" s="3">
        <f t="shared" si="22"/>
        <v>4069.2874300000003</v>
      </c>
      <c r="W195" s="3">
        <f t="shared" si="23"/>
        <v>194</v>
      </c>
    </row>
    <row r="196" spans="1:23" x14ac:dyDescent="0.2">
      <c r="A196" t="s">
        <v>530</v>
      </c>
      <c r="B196" t="s">
        <v>531</v>
      </c>
      <c r="C196" t="s">
        <v>36</v>
      </c>
      <c r="D196" t="s">
        <v>37</v>
      </c>
      <c r="E196" t="s">
        <v>49</v>
      </c>
      <c r="F196" s="7">
        <v>701545</v>
      </c>
      <c r="G196" t="s">
        <v>1391</v>
      </c>
      <c r="H196" s="5">
        <v>40748</v>
      </c>
      <c r="I196" s="12">
        <v>45900</v>
      </c>
      <c r="J196" s="15">
        <v>60</v>
      </c>
      <c r="K196" s="15">
        <v>3</v>
      </c>
      <c r="L196" s="9">
        <v>0.17699999999999999</v>
      </c>
      <c r="M196" s="9">
        <v>5.2200000000000003E-2</v>
      </c>
      <c r="N196" s="15">
        <v>6</v>
      </c>
      <c r="O196" t="s">
        <v>27</v>
      </c>
      <c r="P196" t="s">
        <v>28</v>
      </c>
      <c r="Q196" s="24">
        <v>0.8</v>
      </c>
      <c r="R196" s="5">
        <f t="shared" si="18"/>
        <v>1185.5993424657534</v>
      </c>
      <c r="S196" s="5">
        <f t="shared" si="19"/>
        <v>34.965133150684927</v>
      </c>
      <c r="T196" s="5">
        <f t="shared" si="20"/>
        <v>1150.6342093150683</v>
      </c>
      <c r="U196" s="15">
        <f t="shared" si="21"/>
        <v>54</v>
      </c>
      <c r="V196" s="3">
        <f t="shared" si="22"/>
        <v>4068.2803199999998</v>
      </c>
      <c r="W196" s="3">
        <f t="shared" si="23"/>
        <v>195</v>
      </c>
    </row>
    <row r="197" spans="1:23" x14ac:dyDescent="0.2">
      <c r="A197" t="s">
        <v>278</v>
      </c>
      <c r="B197" t="s">
        <v>279</v>
      </c>
      <c r="C197" t="s">
        <v>23</v>
      </c>
      <c r="D197" t="s">
        <v>37</v>
      </c>
      <c r="E197" t="s">
        <v>56</v>
      </c>
      <c r="F197" s="7">
        <v>15898738</v>
      </c>
      <c r="G197" t="s">
        <v>1098</v>
      </c>
      <c r="H197" s="5">
        <v>90890</v>
      </c>
      <c r="I197" s="12">
        <v>46003</v>
      </c>
      <c r="J197" s="15">
        <v>60</v>
      </c>
      <c r="K197" s="15">
        <v>4</v>
      </c>
      <c r="L197" s="9">
        <v>0.1071</v>
      </c>
      <c r="M197" s="9">
        <v>5.74E-2</v>
      </c>
      <c r="N197" s="15">
        <v>10</v>
      </c>
      <c r="O197" t="s">
        <v>27</v>
      </c>
      <c r="P197" t="s">
        <v>28</v>
      </c>
      <c r="Q197" s="24">
        <v>0.9</v>
      </c>
      <c r="R197" s="5">
        <f t="shared" si="18"/>
        <v>1600.1620273972601</v>
      </c>
      <c r="S197" s="5">
        <f t="shared" si="19"/>
        <v>142.93386301369864</v>
      </c>
      <c r="T197" s="5">
        <f t="shared" si="20"/>
        <v>1457.2281643835615</v>
      </c>
      <c r="U197" s="15">
        <f t="shared" si="21"/>
        <v>50</v>
      </c>
      <c r="V197" s="3">
        <f t="shared" si="22"/>
        <v>4065.5097000000001</v>
      </c>
      <c r="W197" s="3">
        <f t="shared" si="23"/>
        <v>196</v>
      </c>
    </row>
    <row r="198" spans="1:23" x14ac:dyDescent="0.2">
      <c r="A198" t="s">
        <v>123</v>
      </c>
      <c r="B198" t="s">
        <v>124</v>
      </c>
      <c r="C198" t="s">
        <v>31</v>
      </c>
      <c r="D198" t="s">
        <v>32</v>
      </c>
      <c r="E198" t="s">
        <v>25</v>
      </c>
      <c r="F198" s="7">
        <v>5642255</v>
      </c>
      <c r="G198" t="s">
        <v>1256</v>
      </c>
      <c r="H198" s="5">
        <v>95309</v>
      </c>
      <c r="I198" s="12">
        <v>45874</v>
      </c>
      <c r="J198" s="15">
        <v>45</v>
      </c>
      <c r="K198" s="15">
        <v>5</v>
      </c>
      <c r="L198" s="9">
        <v>0.1119</v>
      </c>
      <c r="M198" s="9">
        <v>4.6600000000000003E-2</v>
      </c>
      <c r="N198" s="15">
        <v>7</v>
      </c>
      <c r="O198" t="s">
        <v>27</v>
      </c>
      <c r="P198" t="s">
        <v>28</v>
      </c>
      <c r="Q198" s="24">
        <v>0.65</v>
      </c>
      <c r="R198" s="5">
        <f t="shared" si="18"/>
        <v>1314.8725191780823</v>
      </c>
      <c r="S198" s="5">
        <f t="shared" si="19"/>
        <v>85.177522739726029</v>
      </c>
      <c r="T198" s="5">
        <f t="shared" si="20"/>
        <v>1229.6949964383562</v>
      </c>
      <c r="U198" s="15">
        <f t="shared" si="21"/>
        <v>38</v>
      </c>
      <c r="V198" s="3">
        <f t="shared" si="22"/>
        <v>4045.3905049999998</v>
      </c>
      <c r="W198" s="3">
        <f t="shared" si="23"/>
        <v>197</v>
      </c>
    </row>
    <row r="199" spans="1:23" x14ac:dyDescent="0.2">
      <c r="A199" t="s">
        <v>285</v>
      </c>
      <c r="B199" t="s">
        <v>286</v>
      </c>
      <c r="C199" t="s">
        <v>77</v>
      </c>
      <c r="D199" t="s">
        <v>32</v>
      </c>
      <c r="E199" t="s">
        <v>25</v>
      </c>
      <c r="F199" s="7">
        <v>6140796</v>
      </c>
      <c r="G199" t="s">
        <v>575</v>
      </c>
      <c r="H199" s="5">
        <v>102507</v>
      </c>
      <c r="I199" s="12">
        <v>45817</v>
      </c>
      <c r="J199" s="15">
        <v>45</v>
      </c>
      <c r="K199" s="15">
        <v>10</v>
      </c>
      <c r="L199" s="9">
        <v>0.13300000000000001</v>
      </c>
      <c r="M199" s="9">
        <v>5.45E-2</v>
      </c>
      <c r="N199" s="15">
        <v>7</v>
      </c>
      <c r="O199" t="s">
        <v>27</v>
      </c>
      <c r="P199" t="s">
        <v>28</v>
      </c>
      <c r="Q199" s="24">
        <v>0.5</v>
      </c>
      <c r="R199" s="5">
        <f t="shared" si="18"/>
        <v>1680.8339589041095</v>
      </c>
      <c r="S199" s="5">
        <f t="shared" si="19"/>
        <v>107.14087808219179</v>
      </c>
      <c r="T199" s="5">
        <f t="shared" si="20"/>
        <v>1573.6930808219176</v>
      </c>
      <c r="U199" s="15">
        <f t="shared" si="21"/>
        <v>38</v>
      </c>
      <c r="V199" s="3">
        <f t="shared" si="22"/>
        <v>4023.3997500000009</v>
      </c>
      <c r="W199" s="3">
        <f t="shared" si="23"/>
        <v>198</v>
      </c>
    </row>
    <row r="200" spans="1:23" x14ac:dyDescent="0.2">
      <c r="A200" t="s">
        <v>88</v>
      </c>
      <c r="B200" t="s">
        <v>89</v>
      </c>
      <c r="C200" t="s">
        <v>23</v>
      </c>
      <c r="D200" t="s">
        <v>66</v>
      </c>
      <c r="E200" t="s">
        <v>49</v>
      </c>
      <c r="F200" s="7">
        <v>896464</v>
      </c>
      <c r="G200" t="s">
        <v>1593</v>
      </c>
      <c r="H200" s="5">
        <v>76656</v>
      </c>
      <c r="I200" s="12">
        <v>45804</v>
      </c>
      <c r="J200" s="15">
        <v>60</v>
      </c>
      <c r="K200" s="15">
        <v>7</v>
      </c>
      <c r="L200" s="9">
        <v>0.13550000000000001</v>
      </c>
      <c r="M200" s="9">
        <v>5.5399999999999998E-2</v>
      </c>
      <c r="N200" s="15">
        <v>10</v>
      </c>
      <c r="O200" t="s">
        <v>27</v>
      </c>
      <c r="P200" t="s">
        <v>28</v>
      </c>
      <c r="Q200" s="24">
        <v>0.65</v>
      </c>
      <c r="R200" s="5">
        <f t="shared" si="18"/>
        <v>1707.4336438356165</v>
      </c>
      <c r="S200" s="5">
        <f t="shared" si="19"/>
        <v>116.34910684931506</v>
      </c>
      <c r="T200" s="5">
        <f t="shared" si="20"/>
        <v>1591.0845369863014</v>
      </c>
      <c r="U200" s="15">
        <f t="shared" si="21"/>
        <v>50</v>
      </c>
      <c r="V200" s="3">
        <f t="shared" si="22"/>
        <v>3991.0946400000007</v>
      </c>
      <c r="W200" s="3">
        <f t="shared" si="23"/>
        <v>199</v>
      </c>
    </row>
    <row r="201" spans="1:23" x14ac:dyDescent="0.2">
      <c r="A201" t="s">
        <v>183</v>
      </c>
      <c r="B201" t="s">
        <v>184</v>
      </c>
      <c r="C201" t="s">
        <v>77</v>
      </c>
      <c r="D201" t="s">
        <v>32</v>
      </c>
      <c r="E201" t="s">
        <v>25</v>
      </c>
      <c r="F201" s="7">
        <v>6014522</v>
      </c>
      <c r="G201" t="s">
        <v>185</v>
      </c>
      <c r="H201" s="5">
        <v>97990</v>
      </c>
      <c r="I201" s="12">
        <v>46074</v>
      </c>
      <c r="J201" s="15">
        <v>60</v>
      </c>
      <c r="K201" s="15">
        <v>5</v>
      </c>
      <c r="L201" s="9">
        <v>0.12870000000000001</v>
      </c>
      <c r="M201" s="9">
        <v>4.7600000000000003E-2</v>
      </c>
      <c r="N201" s="15">
        <v>5</v>
      </c>
      <c r="O201" t="s">
        <v>27</v>
      </c>
      <c r="P201" t="s">
        <v>28</v>
      </c>
      <c r="Q201" s="24">
        <v>0.5</v>
      </c>
      <c r="R201" s="5">
        <f t="shared" si="18"/>
        <v>2073.0925479452053</v>
      </c>
      <c r="S201" s="5">
        <f t="shared" si="19"/>
        <v>63.894849315068498</v>
      </c>
      <c r="T201" s="5">
        <f t="shared" si="20"/>
        <v>2009.1976986301368</v>
      </c>
      <c r="U201" s="15">
        <f t="shared" si="21"/>
        <v>55</v>
      </c>
      <c r="V201" s="3">
        <f t="shared" si="22"/>
        <v>3973.4945000000002</v>
      </c>
      <c r="W201" s="3">
        <f t="shared" si="23"/>
        <v>200</v>
      </c>
    </row>
    <row r="202" spans="1:23" x14ac:dyDescent="0.2">
      <c r="A202" t="s">
        <v>271</v>
      </c>
      <c r="B202" t="s">
        <v>128</v>
      </c>
      <c r="C202" t="s">
        <v>36</v>
      </c>
      <c r="D202" t="s">
        <v>37</v>
      </c>
      <c r="E202" t="s">
        <v>49</v>
      </c>
      <c r="F202" s="7">
        <v>879139</v>
      </c>
      <c r="G202" t="s">
        <v>1525</v>
      </c>
      <c r="H202" s="5">
        <v>49148</v>
      </c>
      <c r="I202" s="12">
        <v>45975</v>
      </c>
      <c r="J202" s="15">
        <v>60</v>
      </c>
      <c r="K202" s="15">
        <v>7</v>
      </c>
      <c r="L202" s="9">
        <v>0.14199999999999999</v>
      </c>
      <c r="M202" s="9">
        <v>5.28E-2</v>
      </c>
      <c r="N202" s="15">
        <v>10</v>
      </c>
      <c r="O202" t="s">
        <v>27</v>
      </c>
      <c r="P202" t="s">
        <v>28</v>
      </c>
      <c r="Q202" s="24">
        <v>0.9</v>
      </c>
      <c r="R202" s="5">
        <f t="shared" si="18"/>
        <v>1147.235506849315</v>
      </c>
      <c r="S202" s="5">
        <f t="shared" si="19"/>
        <v>71.096284931506844</v>
      </c>
      <c r="T202" s="5">
        <f t="shared" si="20"/>
        <v>1076.1392219178081</v>
      </c>
      <c r="U202" s="15">
        <f t="shared" si="21"/>
        <v>50</v>
      </c>
      <c r="V202" s="3">
        <f t="shared" si="22"/>
        <v>3945.6014399999995</v>
      </c>
      <c r="W202" s="3">
        <f t="shared" si="23"/>
        <v>201</v>
      </c>
    </row>
    <row r="203" spans="1:23" x14ac:dyDescent="0.2">
      <c r="A203" t="s">
        <v>233</v>
      </c>
      <c r="B203" t="s">
        <v>59</v>
      </c>
      <c r="C203" t="s">
        <v>77</v>
      </c>
      <c r="D203" t="s">
        <v>66</v>
      </c>
      <c r="E203" t="s">
        <v>49</v>
      </c>
      <c r="F203" s="7">
        <v>809893</v>
      </c>
      <c r="G203" t="s">
        <v>1665</v>
      </c>
      <c r="H203" s="5">
        <v>57725</v>
      </c>
      <c r="I203" s="12">
        <v>45737</v>
      </c>
      <c r="J203" s="15">
        <v>60</v>
      </c>
      <c r="K203" s="15">
        <v>7</v>
      </c>
      <c r="L203" s="9">
        <v>0.15909999999999999</v>
      </c>
      <c r="M203" s="9">
        <v>5.3999999999999999E-2</v>
      </c>
      <c r="N203" s="15">
        <v>6</v>
      </c>
      <c r="O203" t="s">
        <v>28</v>
      </c>
      <c r="P203" t="s">
        <v>28</v>
      </c>
      <c r="Q203" s="24">
        <v>0.65</v>
      </c>
      <c r="R203" s="5">
        <f t="shared" si="18"/>
        <v>1509.7064383561642</v>
      </c>
      <c r="S203" s="5">
        <f t="shared" si="19"/>
        <v>51.240821917808219</v>
      </c>
      <c r="T203" s="5">
        <f t="shared" si="20"/>
        <v>1458.4656164383559</v>
      </c>
      <c r="U203" s="15">
        <f t="shared" si="21"/>
        <v>54</v>
      </c>
      <c r="V203" s="3">
        <f t="shared" si="22"/>
        <v>3943.4833750000003</v>
      </c>
      <c r="W203" s="3">
        <f t="shared" si="23"/>
        <v>202</v>
      </c>
    </row>
    <row r="204" spans="1:23" x14ac:dyDescent="0.2">
      <c r="A204" t="s">
        <v>244</v>
      </c>
      <c r="B204" t="s">
        <v>245</v>
      </c>
      <c r="C204" t="s">
        <v>77</v>
      </c>
      <c r="D204" t="s">
        <v>48</v>
      </c>
      <c r="E204" t="s">
        <v>49</v>
      </c>
      <c r="F204" s="7">
        <v>759292</v>
      </c>
      <c r="G204" t="s">
        <v>1331</v>
      </c>
      <c r="H204" s="5">
        <v>78674</v>
      </c>
      <c r="I204" s="12">
        <v>46015</v>
      </c>
      <c r="J204" s="15">
        <v>90</v>
      </c>
      <c r="K204" s="15">
        <v>3</v>
      </c>
      <c r="L204" s="9">
        <v>0.1171</v>
      </c>
      <c r="M204" s="9">
        <v>5.4600000000000003E-2</v>
      </c>
      <c r="N204" s="15">
        <v>10</v>
      </c>
      <c r="O204" t="s">
        <v>27</v>
      </c>
      <c r="P204" t="s">
        <v>28</v>
      </c>
      <c r="Q204" s="24">
        <v>0.8</v>
      </c>
      <c r="R204" s="5">
        <f t="shared" si="18"/>
        <v>2271.6309205479447</v>
      </c>
      <c r="S204" s="5">
        <f t="shared" si="19"/>
        <v>117.68768219178082</v>
      </c>
      <c r="T204" s="5">
        <f t="shared" si="20"/>
        <v>2153.9432383561639</v>
      </c>
      <c r="U204" s="15">
        <f t="shared" si="21"/>
        <v>80</v>
      </c>
      <c r="V204" s="3">
        <f t="shared" si="22"/>
        <v>3933.7</v>
      </c>
      <c r="W204" s="3">
        <f t="shared" si="23"/>
        <v>203</v>
      </c>
    </row>
    <row r="205" spans="1:23" x14ac:dyDescent="0.2">
      <c r="A205" t="s">
        <v>233</v>
      </c>
      <c r="B205" t="s">
        <v>59</v>
      </c>
      <c r="C205" t="s">
        <v>77</v>
      </c>
      <c r="D205" t="s">
        <v>66</v>
      </c>
      <c r="E205" t="s">
        <v>49</v>
      </c>
      <c r="F205" s="7">
        <v>809893</v>
      </c>
      <c r="G205" t="s">
        <v>798</v>
      </c>
      <c r="H205" s="5">
        <v>40499</v>
      </c>
      <c r="I205" s="12">
        <v>46017</v>
      </c>
      <c r="J205" s="15">
        <v>60</v>
      </c>
      <c r="K205" s="15">
        <v>10</v>
      </c>
      <c r="L205" s="9">
        <v>0.15909999999999999</v>
      </c>
      <c r="M205" s="9">
        <v>5.1499999999999997E-2</v>
      </c>
      <c r="N205" s="15">
        <v>8</v>
      </c>
      <c r="O205" t="s">
        <v>28</v>
      </c>
      <c r="P205" t="s">
        <v>28</v>
      </c>
      <c r="Q205" s="24">
        <v>0.9</v>
      </c>
      <c r="R205" s="5">
        <f t="shared" si="18"/>
        <v>1059.1875452054794</v>
      </c>
      <c r="S205" s="5">
        <f t="shared" si="19"/>
        <v>45.713939726027398</v>
      </c>
      <c r="T205" s="5">
        <f t="shared" si="20"/>
        <v>1013.473605479452</v>
      </c>
      <c r="U205" s="15">
        <f t="shared" si="21"/>
        <v>52</v>
      </c>
      <c r="V205" s="3">
        <f t="shared" si="22"/>
        <v>3921.9231600000003</v>
      </c>
      <c r="W205" s="3">
        <f t="shared" si="23"/>
        <v>204</v>
      </c>
    </row>
    <row r="206" spans="1:23" x14ac:dyDescent="0.2">
      <c r="A206" t="s">
        <v>223</v>
      </c>
      <c r="B206" t="s">
        <v>224</v>
      </c>
      <c r="C206" t="s">
        <v>36</v>
      </c>
      <c r="D206" t="s">
        <v>48</v>
      </c>
      <c r="E206" t="s">
        <v>25</v>
      </c>
      <c r="F206" s="7">
        <v>3916164</v>
      </c>
      <c r="G206" t="s">
        <v>1740</v>
      </c>
      <c r="H206" s="5">
        <v>90419</v>
      </c>
      <c r="I206" s="12">
        <v>46056</v>
      </c>
      <c r="J206" s="15">
        <v>60</v>
      </c>
      <c r="K206" s="15">
        <v>7</v>
      </c>
      <c r="L206" s="9">
        <v>0.1119</v>
      </c>
      <c r="M206" s="9">
        <v>4.5199999999999997E-2</v>
      </c>
      <c r="N206" s="15">
        <v>8</v>
      </c>
      <c r="O206" t="s">
        <v>27</v>
      </c>
      <c r="P206" t="s">
        <v>28</v>
      </c>
      <c r="Q206" s="24">
        <v>0.65</v>
      </c>
      <c r="R206" s="5">
        <f t="shared" si="18"/>
        <v>1663.2141534246573</v>
      </c>
      <c r="S206" s="5">
        <f t="shared" si="19"/>
        <v>89.576740821917809</v>
      </c>
      <c r="T206" s="5">
        <f t="shared" si="20"/>
        <v>1573.6374126027395</v>
      </c>
      <c r="U206" s="15">
        <f t="shared" si="21"/>
        <v>52</v>
      </c>
      <c r="V206" s="3">
        <f t="shared" si="22"/>
        <v>3920.1157450000005</v>
      </c>
      <c r="W206" s="3">
        <f t="shared" si="23"/>
        <v>205</v>
      </c>
    </row>
    <row r="207" spans="1:23" x14ac:dyDescent="0.2">
      <c r="A207" t="s">
        <v>300</v>
      </c>
      <c r="B207" t="s">
        <v>301</v>
      </c>
      <c r="C207" t="s">
        <v>77</v>
      </c>
      <c r="D207" t="s">
        <v>66</v>
      </c>
      <c r="E207" t="s">
        <v>25</v>
      </c>
      <c r="F207" s="7">
        <v>2362296</v>
      </c>
      <c r="G207" t="s">
        <v>1764</v>
      </c>
      <c r="H207" s="5">
        <v>95148</v>
      </c>
      <c r="I207" s="12">
        <v>45702</v>
      </c>
      <c r="J207" s="15">
        <v>30</v>
      </c>
      <c r="K207" s="15">
        <v>2</v>
      </c>
      <c r="L207" s="9">
        <v>0.1077</v>
      </c>
      <c r="M207" s="9">
        <v>5.6300000000000003E-2</v>
      </c>
      <c r="N207" s="15">
        <v>10</v>
      </c>
      <c r="O207" t="s">
        <v>27</v>
      </c>
      <c r="P207" t="s">
        <v>28</v>
      </c>
      <c r="Q207" s="24">
        <v>0.8</v>
      </c>
      <c r="R207" s="5">
        <f t="shared" si="18"/>
        <v>842.25530958904108</v>
      </c>
      <c r="S207" s="5">
        <f t="shared" si="19"/>
        <v>146.76253150684931</v>
      </c>
      <c r="T207" s="5">
        <f t="shared" si="20"/>
        <v>695.49277808219176</v>
      </c>
      <c r="U207" s="15">
        <f t="shared" si="21"/>
        <v>20</v>
      </c>
      <c r="V207" s="3">
        <f t="shared" si="22"/>
        <v>3912.4857600000005</v>
      </c>
      <c r="W207" s="3">
        <f t="shared" si="23"/>
        <v>206</v>
      </c>
    </row>
    <row r="208" spans="1:23" x14ac:dyDescent="0.2">
      <c r="A208" t="s">
        <v>513</v>
      </c>
      <c r="B208" t="s">
        <v>245</v>
      </c>
      <c r="C208" t="s">
        <v>36</v>
      </c>
      <c r="D208" t="s">
        <v>66</v>
      </c>
      <c r="E208" t="s">
        <v>25</v>
      </c>
      <c r="F208" s="7">
        <v>1884403</v>
      </c>
      <c r="G208" t="s">
        <v>514</v>
      </c>
      <c r="H208" s="5">
        <v>76491</v>
      </c>
      <c r="I208" s="12">
        <v>45869</v>
      </c>
      <c r="J208" s="15">
        <v>90</v>
      </c>
      <c r="K208" s="15">
        <v>3</v>
      </c>
      <c r="L208" s="9">
        <v>0.1231</v>
      </c>
      <c r="M208" s="9">
        <v>5.9200000000000003E-2</v>
      </c>
      <c r="N208" s="15">
        <v>5</v>
      </c>
      <c r="O208" t="s">
        <v>28</v>
      </c>
      <c r="P208" t="s">
        <v>28</v>
      </c>
      <c r="Q208" s="24">
        <v>0.8</v>
      </c>
      <c r="R208" s="5">
        <f t="shared" si="18"/>
        <v>2321.763805479452</v>
      </c>
      <c r="S208" s="5">
        <f t="shared" si="19"/>
        <v>62.031057534246578</v>
      </c>
      <c r="T208" s="5">
        <f t="shared" si="20"/>
        <v>2259.7327479452056</v>
      </c>
      <c r="U208" s="15">
        <f t="shared" si="21"/>
        <v>85</v>
      </c>
      <c r="V208" s="3">
        <f t="shared" si="22"/>
        <v>3910.21992</v>
      </c>
      <c r="W208" s="3">
        <f t="shared" si="23"/>
        <v>207</v>
      </c>
    </row>
    <row r="209" spans="1:23" x14ac:dyDescent="0.2">
      <c r="A209" t="s">
        <v>716</v>
      </c>
      <c r="B209" t="s">
        <v>717</v>
      </c>
      <c r="C209" t="s">
        <v>31</v>
      </c>
      <c r="D209" t="s">
        <v>37</v>
      </c>
      <c r="E209" t="s">
        <v>49</v>
      </c>
      <c r="F209" s="7">
        <v>1439462</v>
      </c>
      <c r="G209" t="s">
        <v>1162</v>
      </c>
      <c r="H209" s="5">
        <v>95252</v>
      </c>
      <c r="I209" s="12">
        <v>45893</v>
      </c>
      <c r="J209" s="15">
        <v>45</v>
      </c>
      <c r="K209" s="15">
        <v>10</v>
      </c>
      <c r="L209" s="9">
        <v>0.17130000000000001</v>
      </c>
      <c r="M209" s="9">
        <v>5.4100000000000002E-2</v>
      </c>
      <c r="N209" s="15">
        <v>6</v>
      </c>
      <c r="O209" t="s">
        <v>27</v>
      </c>
      <c r="P209" t="s">
        <v>28</v>
      </c>
      <c r="Q209" s="24">
        <v>0.35</v>
      </c>
      <c r="R209" s="5">
        <f t="shared" si="18"/>
        <v>2011.6439506849315</v>
      </c>
      <c r="S209" s="5">
        <f t="shared" si="19"/>
        <v>84.70903890410959</v>
      </c>
      <c r="T209" s="5">
        <f t="shared" si="20"/>
        <v>1926.9349117808219</v>
      </c>
      <c r="U209" s="15">
        <f t="shared" si="21"/>
        <v>39</v>
      </c>
      <c r="V209" s="3">
        <f t="shared" si="22"/>
        <v>3907.2370399999995</v>
      </c>
      <c r="W209" s="3">
        <f t="shared" si="23"/>
        <v>208</v>
      </c>
    </row>
    <row r="210" spans="1:23" x14ac:dyDescent="0.2">
      <c r="A210" t="s">
        <v>448</v>
      </c>
      <c r="B210" t="s">
        <v>264</v>
      </c>
      <c r="C210" t="s">
        <v>77</v>
      </c>
      <c r="D210" t="s">
        <v>37</v>
      </c>
      <c r="E210" t="s">
        <v>25</v>
      </c>
      <c r="F210" s="7">
        <v>5041335</v>
      </c>
      <c r="G210" t="s">
        <v>1552</v>
      </c>
      <c r="H210" s="5">
        <v>106349</v>
      </c>
      <c r="I210" s="12">
        <v>45837</v>
      </c>
      <c r="J210" s="15">
        <v>45</v>
      </c>
      <c r="K210" s="15">
        <v>2</v>
      </c>
      <c r="L210" s="9">
        <v>0.1198</v>
      </c>
      <c r="M210" s="9">
        <v>4.65E-2</v>
      </c>
      <c r="N210" s="15">
        <v>6</v>
      </c>
      <c r="O210" t="s">
        <v>27</v>
      </c>
      <c r="P210" t="s">
        <v>28</v>
      </c>
      <c r="Q210" s="24">
        <v>0.5</v>
      </c>
      <c r="R210" s="5">
        <f t="shared" si="18"/>
        <v>1570.7601616438355</v>
      </c>
      <c r="S210" s="5">
        <f t="shared" si="19"/>
        <v>81.291427397260264</v>
      </c>
      <c r="T210" s="5">
        <f t="shared" si="20"/>
        <v>1489.4687342465752</v>
      </c>
      <c r="U210" s="15">
        <f t="shared" si="21"/>
        <v>39</v>
      </c>
      <c r="V210" s="3">
        <f t="shared" si="22"/>
        <v>3897.6908500000004</v>
      </c>
      <c r="W210" s="3">
        <f t="shared" si="23"/>
        <v>209</v>
      </c>
    </row>
    <row r="211" spans="1:23" x14ac:dyDescent="0.2">
      <c r="A211" t="s">
        <v>228</v>
      </c>
      <c r="B211" t="s">
        <v>62</v>
      </c>
      <c r="C211" t="s">
        <v>23</v>
      </c>
      <c r="D211" t="s">
        <v>66</v>
      </c>
      <c r="E211" t="s">
        <v>49</v>
      </c>
      <c r="F211" s="7">
        <v>1218251</v>
      </c>
      <c r="G211" t="s">
        <v>229</v>
      </c>
      <c r="H211" s="5">
        <v>109952</v>
      </c>
      <c r="I211" s="12">
        <v>45726</v>
      </c>
      <c r="J211" s="15">
        <v>30</v>
      </c>
      <c r="K211" s="15">
        <v>2</v>
      </c>
      <c r="L211" s="9">
        <v>0.1227</v>
      </c>
      <c r="M211" s="9">
        <v>5.1900000000000002E-2</v>
      </c>
      <c r="N211" s="15">
        <v>5</v>
      </c>
      <c r="O211" t="s">
        <v>27</v>
      </c>
      <c r="P211" t="s">
        <v>28</v>
      </c>
      <c r="Q211" s="24">
        <v>0.5</v>
      </c>
      <c r="R211" s="5">
        <f t="shared" si="18"/>
        <v>1108.8583890410957</v>
      </c>
      <c r="S211" s="5">
        <f t="shared" si="19"/>
        <v>78.171353424657539</v>
      </c>
      <c r="T211" s="5">
        <f t="shared" si="20"/>
        <v>1030.6870356164382</v>
      </c>
      <c r="U211" s="15">
        <f t="shared" si="21"/>
        <v>25</v>
      </c>
      <c r="V211" s="3">
        <f t="shared" si="22"/>
        <v>3892.3008</v>
      </c>
      <c r="W211" s="3">
        <f t="shared" si="23"/>
        <v>210</v>
      </c>
    </row>
    <row r="212" spans="1:23" x14ac:dyDescent="0.2">
      <c r="A212" t="s">
        <v>252</v>
      </c>
      <c r="B212" t="s">
        <v>89</v>
      </c>
      <c r="C212" t="s">
        <v>31</v>
      </c>
      <c r="D212" t="s">
        <v>24</v>
      </c>
      <c r="E212" t="s">
        <v>49</v>
      </c>
      <c r="F212" s="7">
        <v>971327</v>
      </c>
      <c r="G212" t="s">
        <v>481</v>
      </c>
      <c r="H212" s="5">
        <v>51223</v>
      </c>
      <c r="I212" s="12">
        <v>45990</v>
      </c>
      <c r="J212" s="15">
        <v>45</v>
      </c>
      <c r="K212" s="15">
        <v>3</v>
      </c>
      <c r="L212" s="9">
        <v>0.15229999999999999</v>
      </c>
      <c r="M212" s="9">
        <v>5.7799999999999997E-2</v>
      </c>
      <c r="N212" s="15">
        <v>6</v>
      </c>
      <c r="O212" t="s">
        <v>28</v>
      </c>
      <c r="P212" t="s">
        <v>28</v>
      </c>
      <c r="Q212" s="24">
        <v>0.8</v>
      </c>
      <c r="R212" s="5">
        <f t="shared" si="18"/>
        <v>961.79953561643822</v>
      </c>
      <c r="S212" s="5">
        <f t="shared" si="19"/>
        <v>48.668866849315059</v>
      </c>
      <c r="T212" s="5">
        <f t="shared" si="20"/>
        <v>913.13066876712321</v>
      </c>
      <c r="U212" s="15">
        <f t="shared" si="21"/>
        <v>39</v>
      </c>
      <c r="V212" s="3">
        <f t="shared" si="22"/>
        <v>3872.4587999999999</v>
      </c>
      <c r="W212" s="3">
        <f t="shared" si="23"/>
        <v>211</v>
      </c>
    </row>
    <row r="213" spans="1:23" x14ac:dyDescent="0.2">
      <c r="A213" t="s">
        <v>51</v>
      </c>
      <c r="B213" t="s">
        <v>52</v>
      </c>
      <c r="C213" t="s">
        <v>41</v>
      </c>
      <c r="D213" t="s">
        <v>37</v>
      </c>
      <c r="E213" t="s">
        <v>49</v>
      </c>
      <c r="F213" s="7">
        <v>876116</v>
      </c>
      <c r="G213" t="s">
        <v>1502</v>
      </c>
      <c r="H213" s="5">
        <v>52543</v>
      </c>
      <c r="I213" s="12">
        <v>45948</v>
      </c>
      <c r="J213" s="15">
        <v>45</v>
      </c>
      <c r="K213" s="15">
        <v>7</v>
      </c>
      <c r="L213" s="9">
        <v>0.1686</v>
      </c>
      <c r="M213" s="9">
        <v>5.5399999999999998E-2</v>
      </c>
      <c r="N213" s="15">
        <v>7</v>
      </c>
      <c r="O213" t="s">
        <v>27</v>
      </c>
      <c r="P213" t="s">
        <v>28</v>
      </c>
      <c r="Q213" s="24">
        <v>0.65</v>
      </c>
      <c r="R213" s="5">
        <f t="shared" si="18"/>
        <v>1092.1746328767122</v>
      </c>
      <c r="S213" s="5">
        <f t="shared" si="19"/>
        <v>55.825138082191785</v>
      </c>
      <c r="T213" s="5">
        <f t="shared" si="20"/>
        <v>1036.3494947945203</v>
      </c>
      <c r="U213" s="15">
        <f t="shared" si="21"/>
        <v>38</v>
      </c>
      <c r="V213" s="3">
        <f t="shared" si="22"/>
        <v>3866.1139399999997</v>
      </c>
      <c r="W213" s="3">
        <f t="shared" si="23"/>
        <v>212</v>
      </c>
    </row>
    <row r="214" spans="1:23" x14ac:dyDescent="0.2">
      <c r="A214" t="s">
        <v>521</v>
      </c>
      <c r="B214" t="s">
        <v>522</v>
      </c>
      <c r="C214" t="s">
        <v>23</v>
      </c>
      <c r="D214" t="s">
        <v>66</v>
      </c>
      <c r="E214" t="s">
        <v>49</v>
      </c>
      <c r="F214" s="7">
        <v>617401</v>
      </c>
      <c r="G214" t="s">
        <v>1594</v>
      </c>
      <c r="H214" s="5">
        <v>54310</v>
      </c>
      <c r="I214" s="12">
        <v>45765</v>
      </c>
      <c r="J214" s="15">
        <v>60</v>
      </c>
      <c r="K214" s="15">
        <v>3</v>
      </c>
      <c r="L214" s="9">
        <v>0.1429</v>
      </c>
      <c r="M214" s="9">
        <v>6.4100000000000004E-2</v>
      </c>
      <c r="N214" s="15">
        <v>5</v>
      </c>
      <c r="O214" t="s">
        <v>27</v>
      </c>
      <c r="P214" t="s">
        <v>28</v>
      </c>
      <c r="Q214" s="24">
        <v>0.9</v>
      </c>
      <c r="R214" s="5">
        <f t="shared" si="18"/>
        <v>1275.7642191780822</v>
      </c>
      <c r="S214" s="5">
        <f t="shared" si="19"/>
        <v>47.688643835616439</v>
      </c>
      <c r="T214" s="5">
        <f t="shared" si="20"/>
        <v>1228.0755753424658</v>
      </c>
      <c r="U214" s="15">
        <f t="shared" si="21"/>
        <v>55</v>
      </c>
      <c r="V214" s="3">
        <f t="shared" si="22"/>
        <v>3851.6651999999999</v>
      </c>
      <c r="W214" s="3">
        <f t="shared" si="23"/>
        <v>213</v>
      </c>
    </row>
    <row r="215" spans="1:23" x14ac:dyDescent="0.2">
      <c r="A215" t="s">
        <v>501</v>
      </c>
      <c r="B215" t="s">
        <v>502</v>
      </c>
      <c r="C215" t="s">
        <v>23</v>
      </c>
      <c r="D215" t="s">
        <v>32</v>
      </c>
      <c r="E215" t="s">
        <v>49</v>
      </c>
      <c r="F215" s="7">
        <v>412494</v>
      </c>
      <c r="G215" t="s">
        <v>681</v>
      </c>
      <c r="H215" s="5">
        <v>75682</v>
      </c>
      <c r="I215" s="12">
        <v>45877</v>
      </c>
      <c r="J215" s="15">
        <v>60</v>
      </c>
      <c r="K215" s="15">
        <v>7</v>
      </c>
      <c r="L215" s="9">
        <v>0.15989999999999999</v>
      </c>
      <c r="M215" s="9">
        <v>5.8200000000000002E-2</v>
      </c>
      <c r="N215" s="15">
        <v>10</v>
      </c>
      <c r="O215" t="s">
        <v>28</v>
      </c>
      <c r="P215" t="s">
        <v>28</v>
      </c>
      <c r="Q215" s="24">
        <v>0.5</v>
      </c>
      <c r="R215" s="5">
        <f t="shared" si="18"/>
        <v>1989.2961863013697</v>
      </c>
      <c r="S215" s="5">
        <f t="shared" si="19"/>
        <v>120.67650410958903</v>
      </c>
      <c r="T215" s="5">
        <f t="shared" si="20"/>
        <v>1868.6196821917806</v>
      </c>
      <c r="U215" s="15">
        <f t="shared" si="21"/>
        <v>50</v>
      </c>
      <c r="V215" s="3">
        <f t="shared" si="22"/>
        <v>3848.4296999999992</v>
      </c>
      <c r="W215" s="3">
        <f t="shared" si="23"/>
        <v>214</v>
      </c>
    </row>
    <row r="216" spans="1:23" x14ac:dyDescent="0.2">
      <c r="A216" t="s">
        <v>325</v>
      </c>
      <c r="B216" t="s">
        <v>326</v>
      </c>
      <c r="C216" t="s">
        <v>36</v>
      </c>
      <c r="D216" t="s">
        <v>48</v>
      </c>
      <c r="E216" t="s">
        <v>49</v>
      </c>
      <c r="F216" s="7">
        <v>467236</v>
      </c>
      <c r="G216" t="s">
        <v>1033</v>
      </c>
      <c r="H216" s="5">
        <v>87784</v>
      </c>
      <c r="I216" s="12">
        <v>45835</v>
      </c>
      <c r="J216" s="15">
        <v>30</v>
      </c>
      <c r="K216" s="15">
        <v>4</v>
      </c>
      <c r="L216" s="9">
        <v>0.1757</v>
      </c>
      <c r="M216" s="9">
        <v>5.0500000000000003E-2</v>
      </c>
      <c r="N216" s="15">
        <v>10</v>
      </c>
      <c r="O216" t="s">
        <v>27</v>
      </c>
      <c r="P216" t="s">
        <v>28</v>
      </c>
      <c r="Q216" s="24">
        <v>0.35</v>
      </c>
      <c r="R216" s="5">
        <f t="shared" si="18"/>
        <v>1267.6971616438354</v>
      </c>
      <c r="S216" s="5">
        <f t="shared" si="19"/>
        <v>121.45457534246576</v>
      </c>
      <c r="T216" s="5">
        <f t="shared" si="20"/>
        <v>1146.2425863013698</v>
      </c>
      <c r="U216" s="15">
        <f t="shared" si="21"/>
        <v>20</v>
      </c>
      <c r="V216" s="3">
        <f t="shared" si="22"/>
        <v>3846.6948799999991</v>
      </c>
      <c r="W216" s="3">
        <f t="shared" si="23"/>
        <v>215</v>
      </c>
    </row>
    <row r="217" spans="1:23" x14ac:dyDescent="0.2">
      <c r="A217" t="s">
        <v>153</v>
      </c>
      <c r="B217" t="s">
        <v>154</v>
      </c>
      <c r="C217" t="s">
        <v>41</v>
      </c>
      <c r="D217" t="s">
        <v>66</v>
      </c>
      <c r="E217" t="s">
        <v>49</v>
      </c>
      <c r="F217" s="7">
        <v>367690</v>
      </c>
      <c r="G217" t="s">
        <v>1496</v>
      </c>
      <c r="H217" s="5">
        <v>108493</v>
      </c>
      <c r="I217" s="12">
        <v>45892</v>
      </c>
      <c r="J217" s="15">
        <v>60</v>
      </c>
      <c r="K217" s="15">
        <v>5</v>
      </c>
      <c r="L217" s="9">
        <v>0.1305</v>
      </c>
      <c r="M217" s="9">
        <v>5.9700000000000003E-2</v>
      </c>
      <c r="N217" s="15">
        <v>10</v>
      </c>
      <c r="O217" t="s">
        <v>27</v>
      </c>
      <c r="P217" t="s">
        <v>28</v>
      </c>
      <c r="Q217" s="24">
        <v>0.5</v>
      </c>
      <c r="R217" s="5">
        <f t="shared" si="18"/>
        <v>2327.3977808219179</v>
      </c>
      <c r="S217" s="5">
        <f t="shared" si="19"/>
        <v>177.45293424657535</v>
      </c>
      <c r="T217" s="5">
        <f t="shared" si="20"/>
        <v>2149.9448465753426</v>
      </c>
      <c r="U217" s="15">
        <f t="shared" si="21"/>
        <v>50</v>
      </c>
      <c r="V217" s="3">
        <f t="shared" si="22"/>
        <v>3840.6522</v>
      </c>
      <c r="W217" s="3">
        <f t="shared" si="23"/>
        <v>216</v>
      </c>
    </row>
    <row r="218" spans="1:23" x14ac:dyDescent="0.2">
      <c r="A218" t="s">
        <v>100</v>
      </c>
      <c r="B218" t="s">
        <v>101</v>
      </c>
      <c r="C218" t="s">
        <v>77</v>
      </c>
      <c r="D218" t="s">
        <v>48</v>
      </c>
      <c r="E218" t="s">
        <v>49</v>
      </c>
      <c r="F218" s="7">
        <v>1484226</v>
      </c>
      <c r="G218" t="s">
        <v>424</v>
      </c>
      <c r="H218" s="5">
        <v>64198</v>
      </c>
      <c r="I218" s="12">
        <v>45850</v>
      </c>
      <c r="J218" s="15">
        <v>90</v>
      </c>
      <c r="K218" s="15">
        <v>4</v>
      </c>
      <c r="L218" s="9">
        <v>0.17929999999999999</v>
      </c>
      <c r="M218" s="9">
        <v>5.9700000000000003E-2</v>
      </c>
      <c r="N218" s="15">
        <v>8</v>
      </c>
      <c r="O218" t="s">
        <v>27</v>
      </c>
      <c r="P218" t="s">
        <v>28</v>
      </c>
      <c r="Q218" s="24">
        <v>0.5</v>
      </c>
      <c r="R218" s="5">
        <f t="shared" si="18"/>
        <v>2838.2551397260272</v>
      </c>
      <c r="S218" s="5">
        <f t="shared" si="19"/>
        <v>84.002643287671233</v>
      </c>
      <c r="T218" s="5">
        <f t="shared" si="20"/>
        <v>2754.252496438356</v>
      </c>
      <c r="U218" s="15">
        <f t="shared" si="21"/>
        <v>82</v>
      </c>
      <c r="V218" s="3">
        <f t="shared" si="22"/>
        <v>3839.0403999999994</v>
      </c>
      <c r="W218" s="3">
        <f t="shared" si="23"/>
        <v>217</v>
      </c>
    </row>
    <row r="219" spans="1:23" x14ac:dyDescent="0.2">
      <c r="A219" t="s">
        <v>151</v>
      </c>
      <c r="B219" t="s">
        <v>131</v>
      </c>
      <c r="C219" t="s">
        <v>77</v>
      </c>
      <c r="D219" t="s">
        <v>66</v>
      </c>
      <c r="E219" t="s">
        <v>49</v>
      </c>
      <c r="F219" s="7">
        <v>1106462</v>
      </c>
      <c r="G219" t="s">
        <v>235</v>
      </c>
      <c r="H219" s="5">
        <v>53365</v>
      </c>
      <c r="I219" s="12">
        <v>45755</v>
      </c>
      <c r="J219" s="15">
        <v>90</v>
      </c>
      <c r="K219" s="15">
        <v>7</v>
      </c>
      <c r="L219" s="9">
        <v>0.1328</v>
      </c>
      <c r="M219" s="9">
        <v>5.2999999999999999E-2</v>
      </c>
      <c r="N219" s="15">
        <v>10</v>
      </c>
      <c r="O219" t="s">
        <v>27</v>
      </c>
      <c r="P219" t="s">
        <v>28</v>
      </c>
      <c r="Q219" s="24">
        <v>0.9</v>
      </c>
      <c r="R219" s="5">
        <f t="shared" si="18"/>
        <v>1747.447890410959</v>
      </c>
      <c r="S219" s="5">
        <f t="shared" si="19"/>
        <v>77.488904109589029</v>
      </c>
      <c r="T219" s="5">
        <f t="shared" si="20"/>
        <v>1669.95898630137</v>
      </c>
      <c r="U219" s="15">
        <f t="shared" si="21"/>
        <v>80</v>
      </c>
      <c r="V219" s="3">
        <f t="shared" si="22"/>
        <v>3832.6743000000006</v>
      </c>
      <c r="W219" s="3">
        <f t="shared" si="23"/>
        <v>218</v>
      </c>
    </row>
    <row r="220" spans="1:23" x14ac:dyDescent="0.2">
      <c r="A220" t="s">
        <v>415</v>
      </c>
      <c r="B220" t="s">
        <v>416</v>
      </c>
      <c r="C220" t="s">
        <v>31</v>
      </c>
      <c r="D220" t="s">
        <v>66</v>
      </c>
      <c r="E220" t="s">
        <v>49</v>
      </c>
      <c r="F220" s="7">
        <v>1241903</v>
      </c>
      <c r="G220" t="s">
        <v>1264</v>
      </c>
      <c r="H220" s="5">
        <v>44347</v>
      </c>
      <c r="I220" s="12">
        <v>45998</v>
      </c>
      <c r="J220" s="15">
        <v>45</v>
      </c>
      <c r="K220" s="15">
        <v>2</v>
      </c>
      <c r="L220" s="9">
        <v>0.15939999999999999</v>
      </c>
      <c r="M220" s="9">
        <v>6.3399999999999998E-2</v>
      </c>
      <c r="N220" s="15">
        <v>7</v>
      </c>
      <c r="O220" t="s">
        <v>27</v>
      </c>
      <c r="P220" t="s">
        <v>28</v>
      </c>
      <c r="Q220" s="24">
        <v>0.9</v>
      </c>
      <c r="R220" s="5">
        <f t="shared" si="18"/>
        <v>871.50967397260251</v>
      </c>
      <c r="S220" s="5">
        <f t="shared" si="19"/>
        <v>53.921092054794521</v>
      </c>
      <c r="T220" s="5">
        <f t="shared" si="20"/>
        <v>817.58858191780803</v>
      </c>
      <c r="U220" s="15">
        <f t="shared" si="21"/>
        <v>38</v>
      </c>
      <c r="V220" s="3">
        <f t="shared" si="22"/>
        <v>3831.5807999999997</v>
      </c>
      <c r="W220" s="3">
        <f t="shared" si="23"/>
        <v>219</v>
      </c>
    </row>
    <row r="221" spans="1:23" x14ac:dyDescent="0.2">
      <c r="A221" t="s">
        <v>109</v>
      </c>
      <c r="B221" t="s">
        <v>110</v>
      </c>
      <c r="C221" t="s">
        <v>41</v>
      </c>
      <c r="D221" t="s">
        <v>37</v>
      </c>
      <c r="E221" t="s">
        <v>49</v>
      </c>
      <c r="F221" s="7">
        <v>1383695</v>
      </c>
      <c r="G221" t="s">
        <v>111</v>
      </c>
      <c r="H221" s="5">
        <v>66239</v>
      </c>
      <c r="I221" s="12">
        <v>45849</v>
      </c>
      <c r="J221" s="15">
        <v>60</v>
      </c>
      <c r="K221" s="15">
        <v>5</v>
      </c>
      <c r="L221" s="9">
        <v>0.16850000000000001</v>
      </c>
      <c r="M221" s="9">
        <v>5.2999999999999999E-2</v>
      </c>
      <c r="N221" s="15">
        <v>5</v>
      </c>
      <c r="O221" t="s">
        <v>27</v>
      </c>
      <c r="P221" t="s">
        <v>28</v>
      </c>
      <c r="Q221" s="24">
        <v>0.5</v>
      </c>
      <c r="R221" s="5">
        <f t="shared" si="18"/>
        <v>1834.7295616438357</v>
      </c>
      <c r="S221" s="5">
        <f t="shared" si="19"/>
        <v>48.091328767123287</v>
      </c>
      <c r="T221" s="5">
        <f t="shared" si="20"/>
        <v>1786.6382328767124</v>
      </c>
      <c r="U221" s="15">
        <f t="shared" si="21"/>
        <v>55</v>
      </c>
      <c r="V221" s="3">
        <f t="shared" si="22"/>
        <v>3825.3022500000006</v>
      </c>
      <c r="W221" s="3">
        <f t="shared" si="23"/>
        <v>220</v>
      </c>
    </row>
    <row r="222" spans="1:23" x14ac:dyDescent="0.2">
      <c r="A222" t="s">
        <v>29</v>
      </c>
      <c r="B222" t="s">
        <v>30</v>
      </c>
      <c r="C222" t="s">
        <v>31</v>
      </c>
      <c r="D222" t="s">
        <v>32</v>
      </c>
      <c r="E222" t="s">
        <v>25</v>
      </c>
      <c r="F222" s="7">
        <v>4331160</v>
      </c>
      <c r="G222" t="s">
        <v>585</v>
      </c>
      <c r="H222" s="5">
        <v>62667</v>
      </c>
      <c r="I222" s="12">
        <v>45763</v>
      </c>
      <c r="J222" s="15">
        <v>30</v>
      </c>
      <c r="K222" s="15">
        <v>7</v>
      </c>
      <c r="L222" s="9">
        <v>0.12809999999999999</v>
      </c>
      <c r="M222" s="9">
        <v>6.0600000000000001E-2</v>
      </c>
      <c r="N222" s="15">
        <v>6</v>
      </c>
      <c r="O222" t="s">
        <v>27</v>
      </c>
      <c r="P222" t="s">
        <v>28</v>
      </c>
      <c r="Q222" s="24">
        <v>0.9</v>
      </c>
      <c r="R222" s="5">
        <f t="shared" si="18"/>
        <v>659.80624931506838</v>
      </c>
      <c r="S222" s="5">
        <f t="shared" si="19"/>
        <v>62.426633424657531</v>
      </c>
      <c r="T222" s="5">
        <f t="shared" si="20"/>
        <v>597.37961589041083</v>
      </c>
      <c r="U222" s="15">
        <f t="shared" si="21"/>
        <v>24</v>
      </c>
      <c r="V222" s="3">
        <f t="shared" si="22"/>
        <v>3807.0202499999996</v>
      </c>
      <c r="W222" s="3">
        <f t="shared" si="23"/>
        <v>221</v>
      </c>
    </row>
    <row r="223" spans="1:23" x14ac:dyDescent="0.2">
      <c r="A223" t="s">
        <v>34</v>
      </c>
      <c r="B223" t="s">
        <v>35</v>
      </c>
      <c r="C223" t="s">
        <v>36</v>
      </c>
      <c r="D223" t="s">
        <v>37</v>
      </c>
      <c r="E223" t="s">
        <v>25</v>
      </c>
      <c r="F223" s="7">
        <v>3714458</v>
      </c>
      <c r="G223" t="s">
        <v>1734</v>
      </c>
      <c r="H223" s="5">
        <v>109173</v>
      </c>
      <c r="I223" s="12">
        <v>45941</v>
      </c>
      <c r="J223" s="15">
        <v>45</v>
      </c>
      <c r="K223" s="15">
        <v>10</v>
      </c>
      <c r="L223" s="9">
        <v>0.1153</v>
      </c>
      <c r="M223" s="9">
        <v>4.5699999999999998E-2</v>
      </c>
      <c r="N223" s="15">
        <v>5</v>
      </c>
      <c r="O223" t="s">
        <v>27</v>
      </c>
      <c r="P223" t="s">
        <v>28</v>
      </c>
      <c r="Q223" s="24">
        <v>0.5</v>
      </c>
      <c r="R223" s="5">
        <f t="shared" si="18"/>
        <v>1551.9016726027396</v>
      </c>
      <c r="S223" s="5">
        <f t="shared" si="19"/>
        <v>68.345289041095882</v>
      </c>
      <c r="T223" s="5">
        <f t="shared" si="20"/>
        <v>1483.5563835616438</v>
      </c>
      <c r="U223" s="15">
        <f t="shared" si="21"/>
        <v>40</v>
      </c>
      <c r="V223" s="3">
        <f t="shared" si="22"/>
        <v>3799.2203999999997</v>
      </c>
      <c r="W223" s="3">
        <f t="shared" si="23"/>
        <v>222</v>
      </c>
    </row>
    <row r="224" spans="1:23" x14ac:dyDescent="0.2">
      <c r="A224" t="s">
        <v>263</v>
      </c>
      <c r="B224" t="s">
        <v>264</v>
      </c>
      <c r="C224" t="s">
        <v>77</v>
      </c>
      <c r="D224" t="s">
        <v>24</v>
      </c>
      <c r="E224" t="s">
        <v>25</v>
      </c>
      <c r="F224" s="7">
        <v>4450767</v>
      </c>
      <c r="G224" t="s">
        <v>1601</v>
      </c>
      <c r="H224" s="5">
        <v>107896</v>
      </c>
      <c r="I224" s="12">
        <v>45829</v>
      </c>
      <c r="J224" s="15">
        <v>60</v>
      </c>
      <c r="K224" s="15">
        <v>4</v>
      </c>
      <c r="L224" s="9">
        <v>0.10489999999999999</v>
      </c>
      <c r="M224" s="9">
        <v>6.1100000000000002E-2</v>
      </c>
      <c r="N224" s="15">
        <v>6</v>
      </c>
      <c r="O224" t="s">
        <v>27</v>
      </c>
      <c r="P224" t="s">
        <v>28</v>
      </c>
      <c r="Q224" s="24">
        <v>0.8</v>
      </c>
      <c r="R224" s="5">
        <f t="shared" si="18"/>
        <v>1860.5408876712327</v>
      </c>
      <c r="S224" s="5">
        <f t="shared" si="19"/>
        <v>108.36896876712328</v>
      </c>
      <c r="T224" s="5">
        <f t="shared" si="20"/>
        <v>1752.1719189041094</v>
      </c>
      <c r="U224" s="15">
        <f t="shared" si="21"/>
        <v>54</v>
      </c>
      <c r="V224" s="3">
        <f t="shared" si="22"/>
        <v>3780.6758399999994</v>
      </c>
      <c r="W224" s="3">
        <f t="shared" si="23"/>
        <v>223</v>
      </c>
    </row>
    <row r="225" spans="1:23" x14ac:dyDescent="0.2">
      <c r="A225" t="s">
        <v>256</v>
      </c>
      <c r="B225" t="s">
        <v>257</v>
      </c>
      <c r="C225" t="s">
        <v>36</v>
      </c>
      <c r="D225" t="s">
        <v>48</v>
      </c>
      <c r="E225" t="s">
        <v>25</v>
      </c>
      <c r="F225" s="7">
        <v>3046555</v>
      </c>
      <c r="G225" t="s">
        <v>267</v>
      </c>
      <c r="H225" s="5">
        <v>89042</v>
      </c>
      <c r="I225" s="12">
        <v>45742</v>
      </c>
      <c r="J225" s="15">
        <v>45</v>
      </c>
      <c r="K225" s="15">
        <v>3</v>
      </c>
      <c r="L225" s="9">
        <v>0.13830000000000001</v>
      </c>
      <c r="M225" s="9">
        <v>5.3699999999999998E-2</v>
      </c>
      <c r="N225" s="15">
        <v>5</v>
      </c>
      <c r="O225" t="s">
        <v>27</v>
      </c>
      <c r="P225" t="s">
        <v>28</v>
      </c>
      <c r="Q225" s="24">
        <v>0.5</v>
      </c>
      <c r="R225" s="5">
        <f t="shared" si="18"/>
        <v>1518.227087671233</v>
      </c>
      <c r="S225" s="5">
        <f t="shared" si="19"/>
        <v>65.500758904109588</v>
      </c>
      <c r="T225" s="5">
        <f t="shared" si="20"/>
        <v>1452.7263287671235</v>
      </c>
      <c r="U225" s="15">
        <f t="shared" si="21"/>
        <v>40</v>
      </c>
      <c r="V225" s="3">
        <f t="shared" si="22"/>
        <v>3766.4766000000004</v>
      </c>
      <c r="W225" s="3">
        <f t="shared" si="23"/>
        <v>224</v>
      </c>
    </row>
    <row r="226" spans="1:23" x14ac:dyDescent="0.2">
      <c r="A226" t="s">
        <v>434</v>
      </c>
      <c r="B226" t="s">
        <v>335</v>
      </c>
      <c r="C226" t="s">
        <v>31</v>
      </c>
      <c r="D226" t="s">
        <v>66</v>
      </c>
      <c r="E226" t="s">
        <v>49</v>
      </c>
      <c r="F226" s="7">
        <v>303851</v>
      </c>
      <c r="G226" t="s">
        <v>435</v>
      </c>
      <c r="H226" s="5">
        <v>96769</v>
      </c>
      <c r="I226" s="12">
        <v>45919</v>
      </c>
      <c r="J226" s="15">
        <v>60</v>
      </c>
      <c r="K226" s="15">
        <v>4</v>
      </c>
      <c r="L226" s="9">
        <v>0.17499999999999999</v>
      </c>
      <c r="M226" s="9">
        <v>6.4299999999999996E-2</v>
      </c>
      <c r="N226" s="15">
        <v>8</v>
      </c>
      <c r="O226" t="s">
        <v>28</v>
      </c>
      <c r="P226" t="s">
        <v>28</v>
      </c>
      <c r="Q226" s="24">
        <v>0.35</v>
      </c>
      <c r="R226" s="5">
        <f t="shared" si="18"/>
        <v>2783.7657534246573</v>
      </c>
      <c r="S226" s="5">
        <f t="shared" si="19"/>
        <v>136.37800986301369</v>
      </c>
      <c r="T226" s="5">
        <f t="shared" si="20"/>
        <v>2647.3877435616437</v>
      </c>
      <c r="U226" s="15">
        <f t="shared" si="21"/>
        <v>52</v>
      </c>
      <c r="V226" s="3">
        <f t="shared" si="22"/>
        <v>3749.3149049999993</v>
      </c>
      <c r="W226" s="3">
        <f t="shared" si="23"/>
        <v>225</v>
      </c>
    </row>
    <row r="227" spans="1:23" x14ac:dyDescent="0.2">
      <c r="A227" t="s">
        <v>233</v>
      </c>
      <c r="B227" t="s">
        <v>59</v>
      </c>
      <c r="C227" t="s">
        <v>77</v>
      </c>
      <c r="D227" t="s">
        <v>66</v>
      </c>
      <c r="E227" t="s">
        <v>49</v>
      </c>
      <c r="F227" s="7">
        <v>809893</v>
      </c>
      <c r="G227" t="s">
        <v>234</v>
      </c>
      <c r="H227" s="5">
        <v>94802</v>
      </c>
      <c r="I227" s="12">
        <v>45679</v>
      </c>
      <c r="J227" s="15">
        <v>45</v>
      </c>
      <c r="K227" s="15">
        <v>3</v>
      </c>
      <c r="L227" s="9">
        <v>0.15909999999999999</v>
      </c>
      <c r="M227" s="9">
        <v>4.6300000000000001E-2</v>
      </c>
      <c r="N227" s="15">
        <v>8</v>
      </c>
      <c r="O227" t="s">
        <v>28</v>
      </c>
      <c r="P227" t="s">
        <v>28</v>
      </c>
      <c r="Q227" s="24">
        <v>0.35</v>
      </c>
      <c r="R227" s="5">
        <f t="shared" si="18"/>
        <v>1859.547723287671</v>
      </c>
      <c r="S227" s="5">
        <f t="shared" si="19"/>
        <v>96.204550136986299</v>
      </c>
      <c r="T227" s="5">
        <f t="shared" si="20"/>
        <v>1763.3431731506848</v>
      </c>
      <c r="U227" s="15">
        <f t="shared" si="21"/>
        <v>37</v>
      </c>
      <c r="V227" s="3">
        <f t="shared" si="22"/>
        <v>3742.7829599999995</v>
      </c>
      <c r="W227" s="3">
        <f t="shared" si="23"/>
        <v>226</v>
      </c>
    </row>
    <row r="228" spans="1:23" x14ac:dyDescent="0.2">
      <c r="A228" t="s">
        <v>355</v>
      </c>
      <c r="B228" t="s">
        <v>356</v>
      </c>
      <c r="C228" t="s">
        <v>23</v>
      </c>
      <c r="D228" t="s">
        <v>66</v>
      </c>
      <c r="E228" t="s">
        <v>25</v>
      </c>
      <c r="F228" s="7">
        <v>2561855</v>
      </c>
      <c r="G228" t="s">
        <v>1186</v>
      </c>
      <c r="H228" s="5">
        <v>106977</v>
      </c>
      <c r="I228" s="12">
        <v>45920</v>
      </c>
      <c r="J228" s="15">
        <v>60</v>
      </c>
      <c r="K228" s="15">
        <v>3</v>
      </c>
      <c r="L228" s="9">
        <v>0.1037</v>
      </c>
      <c r="M228" s="9">
        <v>4.99E-2</v>
      </c>
      <c r="N228" s="15">
        <v>5</v>
      </c>
      <c r="O228" t="s">
        <v>28</v>
      </c>
      <c r="P228" t="s">
        <v>28</v>
      </c>
      <c r="Q228" s="24">
        <v>0.65</v>
      </c>
      <c r="R228" s="5">
        <f t="shared" si="18"/>
        <v>1823.5914904109588</v>
      </c>
      <c r="S228" s="5">
        <f t="shared" si="19"/>
        <v>73.125373972602731</v>
      </c>
      <c r="T228" s="5">
        <f t="shared" si="20"/>
        <v>1750.466116438356</v>
      </c>
      <c r="U228" s="15">
        <f t="shared" si="21"/>
        <v>55</v>
      </c>
      <c r="V228" s="3">
        <f t="shared" si="22"/>
        <v>3740.98569</v>
      </c>
      <c r="W228" s="3">
        <f t="shared" si="23"/>
        <v>227</v>
      </c>
    </row>
    <row r="229" spans="1:23" x14ac:dyDescent="0.2">
      <c r="A229" t="s">
        <v>153</v>
      </c>
      <c r="B229" t="s">
        <v>154</v>
      </c>
      <c r="C229" t="s">
        <v>41</v>
      </c>
      <c r="D229" t="s">
        <v>66</v>
      </c>
      <c r="E229" t="s">
        <v>49</v>
      </c>
      <c r="F229" s="7">
        <v>367690</v>
      </c>
      <c r="G229" t="s">
        <v>1720</v>
      </c>
      <c r="H229" s="5">
        <v>62504</v>
      </c>
      <c r="I229" s="12">
        <v>45931</v>
      </c>
      <c r="J229" s="15">
        <v>30</v>
      </c>
      <c r="K229" s="15">
        <v>5</v>
      </c>
      <c r="L229" s="9">
        <v>0.1305</v>
      </c>
      <c r="M229" s="9">
        <v>6.4199999999999993E-2</v>
      </c>
      <c r="N229" s="15">
        <v>10</v>
      </c>
      <c r="O229" t="s">
        <v>28</v>
      </c>
      <c r="P229" t="s">
        <v>28</v>
      </c>
      <c r="Q229" s="24">
        <v>0.9</v>
      </c>
      <c r="R229" s="5">
        <f t="shared" si="18"/>
        <v>670.41961643835612</v>
      </c>
      <c r="S229" s="5">
        <f t="shared" si="19"/>
        <v>109.93854246575341</v>
      </c>
      <c r="T229" s="5">
        <f t="shared" si="20"/>
        <v>560.48107397260264</v>
      </c>
      <c r="U229" s="15">
        <f t="shared" si="21"/>
        <v>20</v>
      </c>
      <c r="V229" s="3">
        <f t="shared" si="22"/>
        <v>3729.6136800000008</v>
      </c>
      <c r="W229" s="3">
        <f t="shared" si="23"/>
        <v>228</v>
      </c>
    </row>
    <row r="230" spans="1:23" x14ac:dyDescent="0.2">
      <c r="A230" t="s">
        <v>88</v>
      </c>
      <c r="B230" t="s">
        <v>89</v>
      </c>
      <c r="C230" t="s">
        <v>23</v>
      </c>
      <c r="D230" t="s">
        <v>66</v>
      </c>
      <c r="E230" t="s">
        <v>49</v>
      </c>
      <c r="F230" s="7">
        <v>896464</v>
      </c>
      <c r="G230" t="s">
        <v>90</v>
      </c>
      <c r="H230" s="5">
        <v>88858</v>
      </c>
      <c r="I230" s="12">
        <v>45732</v>
      </c>
      <c r="J230" s="15">
        <v>45</v>
      </c>
      <c r="K230" s="15">
        <v>3</v>
      </c>
      <c r="L230" s="9">
        <v>0.13550000000000001</v>
      </c>
      <c r="M230" s="9">
        <v>5.16E-2</v>
      </c>
      <c r="N230" s="15">
        <v>6</v>
      </c>
      <c r="O230" t="s">
        <v>27</v>
      </c>
      <c r="P230" t="s">
        <v>28</v>
      </c>
      <c r="Q230" s="24">
        <v>0.5</v>
      </c>
      <c r="R230" s="5">
        <f t="shared" si="18"/>
        <v>1484.4154931506848</v>
      </c>
      <c r="S230" s="5">
        <f t="shared" si="19"/>
        <v>75.371059726027383</v>
      </c>
      <c r="T230" s="5">
        <f t="shared" si="20"/>
        <v>1409.0444334246574</v>
      </c>
      <c r="U230" s="15">
        <f t="shared" si="21"/>
        <v>39</v>
      </c>
      <c r="V230" s="3">
        <f t="shared" si="22"/>
        <v>3727.5931</v>
      </c>
      <c r="W230" s="3">
        <f t="shared" si="23"/>
        <v>229</v>
      </c>
    </row>
    <row r="231" spans="1:23" x14ac:dyDescent="0.2">
      <c r="A231" t="s">
        <v>725</v>
      </c>
      <c r="B231" t="s">
        <v>47</v>
      </c>
      <c r="C231" t="s">
        <v>36</v>
      </c>
      <c r="D231" t="s">
        <v>48</v>
      </c>
      <c r="E231" t="s">
        <v>25</v>
      </c>
      <c r="F231" s="7">
        <v>6127831</v>
      </c>
      <c r="G231" t="s">
        <v>1705</v>
      </c>
      <c r="H231" s="5">
        <v>94756</v>
      </c>
      <c r="I231" s="12">
        <v>45889</v>
      </c>
      <c r="J231" s="15">
        <v>60</v>
      </c>
      <c r="K231" s="15">
        <v>4</v>
      </c>
      <c r="L231" s="9">
        <v>0.12529999999999999</v>
      </c>
      <c r="M231" s="9">
        <v>4.6699999999999998E-2</v>
      </c>
      <c r="N231" s="15">
        <v>10</v>
      </c>
      <c r="O231" t="s">
        <v>27</v>
      </c>
      <c r="P231" t="s">
        <v>28</v>
      </c>
      <c r="Q231" s="24">
        <v>0.5</v>
      </c>
      <c r="R231" s="5">
        <f t="shared" si="18"/>
        <v>1951.7139945205477</v>
      </c>
      <c r="S231" s="5">
        <f t="shared" si="19"/>
        <v>121.23575890410959</v>
      </c>
      <c r="T231" s="5">
        <f t="shared" si="20"/>
        <v>1830.478235616438</v>
      </c>
      <c r="U231" s="15">
        <f t="shared" si="21"/>
        <v>50</v>
      </c>
      <c r="V231" s="3">
        <f t="shared" si="22"/>
        <v>3723.9108000000001</v>
      </c>
      <c r="W231" s="3">
        <f t="shared" si="23"/>
        <v>230</v>
      </c>
    </row>
    <row r="232" spans="1:23" x14ac:dyDescent="0.2">
      <c r="A232" t="s">
        <v>34</v>
      </c>
      <c r="B232" t="s">
        <v>35</v>
      </c>
      <c r="C232" t="s">
        <v>36</v>
      </c>
      <c r="D232" t="s">
        <v>37</v>
      </c>
      <c r="E232" t="s">
        <v>25</v>
      </c>
      <c r="F232" s="7">
        <v>3714458</v>
      </c>
      <c r="G232" t="s">
        <v>1272</v>
      </c>
      <c r="H232" s="5">
        <v>86329</v>
      </c>
      <c r="I232" s="12">
        <v>45883</v>
      </c>
      <c r="J232" s="15">
        <v>60</v>
      </c>
      <c r="K232" s="15">
        <v>3</v>
      </c>
      <c r="L232" s="9">
        <v>0.1153</v>
      </c>
      <c r="M232" s="9">
        <v>4.9000000000000002E-2</v>
      </c>
      <c r="N232" s="15">
        <v>6</v>
      </c>
      <c r="O232" t="s">
        <v>27</v>
      </c>
      <c r="P232" t="s">
        <v>28</v>
      </c>
      <c r="Q232" s="24">
        <v>0.65</v>
      </c>
      <c r="R232" s="5">
        <f t="shared" si="18"/>
        <v>1636.2301972602741</v>
      </c>
      <c r="S232" s="5">
        <f t="shared" si="19"/>
        <v>69.536235616438347</v>
      </c>
      <c r="T232" s="5">
        <f t="shared" si="20"/>
        <v>1566.6939616438358</v>
      </c>
      <c r="U232" s="15">
        <f t="shared" si="21"/>
        <v>54</v>
      </c>
      <c r="V232" s="3">
        <f t="shared" si="22"/>
        <v>3720.3482550000003</v>
      </c>
      <c r="W232" s="3">
        <f t="shared" si="23"/>
        <v>231</v>
      </c>
    </row>
    <row r="233" spans="1:23" x14ac:dyDescent="0.2">
      <c r="A233" t="s">
        <v>293</v>
      </c>
      <c r="B233" t="s">
        <v>231</v>
      </c>
      <c r="C233" t="s">
        <v>36</v>
      </c>
      <c r="D233" t="s">
        <v>32</v>
      </c>
      <c r="E233" t="s">
        <v>25</v>
      </c>
      <c r="F233" s="7">
        <v>3723173</v>
      </c>
      <c r="G233" t="s">
        <v>886</v>
      </c>
      <c r="H233" s="5">
        <v>95379</v>
      </c>
      <c r="I233" s="12">
        <v>45886</v>
      </c>
      <c r="J233" s="15">
        <v>60</v>
      </c>
      <c r="K233" s="15">
        <v>3</v>
      </c>
      <c r="L233" s="9">
        <v>0.1069</v>
      </c>
      <c r="M233" s="9">
        <v>5.8200000000000002E-2</v>
      </c>
      <c r="N233" s="15">
        <v>8</v>
      </c>
      <c r="O233" t="s">
        <v>27</v>
      </c>
      <c r="P233" t="s">
        <v>28</v>
      </c>
      <c r="Q233" s="24">
        <v>0.8</v>
      </c>
      <c r="R233" s="5">
        <f t="shared" si="18"/>
        <v>1676.0572767123285</v>
      </c>
      <c r="S233" s="5">
        <f t="shared" si="19"/>
        <v>121.66702027397261</v>
      </c>
      <c r="T233" s="5">
        <f t="shared" si="20"/>
        <v>1554.3902564383559</v>
      </c>
      <c r="U233" s="15">
        <f t="shared" si="21"/>
        <v>52</v>
      </c>
      <c r="V233" s="3">
        <f t="shared" si="22"/>
        <v>3715.9658399999994</v>
      </c>
      <c r="W233" s="3">
        <f t="shared" si="23"/>
        <v>232</v>
      </c>
    </row>
    <row r="234" spans="1:23" x14ac:dyDescent="0.2">
      <c r="A234" t="s">
        <v>46</v>
      </c>
      <c r="B234" t="s">
        <v>47</v>
      </c>
      <c r="C234" t="s">
        <v>23</v>
      </c>
      <c r="D234" t="s">
        <v>48</v>
      </c>
      <c r="E234" t="s">
        <v>49</v>
      </c>
      <c r="F234" s="7">
        <v>372648</v>
      </c>
      <c r="G234" t="s">
        <v>1153</v>
      </c>
      <c r="H234" s="5">
        <v>54495</v>
      </c>
      <c r="I234" s="12">
        <v>45918</v>
      </c>
      <c r="J234" s="15">
        <v>45</v>
      </c>
      <c r="K234" s="15">
        <v>2</v>
      </c>
      <c r="L234" s="9">
        <v>0.15049999999999999</v>
      </c>
      <c r="M234" s="9">
        <v>4.5999999999999999E-2</v>
      </c>
      <c r="N234" s="15">
        <v>6</v>
      </c>
      <c r="O234" t="s">
        <v>27</v>
      </c>
      <c r="P234" t="s">
        <v>28</v>
      </c>
      <c r="Q234" s="24">
        <v>0.65</v>
      </c>
      <c r="R234" s="5">
        <f t="shared" si="18"/>
        <v>1011.1435273972602</v>
      </c>
      <c r="S234" s="5">
        <f t="shared" si="19"/>
        <v>41.207178082191774</v>
      </c>
      <c r="T234" s="5">
        <f t="shared" si="20"/>
        <v>969.93634931506836</v>
      </c>
      <c r="U234" s="15">
        <f t="shared" si="21"/>
        <v>39</v>
      </c>
      <c r="V234" s="3">
        <f t="shared" si="22"/>
        <v>3701.5728749999998</v>
      </c>
      <c r="W234" s="3">
        <f t="shared" si="23"/>
        <v>233</v>
      </c>
    </row>
    <row r="235" spans="1:23" x14ac:dyDescent="0.2">
      <c r="A235" t="s">
        <v>133</v>
      </c>
      <c r="B235" t="s">
        <v>134</v>
      </c>
      <c r="C235" t="s">
        <v>36</v>
      </c>
      <c r="D235" t="s">
        <v>24</v>
      </c>
      <c r="E235" t="s">
        <v>25</v>
      </c>
      <c r="F235" s="7">
        <v>6056843</v>
      </c>
      <c r="G235" t="s">
        <v>254</v>
      </c>
      <c r="H235" s="5">
        <v>85619</v>
      </c>
      <c r="I235" s="12">
        <v>45760</v>
      </c>
      <c r="J235" s="15">
        <v>45</v>
      </c>
      <c r="K235" s="15">
        <v>4</v>
      </c>
      <c r="L235" s="9">
        <v>0.12520000000000001</v>
      </c>
      <c r="M235" s="9">
        <v>5.91E-2</v>
      </c>
      <c r="N235" s="15">
        <v>6</v>
      </c>
      <c r="O235" t="s">
        <v>27</v>
      </c>
      <c r="P235" t="s">
        <v>28</v>
      </c>
      <c r="Q235" s="24">
        <v>0.65</v>
      </c>
      <c r="R235" s="5">
        <f t="shared" si="18"/>
        <v>1321.5820438356166</v>
      </c>
      <c r="S235" s="5">
        <f t="shared" si="19"/>
        <v>83.17944493150685</v>
      </c>
      <c r="T235" s="5">
        <f t="shared" si="20"/>
        <v>1238.4025989041097</v>
      </c>
      <c r="U235" s="15">
        <f t="shared" si="21"/>
        <v>39</v>
      </c>
      <c r="V235" s="3">
        <f t="shared" si="22"/>
        <v>3678.6203350000001</v>
      </c>
      <c r="W235" s="3">
        <f t="shared" si="23"/>
        <v>234</v>
      </c>
    </row>
    <row r="236" spans="1:23" x14ac:dyDescent="0.2">
      <c r="A236" t="s">
        <v>239</v>
      </c>
      <c r="B236" t="s">
        <v>240</v>
      </c>
      <c r="C236" t="s">
        <v>31</v>
      </c>
      <c r="D236" t="s">
        <v>32</v>
      </c>
      <c r="E236" t="s">
        <v>49</v>
      </c>
      <c r="F236" s="7">
        <v>1485779</v>
      </c>
      <c r="G236" t="s">
        <v>1696</v>
      </c>
      <c r="H236" s="5">
        <v>95599</v>
      </c>
      <c r="I236" s="12">
        <v>45874</v>
      </c>
      <c r="J236" s="15">
        <v>60</v>
      </c>
      <c r="K236" s="15">
        <v>2</v>
      </c>
      <c r="L236" s="9">
        <v>0.1295</v>
      </c>
      <c r="M236" s="9">
        <v>5.2600000000000001E-2</v>
      </c>
      <c r="N236" s="15">
        <v>5</v>
      </c>
      <c r="O236" t="s">
        <v>27</v>
      </c>
      <c r="P236" t="s">
        <v>28</v>
      </c>
      <c r="Q236" s="24">
        <v>0.5</v>
      </c>
      <c r="R236" s="5">
        <f t="shared" si="18"/>
        <v>2035.0800821917808</v>
      </c>
      <c r="S236" s="5">
        <f t="shared" si="19"/>
        <v>68.883663013698637</v>
      </c>
      <c r="T236" s="5">
        <f t="shared" si="20"/>
        <v>1966.1964191780821</v>
      </c>
      <c r="U236" s="15">
        <f t="shared" si="21"/>
        <v>55</v>
      </c>
      <c r="V236" s="3">
        <f t="shared" si="22"/>
        <v>3675.7815499999997</v>
      </c>
      <c r="W236" s="3">
        <f t="shared" si="23"/>
        <v>235</v>
      </c>
    </row>
    <row r="237" spans="1:23" x14ac:dyDescent="0.2">
      <c r="A237" t="s">
        <v>206</v>
      </c>
      <c r="B237" t="s">
        <v>207</v>
      </c>
      <c r="C237" t="s">
        <v>77</v>
      </c>
      <c r="D237" t="s">
        <v>32</v>
      </c>
      <c r="E237" t="s">
        <v>25</v>
      </c>
      <c r="F237" s="7">
        <v>3819447</v>
      </c>
      <c r="G237" t="s">
        <v>1203</v>
      </c>
      <c r="H237" s="5">
        <v>61005</v>
      </c>
      <c r="I237" s="12">
        <v>46062</v>
      </c>
      <c r="J237" s="15">
        <v>60</v>
      </c>
      <c r="K237" s="15">
        <v>5</v>
      </c>
      <c r="L237" s="9">
        <v>0.12620000000000001</v>
      </c>
      <c r="M237" s="9">
        <v>5.9299999999999999E-2</v>
      </c>
      <c r="N237" s="15">
        <v>8</v>
      </c>
      <c r="O237" t="s">
        <v>27</v>
      </c>
      <c r="P237" t="s">
        <v>28</v>
      </c>
      <c r="Q237" s="24">
        <v>0.9</v>
      </c>
      <c r="R237" s="5">
        <f t="shared" si="18"/>
        <v>1265.5612602739725</v>
      </c>
      <c r="S237" s="5">
        <f t="shared" si="19"/>
        <v>79.289786301369872</v>
      </c>
      <c r="T237" s="5">
        <f t="shared" si="20"/>
        <v>1186.2714739726025</v>
      </c>
      <c r="U237" s="15">
        <f t="shared" si="21"/>
        <v>52</v>
      </c>
      <c r="V237" s="3">
        <f t="shared" si="22"/>
        <v>3673.1110500000009</v>
      </c>
      <c r="W237" s="3">
        <f t="shared" si="23"/>
        <v>236</v>
      </c>
    </row>
    <row r="238" spans="1:23" x14ac:dyDescent="0.2">
      <c r="A238" t="s">
        <v>186</v>
      </c>
      <c r="B238" t="s">
        <v>187</v>
      </c>
      <c r="C238" t="s">
        <v>41</v>
      </c>
      <c r="D238" t="s">
        <v>32</v>
      </c>
      <c r="E238" t="s">
        <v>25</v>
      </c>
      <c r="F238" s="7">
        <v>3649528</v>
      </c>
      <c r="G238" t="s">
        <v>1421</v>
      </c>
      <c r="H238" s="5">
        <v>107915</v>
      </c>
      <c r="I238" s="12">
        <v>45967</v>
      </c>
      <c r="J238" s="15">
        <v>45</v>
      </c>
      <c r="K238" s="15">
        <v>5</v>
      </c>
      <c r="L238" s="9">
        <v>0.1283</v>
      </c>
      <c r="M238" s="9">
        <v>6.0400000000000002E-2</v>
      </c>
      <c r="N238" s="15">
        <v>6</v>
      </c>
      <c r="O238" t="s">
        <v>27</v>
      </c>
      <c r="P238" t="s">
        <v>28</v>
      </c>
      <c r="Q238" s="24">
        <v>0.5</v>
      </c>
      <c r="R238" s="5">
        <f t="shared" si="18"/>
        <v>1706.9787739726025</v>
      </c>
      <c r="S238" s="5">
        <f t="shared" si="19"/>
        <v>107.14629041095888</v>
      </c>
      <c r="T238" s="5">
        <f t="shared" si="20"/>
        <v>1599.8324835616436</v>
      </c>
      <c r="U238" s="15">
        <f t="shared" si="21"/>
        <v>39</v>
      </c>
      <c r="V238" s="3">
        <f t="shared" si="22"/>
        <v>3663.7142499999995</v>
      </c>
      <c r="W238" s="3">
        <f t="shared" si="23"/>
        <v>237</v>
      </c>
    </row>
    <row r="239" spans="1:23" x14ac:dyDescent="0.2">
      <c r="A239" t="s">
        <v>163</v>
      </c>
      <c r="B239" t="s">
        <v>164</v>
      </c>
      <c r="C239" t="s">
        <v>77</v>
      </c>
      <c r="D239" t="s">
        <v>66</v>
      </c>
      <c r="E239" t="s">
        <v>25</v>
      </c>
      <c r="F239" s="7">
        <v>4709015</v>
      </c>
      <c r="G239" t="s">
        <v>1607</v>
      </c>
      <c r="H239" s="5">
        <v>66808</v>
      </c>
      <c r="I239" s="12">
        <v>45994</v>
      </c>
      <c r="J239" s="15">
        <v>60</v>
      </c>
      <c r="K239" s="15">
        <v>7</v>
      </c>
      <c r="L239" s="9">
        <v>0.121</v>
      </c>
      <c r="M239" s="9">
        <v>5.2600000000000001E-2</v>
      </c>
      <c r="N239" s="15">
        <v>10</v>
      </c>
      <c r="O239" t="s">
        <v>28</v>
      </c>
      <c r="P239" t="s">
        <v>28</v>
      </c>
      <c r="Q239" s="24">
        <v>0.8</v>
      </c>
      <c r="R239" s="5">
        <f t="shared" si="18"/>
        <v>1328.8385753424657</v>
      </c>
      <c r="S239" s="5">
        <f t="shared" si="19"/>
        <v>96.276734246575344</v>
      </c>
      <c r="T239" s="5">
        <f t="shared" si="20"/>
        <v>1232.5618410958903</v>
      </c>
      <c r="U239" s="15">
        <f t="shared" si="21"/>
        <v>50</v>
      </c>
      <c r="V239" s="3">
        <f t="shared" si="22"/>
        <v>3655.7337599999992</v>
      </c>
      <c r="W239" s="3">
        <f t="shared" si="23"/>
        <v>238</v>
      </c>
    </row>
    <row r="240" spans="1:23" x14ac:dyDescent="0.2">
      <c r="A240" t="s">
        <v>300</v>
      </c>
      <c r="B240" t="s">
        <v>301</v>
      </c>
      <c r="C240" t="s">
        <v>77</v>
      </c>
      <c r="D240" t="s">
        <v>66</v>
      </c>
      <c r="E240" t="s">
        <v>25</v>
      </c>
      <c r="F240" s="7">
        <v>2362296</v>
      </c>
      <c r="G240" t="s">
        <v>506</v>
      </c>
      <c r="H240" s="5">
        <v>84465</v>
      </c>
      <c r="I240" s="12">
        <v>45821</v>
      </c>
      <c r="J240" s="15">
        <v>60</v>
      </c>
      <c r="K240" s="15">
        <v>10</v>
      </c>
      <c r="L240" s="9">
        <v>0.1077</v>
      </c>
      <c r="M240" s="9">
        <v>5.9799999999999999E-2</v>
      </c>
      <c r="N240" s="15">
        <v>8</v>
      </c>
      <c r="O240" t="s">
        <v>28</v>
      </c>
      <c r="P240" t="s">
        <v>28</v>
      </c>
      <c r="Q240" s="24">
        <v>0.9</v>
      </c>
      <c r="R240" s="5">
        <f t="shared" si="18"/>
        <v>1495.3776164383562</v>
      </c>
      <c r="S240" s="5">
        <f t="shared" si="19"/>
        <v>110.70700273972602</v>
      </c>
      <c r="T240" s="5">
        <f t="shared" si="20"/>
        <v>1384.6706136986302</v>
      </c>
      <c r="U240" s="15">
        <f t="shared" si="21"/>
        <v>52</v>
      </c>
      <c r="V240" s="3">
        <f t="shared" si="22"/>
        <v>3641.2861500000004</v>
      </c>
      <c r="W240" s="3">
        <f t="shared" si="23"/>
        <v>239</v>
      </c>
    </row>
    <row r="241" spans="1:23" x14ac:dyDescent="0.2">
      <c r="A241" t="s">
        <v>438</v>
      </c>
      <c r="B241" t="s">
        <v>439</v>
      </c>
      <c r="C241" t="s">
        <v>41</v>
      </c>
      <c r="D241" t="s">
        <v>48</v>
      </c>
      <c r="E241" t="s">
        <v>25</v>
      </c>
      <c r="F241" s="7">
        <v>2438415</v>
      </c>
      <c r="G241" t="s">
        <v>1179</v>
      </c>
      <c r="H241" s="5">
        <v>55724</v>
      </c>
      <c r="I241" s="12">
        <v>45886</v>
      </c>
      <c r="J241" s="15">
        <v>60</v>
      </c>
      <c r="K241" s="15">
        <v>3</v>
      </c>
      <c r="L241" s="9">
        <v>0.13650000000000001</v>
      </c>
      <c r="M241" s="9">
        <v>6.3899999999999998E-2</v>
      </c>
      <c r="N241" s="15">
        <v>10</v>
      </c>
      <c r="O241" t="s">
        <v>27</v>
      </c>
      <c r="P241" t="s">
        <v>28</v>
      </c>
      <c r="Q241" s="24">
        <v>0.9</v>
      </c>
      <c r="R241" s="5">
        <f t="shared" si="18"/>
        <v>1250.3549589041097</v>
      </c>
      <c r="S241" s="5">
        <f t="shared" si="19"/>
        <v>97.55516712328766</v>
      </c>
      <c r="T241" s="5">
        <f t="shared" si="20"/>
        <v>1152.799791780822</v>
      </c>
      <c r="U241" s="15">
        <f t="shared" si="21"/>
        <v>50</v>
      </c>
      <c r="V241" s="3">
        <f t="shared" si="22"/>
        <v>3641.0061600000004</v>
      </c>
      <c r="W241" s="3">
        <f t="shared" si="23"/>
        <v>240</v>
      </c>
    </row>
    <row r="242" spans="1:23" x14ac:dyDescent="0.2">
      <c r="A242" t="s">
        <v>163</v>
      </c>
      <c r="B242" t="s">
        <v>164</v>
      </c>
      <c r="C242" t="s">
        <v>77</v>
      </c>
      <c r="D242" t="s">
        <v>66</v>
      </c>
      <c r="E242" t="s">
        <v>25</v>
      </c>
      <c r="F242" s="7">
        <v>4709015</v>
      </c>
      <c r="G242" t="s">
        <v>165</v>
      </c>
      <c r="H242" s="5">
        <v>95269</v>
      </c>
      <c r="I242" s="12">
        <v>45981</v>
      </c>
      <c r="J242" s="15">
        <v>90</v>
      </c>
      <c r="K242" s="15">
        <v>4</v>
      </c>
      <c r="L242" s="9">
        <v>0.121</v>
      </c>
      <c r="M242" s="9">
        <v>6.2300000000000001E-2</v>
      </c>
      <c r="N242" s="15">
        <v>7</v>
      </c>
      <c r="O242" t="s">
        <v>28</v>
      </c>
      <c r="P242" t="s">
        <v>28</v>
      </c>
      <c r="Q242" s="24">
        <v>0.65</v>
      </c>
      <c r="R242" s="5">
        <f t="shared" si="18"/>
        <v>2842.4093424657531</v>
      </c>
      <c r="S242" s="5">
        <f t="shared" si="19"/>
        <v>113.82687917808221</v>
      </c>
      <c r="T242" s="5">
        <f t="shared" si="20"/>
        <v>2728.5824632876711</v>
      </c>
      <c r="U242" s="15">
        <f t="shared" si="21"/>
        <v>83</v>
      </c>
      <c r="V242" s="3">
        <f t="shared" si="22"/>
        <v>3634.988695</v>
      </c>
      <c r="W242" s="3">
        <f t="shared" si="23"/>
        <v>241</v>
      </c>
    </row>
    <row r="243" spans="1:23" x14ac:dyDescent="0.2">
      <c r="A243" t="s">
        <v>468</v>
      </c>
      <c r="B243" t="s">
        <v>412</v>
      </c>
      <c r="C243" t="s">
        <v>41</v>
      </c>
      <c r="D243" t="s">
        <v>48</v>
      </c>
      <c r="E243" t="s">
        <v>49</v>
      </c>
      <c r="F243" s="7">
        <v>1406086</v>
      </c>
      <c r="G243" t="s">
        <v>1564</v>
      </c>
      <c r="H243" s="5">
        <v>67552</v>
      </c>
      <c r="I243" s="12">
        <v>45779</v>
      </c>
      <c r="J243" s="15">
        <v>60</v>
      </c>
      <c r="K243" s="15">
        <v>7</v>
      </c>
      <c r="L243" s="9">
        <v>0.1201</v>
      </c>
      <c r="M243" s="9">
        <v>6.0400000000000002E-2</v>
      </c>
      <c r="N243" s="15">
        <v>7</v>
      </c>
      <c r="O243" t="s">
        <v>28</v>
      </c>
      <c r="P243" t="s">
        <v>28</v>
      </c>
      <c r="Q243" s="24">
        <v>0.9</v>
      </c>
      <c r="R243" s="5">
        <f t="shared" si="18"/>
        <v>1333.6430465753424</v>
      </c>
      <c r="S243" s="5">
        <f t="shared" si="19"/>
        <v>78.249275616438368</v>
      </c>
      <c r="T243" s="5">
        <f t="shared" si="20"/>
        <v>1255.393770958904</v>
      </c>
      <c r="U243" s="15">
        <f t="shared" si="21"/>
        <v>53</v>
      </c>
      <c r="V243" s="3">
        <f t="shared" si="22"/>
        <v>3629.5689600000001</v>
      </c>
      <c r="W243" s="3">
        <f t="shared" si="23"/>
        <v>242</v>
      </c>
    </row>
    <row r="244" spans="1:23" x14ac:dyDescent="0.2">
      <c r="A244" t="s">
        <v>582</v>
      </c>
      <c r="B244" t="s">
        <v>76</v>
      </c>
      <c r="C244" t="s">
        <v>36</v>
      </c>
      <c r="D244" t="s">
        <v>37</v>
      </c>
      <c r="E244" t="s">
        <v>49</v>
      </c>
      <c r="F244" s="7">
        <v>1336236</v>
      </c>
      <c r="G244" t="s">
        <v>1489</v>
      </c>
      <c r="H244" s="5">
        <v>48105</v>
      </c>
      <c r="I244" s="12">
        <v>46079</v>
      </c>
      <c r="J244" s="15">
        <v>45</v>
      </c>
      <c r="K244" s="15">
        <v>7</v>
      </c>
      <c r="L244" s="9">
        <v>0.14249999999999999</v>
      </c>
      <c r="M244" s="9">
        <v>5.8999999999999997E-2</v>
      </c>
      <c r="N244" s="15">
        <v>8</v>
      </c>
      <c r="O244" t="s">
        <v>27</v>
      </c>
      <c r="P244" t="s">
        <v>28</v>
      </c>
      <c r="Q244" s="24">
        <v>0.9</v>
      </c>
      <c r="R244" s="5">
        <f t="shared" si="18"/>
        <v>845.13236301369852</v>
      </c>
      <c r="S244" s="5">
        <f t="shared" si="19"/>
        <v>62.207013698630128</v>
      </c>
      <c r="T244" s="5">
        <f t="shared" si="20"/>
        <v>782.92534931506839</v>
      </c>
      <c r="U244" s="15">
        <f t="shared" si="21"/>
        <v>37</v>
      </c>
      <c r="V244" s="3">
        <f t="shared" si="22"/>
        <v>3615.0907499999998</v>
      </c>
      <c r="W244" s="3">
        <f t="shared" si="23"/>
        <v>243</v>
      </c>
    </row>
    <row r="245" spans="1:23" x14ac:dyDescent="0.2">
      <c r="A245" t="s">
        <v>571</v>
      </c>
      <c r="B245" t="s">
        <v>214</v>
      </c>
      <c r="C245" t="s">
        <v>31</v>
      </c>
      <c r="D245" t="s">
        <v>48</v>
      </c>
      <c r="E245" t="s">
        <v>25</v>
      </c>
      <c r="F245" s="7">
        <v>4353599</v>
      </c>
      <c r="G245" t="s">
        <v>1265</v>
      </c>
      <c r="H245" s="5">
        <v>96585</v>
      </c>
      <c r="I245" s="12">
        <v>45740</v>
      </c>
      <c r="J245" s="15">
        <v>45</v>
      </c>
      <c r="K245" s="15">
        <v>7</v>
      </c>
      <c r="L245" s="9">
        <v>9.5600000000000004E-2</v>
      </c>
      <c r="M245" s="9">
        <v>5.4100000000000002E-2</v>
      </c>
      <c r="N245" s="15">
        <v>6</v>
      </c>
      <c r="O245" t="s">
        <v>27</v>
      </c>
      <c r="P245" t="s">
        <v>28</v>
      </c>
      <c r="Q245" s="24">
        <v>0.9</v>
      </c>
      <c r="R245" s="5">
        <f t="shared" si="18"/>
        <v>1138.379917808219</v>
      </c>
      <c r="S245" s="5">
        <f t="shared" si="19"/>
        <v>85.894495890410965</v>
      </c>
      <c r="T245" s="5">
        <f t="shared" si="20"/>
        <v>1052.485421917808</v>
      </c>
      <c r="U245" s="15">
        <f t="shared" si="21"/>
        <v>39</v>
      </c>
      <c r="V245" s="3">
        <f t="shared" si="22"/>
        <v>3607.4497500000002</v>
      </c>
      <c r="W245" s="3">
        <f t="shared" si="23"/>
        <v>244</v>
      </c>
    </row>
    <row r="246" spans="1:23" x14ac:dyDescent="0.2">
      <c r="A246" t="s">
        <v>117</v>
      </c>
      <c r="B246" t="s">
        <v>118</v>
      </c>
      <c r="C246" t="s">
        <v>77</v>
      </c>
      <c r="D246" t="s">
        <v>32</v>
      </c>
      <c r="E246" t="s">
        <v>25</v>
      </c>
      <c r="F246" s="7">
        <v>6024640</v>
      </c>
      <c r="G246" t="s">
        <v>1435</v>
      </c>
      <c r="H246" s="5">
        <v>65790</v>
      </c>
      <c r="I246" s="12">
        <v>45849</v>
      </c>
      <c r="J246" s="15">
        <v>60</v>
      </c>
      <c r="K246" s="15">
        <v>7</v>
      </c>
      <c r="L246" s="9">
        <v>0.13769999999999999</v>
      </c>
      <c r="M246" s="9">
        <v>5.3499999999999999E-2</v>
      </c>
      <c r="N246" s="15">
        <v>7</v>
      </c>
      <c r="O246" t="s">
        <v>28</v>
      </c>
      <c r="P246" t="s">
        <v>28</v>
      </c>
      <c r="Q246" s="24">
        <v>0.65</v>
      </c>
      <c r="R246" s="5">
        <f t="shared" si="18"/>
        <v>1489.1972054794519</v>
      </c>
      <c r="S246" s="5">
        <f t="shared" si="19"/>
        <v>67.502342465753429</v>
      </c>
      <c r="T246" s="5">
        <f t="shared" si="20"/>
        <v>1421.6948630136985</v>
      </c>
      <c r="U246" s="15">
        <f t="shared" si="21"/>
        <v>53</v>
      </c>
      <c r="V246" s="3">
        <f t="shared" si="22"/>
        <v>3600.6867000000002</v>
      </c>
      <c r="W246" s="3">
        <f t="shared" si="23"/>
        <v>245</v>
      </c>
    </row>
    <row r="247" spans="1:23" x14ac:dyDescent="0.2">
      <c r="A247" t="s">
        <v>252</v>
      </c>
      <c r="B247" t="s">
        <v>89</v>
      </c>
      <c r="C247" t="s">
        <v>31</v>
      </c>
      <c r="D247" t="s">
        <v>24</v>
      </c>
      <c r="E247" t="s">
        <v>49</v>
      </c>
      <c r="F247" s="7">
        <v>971327</v>
      </c>
      <c r="G247" t="s">
        <v>1544</v>
      </c>
      <c r="H247" s="5">
        <v>38281</v>
      </c>
      <c r="I247" s="12">
        <v>45689</v>
      </c>
      <c r="J247" s="15">
        <v>60</v>
      </c>
      <c r="K247" s="15">
        <v>2</v>
      </c>
      <c r="L247" s="9">
        <v>0.15229999999999999</v>
      </c>
      <c r="M247" s="9">
        <v>4.7800000000000002E-2</v>
      </c>
      <c r="N247" s="15">
        <v>10</v>
      </c>
      <c r="O247" t="s">
        <v>27</v>
      </c>
      <c r="P247" t="s">
        <v>28</v>
      </c>
      <c r="Q247" s="24">
        <v>0.9</v>
      </c>
      <c r="R247" s="5">
        <f t="shared" si="18"/>
        <v>958.38843287671216</v>
      </c>
      <c r="S247" s="5">
        <f t="shared" si="19"/>
        <v>50.132378082191785</v>
      </c>
      <c r="T247" s="5">
        <f t="shared" si="20"/>
        <v>908.25605479452042</v>
      </c>
      <c r="U247" s="15">
        <f t="shared" si="21"/>
        <v>50</v>
      </c>
      <c r="V247" s="3">
        <f t="shared" si="22"/>
        <v>3600.3280499999992</v>
      </c>
      <c r="W247" s="3">
        <f t="shared" si="23"/>
        <v>246</v>
      </c>
    </row>
    <row r="248" spans="1:23" x14ac:dyDescent="0.2">
      <c r="A248" t="s">
        <v>889</v>
      </c>
      <c r="B248" t="s">
        <v>286</v>
      </c>
      <c r="C248" t="s">
        <v>23</v>
      </c>
      <c r="D248" t="s">
        <v>66</v>
      </c>
      <c r="E248" t="s">
        <v>49</v>
      </c>
      <c r="F248" s="7">
        <v>1374525</v>
      </c>
      <c r="G248" t="s">
        <v>1636</v>
      </c>
      <c r="H248" s="5">
        <v>92478</v>
      </c>
      <c r="I248" s="12">
        <v>46040</v>
      </c>
      <c r="J248" s="15">
        <v>90</v>
      </c>
      <c r="K248" s="15">
        <v>4</v>
      </c>
      <c r="L248" s="9">
        <v>0.13320000000000001</v>
      </c>
      <c r="M248" s="9">
        <v>5.5399999999999998E-2</v>
      </c>
      <c r="N248" s="15">
        <v>7</v>
      </c>
      <c r="O248" t="s">
        <v>27</v>
      </c>
      <c r="P248" t="s">
        <v>28</v>
      </c>
      <c r="Q248" s="24">
        <v>0.5</v>
      </c>
      <c r="R248" s="5">
        <f t="shared" si="18"/>
        <v>3037.3322301369863</v>
      </c>
      <c r="S248" s="5">
        <f t="shared" si="19"/>
        <v>98.254707945205467</v>
      </c>
      <c r="T248" s="5">
        <f t="shared" si="20"/>
        <v>2939.0775221917806</v>
      </c>
      <c r="U248" s="15">
        <f t="shared" si="21"/>
        <v>83</v>
      </c>
      <c r="V248" s="3">
        <f t="shared" si="22"/>
        <v>3597.3942000000002</v>
      </c>
      <c r="W248" s="3">
        <f t="shared" si="23"/>
        <v>247</v>
      </c>
    </row>
    <row r="249" spans="1:23" x14ac:dyDescent="0.2">
      <c r="A249" t="s">
        <v>415</v>
      </c>
      <c r="B249" t="s">
        <v>416</v>
      </c>
      <c r="C249" t="s">
        <v>31</v>
      </c>
      <c r="D249" t="s">
        <v>66</v>
      </c>
      <c r="E249" t="s">
        <v>49</v>
      </c>
      <c r="F249" s="7">
        <v>1241903</v>
      </c>
      <c r="G249" t="s">
        <v>600</v>
      </c>
      <c r="H249" s="5">
        <v>46152</v>
      </c>
      <c r="I249" s="12">
        <v>45975</v>
      </c>
      <c r="J249" s="15">
        <v>60</v>
      </c>
      <c r="K249" s="15">
        <v>5</v>
      </c>
      <c r="L249" s="9">
        <v>0.15939999999999999</v>
      </c>
      <c r="M249" s="9">
        <v>6.2E-2</v>
      </c>
      <c r="N249" s="15">
        <v>8</v>
      </c>
      <c r="O249" t="s">
        <v>28</v>
      </c>
      <c r="P249" t="s">
        <v>28</v>
      </c>
      <c r="Q249" s="24">
        <v>0.8</v>
      </c>
      <c r="R249" s="5">
        <f t="shared" si="18"/>
        <v>1209.3088438356162</v>
      </c>
      <c r="S249" s="5">
        <f t="shared" si="19"/>
        <v>62.716142465753421</v>
      </c>
      <c r="T249" s="5">
        <f t="shared" si="20"/>
        <v>1146.5927013698629</v>
      </c>
      <c r="U249" s="15">
        <f t="shared" si="21"/>
        <v>52</v>
      </c>
      <c r="V249" s="3">
        <f t="shared" si="22"/>
        <v>3596.1638399999997</v>
      </c>
      <c r="W249" s="3">
        <f t="shared" si="23"/>
        <v>248</v>
      </c>
    </row>
    <row r="250" spans="1:23" x14ac:dyDescent="0.2">
      <c r="A250" t="s">
        <v>421</v>
      </c>
      <c r="B250" t="s">
        <v>422</v>
      </c>
      <c r="C250" t="s">
        <v>41</v>
      </c>
      <c r="D250" t="s">
        <v>66</v>
      </c>
      <c r="E250" t="s">
        <v>56</v>
      </c>
      <c r="F250" s="7">
        <v>13972206</v>
      </c>
      <c r="G250" t="s">
        <v>825</v>
      </c>
      <c r="H250" s="5">
        <v>95472</v>
      </c>
      <c r="I250" s="12">
        <v>45973</v>
      </c>
      <c r="J250" s="15">
        <v>90</v>
      </c>
      <c r="K250" s="15">
        <v>4</v>
      </c>
      <c r="L250" s="9">
        <v>9.5000000000000001E-2</v>
      </c>
      <c r="M250" s="9">
        <v>4.8000000000000001E-2</v>
      </c>
      <c r="N250" s="15">
        <v>6</v>
      </c>
      <c r="O250" t="s">
        <v>28</v>
      </c>
      <c r="P250" t="s">
        <v>28</v>
      </c>
      <c r="Q250" s="24">
        <v>0.8</v>
      </c>
      <c r="R250" s="5">
        <f t="shared" si="18"/>
        <v>2236.3989041095888</v>
      </c>
      <c r="S250" s="5">
        <f t="shared" si="19"/>
        <v>75.33133150684931</v>
      </c>
      <c r="T250" s="5">
        <f t="shared" si="20"/>
        <v>2161.0675726027393</v>
      </c>
      <c r="U250" s="15">
        <f t="shared" si="21"/>
        <v>84</v>
      </c>
      <c r="V250" s="3">
        <f t="shared" si="22"/>
        <v>3589.7472000000002</v>
      </c>
      <c r="W250" s="3">
        <f t="shared" si="23"/>
        <v>249</v>
      </c>
    </row>
    <row r="251" spans="1:23" x14ac:dyDescent="0.2">
      <c r="A251" t="s">
        <v>189</v>
      </c>
      <c r="B251" t="s">
        <v>190</v>
      </c>
      <c r="C251" t="s">
        <v>36</v>
      </c>
      <c r="D251" t="s">
        <v>37</v>
      </c>
      <c r="E251" t="s">
        <v>49</v>
      </c>
      <c r="F251" s="7">
        <v>965613</v>
      </c>
      <c r="G251" t="s">
        <v>1223</v>
      </c>
      <c r="H251" s="5">
        <v>62986</v>
      </c>
      <c r="I251" s="12">
        <v>45901</v>
      </c>
      <c r="J251" s="15">
        <v>90</v>
      </c>
      <c r="K251" s="15">
        <v>3</v>
      </c>
      <c r="L251" s="9">
        <v>0.1109</v>
      </c>
      <c r="M251" s="9">
        <v>4.7600000000000003E-2</v>
      </c>
      <c r="N251" s="15">
        <v>6</v>
      </c>
      <c r="O251" t="s">
        <v>27</v>
      </c>
      <c r="P251" t="s">
        <v>28</v>
      </c>
      <c r="Q251" s="24">
        <v>0.9</v>
      </c>
      <c r="R251" s="5">
        <f t="shared" si="18"/>
        <v>1722.3651123287671</v>
      </c>
      <c r="S251" s="5">
        <f t="shared" si="19"/>
        <v>49.284387945205474</v>
      </c>
      <c r="T251" s="5">
        <f t="shared" si="20"/>
        <v>1673.0807243835616</v>
      </c>
      <c r="U251" s="15">
        <f t="shared" si="21"/>
        <v>84</v>
      </c>
      <c r="V251" s="3">
        <f t="shared" si="22"/>
        <v>3588.3124200000002</v>
      </c>
      <c r="W251" s="3">
        <f t="shared" si="23"/>
        <v>250</v>
      </c>
    </row>
    <row r="252" spans="1:23" x14ac:dyDescent="0.2">
      <c r="A252" t="s">
        <v>438</v>
      </c>
      <c r="B252" t="s">
        <v>439</v>
      </c>
      <c r="C252" t="s">
        <v>41</v>
      </c>
      <c r="D252" t="s">
        <v>48</v>
      </c>
      <c r="E252" t="s">
        <v>25</v>
      </c>
      <c r="F252" s="7">
        <v>2438415</v>
      </c>
      <c r="G252" t="s">
        <v>508</v>
      </c>
      <c r="H252" s="5">
        <v>79603</v>
      </c>
      <c r="I252" s="12">
        <v>45825</v>
      </c>
      <c r="J252" s="15">
        <v>90</v>
      </c>
      <c r="K252" s="15">
        <v>5</v>
      </c>
      <c r="L252" s="9">
        <v>0.13650000000000001</v>
      </c>
      <c r="M252" s="9">
        <v>4.6399999999999997E-2</v>
      </c>
      <c r="N252" s="15">
        <v>8</v>
      </c>
      <c r="O252" t="s">
        <v>27</v>
      </c>
      <c r="P252" t="s">
        <v>28</v>
      </c>
      <c r="Q252" s="24">
        <v>0.5</v>
      </c>
      <c r="R252" s="5">
        <f t="shared" si="18"/>
        <v>2679.2406986301371</v>
      </c>
      <c r="S252" s="5">
        <f t="shared" si="19"/>
        <v>80.955160547945198</v>
      </c>
      <c r="T252" s="5">
        <f t="shared" si="20"/>
        <v>2598.285538082192</v>
      </c>
      <c r="U252" s="15">
        <f t="shared" si="21"/>
        <v>82</v>
      </c>
      <c r="V252" s="3">
        <f t="shared" si="22"/>
        <v>3586.1151500000005</v>
      </c>
      <c r="W252" s="3">
        <f t="shared" si="23"/>
        <v>251</v>
      </c>
    </row>
    <row r="253" spans="1:23" x14ac:dyDescent="0.2">
      <c r="A253" t="s">
        <v>725</v>
      </c>
      <c r="B253" t="s">
        <v>47</v>
      </c>
      <c r="C253" t="s">
        <v>36</v>
      </c>
      <c r="D253" t="s">
        <v>48</v>
      </c>
      <c r="E253" t="s">
        <v>25</v>
      </c>
      <c r="F253" s="7">
        <v>6127831</v>
      </c>
      <c r="G253" t="s">
        <v>1222</v>
      </c>
      <c r="H253" s="5">
        <v>54830</v>
      </c>
      <c r="I253" s="12">
        <v>45693</v>
      </c>
      <c r="J253" s="15">
        <v>90</v>
      </c>
      <c r="K253" s="15">
        <v>5</v>
      </c>
      <c r="L253" s="9">
        <v>0.12529999999999999</v>
      </c>
      <c r="M253" s="9">
        <v>5.28E-2</v>
      </c>
      <c r="N253" s="15">
        <v>5</v>
      </c>
      <c r="O253" t="s">
        <v>28</v>
      </c>
      <c r="P253" t="s">
        <v>28</v>
      </c>
      <c r="Q253" s="24">
        <v>0.9</v>
      </c>
      <c r="R253" s="5">
        <f t="shared" si="18"/>
        <v>1694.0216712328765</v>
      </c>
      <c r="S253" s="5">
        <f t="shared" si="19"/>
        <v>39.657863013698623</v>
      </c>
      <c r="T253" s="5">
        <f t="shared" si="20"/>
        <v>1654.3638082191778</v>
      </c>
      <c r="U253" s="15">
        <f t="shared" si="21"/>
        <v>85</v>
      </c>
      <c r="V253" s="3">
        <f t="shared" si="22"/>
        <v>3577.6575000000003</v>
      </c>
      <c r="W253" s="3">
        <f t="shared" si="23"/>
        <v>252</v>
      </c>
    </row>
    <row r="254" spans="1:23" x14ac:dyDescent="0.2">
      <c r="A254" t="s">
        <v>438</v>
      </c>
      <c r="B254" t="s">
        <v>439</v>
      </c>
      <c r="C254" t="s">
        <v>41</v>
      </c>
      <c r="D254" t="s">
        <v>48</v>
      </c>
      <c r="E254" t="s">
        <v>25</v>
      </c>
      <c r="F254" s="7">
        <v>2438415</v>
      </c>
      <c r="G254" t="s">
        <v>1675</v>
      </c>
      <c r="H254" s="5">
        <v>98954</v>
      </c>
      <c r="I254" s="12">
        <v>45892</v>
      </c>
      <c r="J254" s="15">
        <v>60</v>
      </c>
      <c r="K254" s="15">
        <v>2</v>
      </c>
      <c r="L254" s="9">
        <v>0.13650000000000001</v>
      </c>
      <c r="M254" s="9">
        <v>6.4399999999999999E-2</v>
      </c>
      <c r="N254" s="15">
        <v>7</v>
      </c>
      <c r="O254" t="s">
        <v>27</v>
      </c>
      <c r="P254" t="s">
        <v>28</v>
      </c>
      <c r="Q254" s="24">
        <v>0.5</v>
      </c>
      <c r="R254" s="5">
        <f t="shared" si="18"/>
        <v>2220.3650958904109</v>
      </c>
      <c r="S254" s="5">
        <f t="shared" si="19"/>
        <v>122.21496767123288</v>
      </c>
      <c r="T254" s="5">
        <f t="shared" si="20"/>
        <v>2098.150128219178</v>
      </c>
      <c r="U254" s="15">
        <f t="shared" si="21"/>
        <v>53</v>
      </c>
      <c r="V254" s="3">
        <f t="shared" si="22"/>
        <v>3567.2917000000007</v>
      </c>
      <c r="W254" s="3">
        <f t="shared" si="23"/>
        <v>253</v>
      </c>
    </row>
    <row r="255" spans="1:23" x14ac:dyDescent="0.2">
      <c r="A255" t="s">
        <v>206</v>
      </c>
      <c r="B255" t="s">
        <v>207</v>
      </c>
      <c r="C255" t="s">
        <v>77</v>
      </c>
      <c r="D255" t="s">
        <v>32</v>
      </c>
      <c r="E255" t="s">
        <v>25</v>
      </c>
      <c r="F255" s="7">
        <v>3819447</v>
      </c>
      <c r="G255" t="s">
        <v>786</v>
      </c>
      <c r="H255" s="5">
        <v>76409</v>
      </c>
      <c r="I255" s="12">
        <v>46078</v>
      </c>
      <c r="J255" s="15">
        <v>90</v>
      </c>
      <c r="K255" s="15">
        <v>2</v>
      </c>
      <c r="L255" s="9">
        <v>0.12620000000000001</v>
      </c>
      <c r="M255" s="9">
        <v>5.4399999999999997E-2</v>
      </c>
      <c r="N255" s="15">
        <v>5</v>
      </c>
      <c r="O255" t="s">
        <v>27</v>
      </c>
      <c r="P255" t="s">
        <v>28</v>
      </c>
      <c r="Q255" s="24">
        <v>0.65</v>
      </c>
      <c r="R255" s="5">
        <f t="shared" si="18"/>
        <v>2377.6806082191779</v>
      </c>
      <c r="S255" s="5">
        <f t="shared" si="19"/>
        <v>56.940405479452046</v>
      </c>
      <c r="T255" s="5">
        <f t="shared" si="20"/>
        <v>2320.7402027397256</v>
      </c>
      <c r="U255" s="15">
        <f t="shared" si="21"/>
        <v>85</v>
      </c>
      <c r="V255" s="3">
        <f t="shared" si="22"/>
        <v>3566.0080300000004</v>
      </c>
      <c r="W255" s="3">
        <f t="shared" si="23"/>
        <v>254</v>
      </c>
    </row>
    <row r="256" spans="1:23" x14ac:dyDescent="0.2">
      <c r="A256" t="s">
        <v>582</v>
      </c>
      <c r="B256" t="s">
        <v>76</v>
      </c>
      <c r="C256" t="s">
        <v>36</v>
      </c>
      <c r="D256" t="s">
        <v>37</v>
      </c>
      <c r="E256" t="s">
        <v>49</v>
      </c>
      <c r="F256" s="7">
        <v>1336236</v>
      </c>
      <c r="G256" t="s">
        <v>781</v>
      </c>
      <c r="H256" s="5">
        <v>59720</v>
      </c>
      <c r="I256" s="12">
        <v>45755</v>
      </c>
      <c r="J256" s="15">
        <v>60</v>
      </c>
      <c r="K256" s="15">
        <v>3</v>
      </c>
      <c r="L256" s="9">
        <v>0.14249999999999999</v>
      </c>
      <c r="M256" s="9">
        <v>5.1400000000000001E-2</v>
      </c>
      <c r="N256" s="15">
        <v>5</v>
      </c>
      <c r="O256" t="s">
        <v>27</v>
      </c>
      <c r="P256" t="s">
        <v>28</v>
      </c>
      <c r="Q256" s="24">
        <v>0.65</v>
      </c>
      <c r="R256" s="5">
        <f t="shared" si="18"/>
        <v>1398.9205479452053</v>
      </c>
      <c r="S256" s="5">
        <f t="shared" si="19"/>
        <v>42.049424657534246</v>
      </c>
      <c r="T256" s="5">
        <f t="shared" si="20"/>
        <v>1356.871123287671</v>
      </c>
      <c r="U256" s="15">
        <f t="shared" si="21"/>
        <v>55</v>
      </c>
      <c r="V256" s="3">
        <f t="shared" si="22"/>
        <v>3536.3197999999993</v>
      </c>
      <c r="W256" s="3">
        <f t="shared" si="23"/>
        <v>255</v>
      </c>
    </row>
    <row r="257" spans="1:23" x14ac:dyDescent="0.2">
      <c r="A257" t="s">
        <v>247</v>
      </c>
      <c r="B257" t="s">
        <v>47</v>
      </c>
      <c r="C257" t="s">
        <v>31</v>
      </c>
      <c r="D257" t="s">
        <v>48</v>
      </c>
      <c r="E257" t="s">
        <v>49</v>
      </c>
      <c r="F257" s="7">
        <v>1089809</v>
      </c>
      <c r="G257" t="s">
        <v>1268</v>
      </c>
      <c r="H257" s="5">
        <v>62172</v>
      </c>
      <c r="I257" s="12">
        <v>46074</v>
      </c>
      <c r="J257" s="15">
        <v>60</v>
      </c>
      <c r="K257" s="15">
        <v>10</v>
      </c>
      <c r="L257" s="9">
        <v>0.16689999999999999</v>
      </c>
      <c r="M257" s="9">
        <v>5.3199999999999997E-2</v>
      </c>
      <c r="N257" s="15">
        <v>5</v>
      </c>
      <c r="O257" t="s">
        <v>28</v>
      </c>
      <c r="P257" t="s">
        <v>28</v>
      </c>
      <c r="Q257" s="24">
        <v>0.5</v>
      </c>
      <c r="R257" s="5">
        <f t="shared" si="18"/>
        <v>1705.7271452054792</v>
      </c>
      <c r="S257" s="5">
        <f t="shared" si="19"/>
        <v>45.308909589041086</v>
      </c>
      <c r="T257" s="5">
        <f t="shared" si="20"/>
        <v>1660.4182356164381</v>
      </c>
      <c r="U257" s="15">
        <f t="shared" si="21"/>
        <v>55</v>
      </c>
      <c r="V257" s="3">
        <f t="shared" si="22"/>
        <v>3534.4782</v>
      </c>
      <c r="W257" s="3">
        <f t="shared" si="23"/>
        <v>256</v>
      </c>
    </row>
    <row r="258" spans="1:23" x14ac:dyDescent="0.2">
      <c r="A258" t="s">
        <v>217</v>
      </c>
      <c r="B258" t="s">
        <v>218</v>
      </c>
      <c r="C258" t="s">
        <v>23</v>
      </c>
      <c r="D258" t="s">
        <v>48</v>
      </c>
      <c r="E258" t="s">
        <v>49</v>
      </c>
      <c r="F258" s="7">
        <v>1120197</v>
      </c>
      <c r="G258" t="s">
        <v>771</v>
      </c>
      <c r="H258" s="5">
        <v>63003</v>
      </c>
      <c r="I258" s="12">
        <v>45924</v>
      </c>
      <c r="J258" s="15">
        <v>60</v>
      </c>
      <c r="K258" s="15">
        <v>4</v>
      </c>
      <c r="L258" s="9">
        <v>0.1338</v>
      </c>
      <c r="M258" s="9">
        <v>6.3700000000000007E-2</v>
      </c>
      <c r="N258" s="15">
        <v>6</v>
      </c>
      <c r="O258" t="s">
        <v>27</v>
      </c>
      <c r="P258" t="s">
        <v>28</v>
      </c>
      <c r="Q258" s="24">
        <v>0.8</v>
      </c>
      <c r="R258" s="5">
        <f t="shared" ref="R258:R321" si="24">H258*L258*(J258/365)</f>
        <v>1385.7207780821918</v>
      </c>
      <c r="S258" s="5">
        <f t="shared" ref="S258:S321" si="25">H258*M258*(N258/365)</f>
        <v>65.971908493150679</v>
      </c>
      <c r="T258" s="5">
        <f t="shared" ref="T258:T321" si="26">R258-S258</f>
        <v>1319.7488695890411</v>
      </c>
      <c r="U258" s="15">
        <f t="shared" ref="U258:U321" si="27">J258-N258</f>
        <v>54</v>
      </c>
      <c r="V258" s="3">
        <f t="shared" ref="V258:V321" si="28">Q258*(L258-M258)*H258</f>
        <v>3533.2082399999999</v>
      </c>
      <c r="W258" s="3">
        <f t="shared" ref="W258:W321" si="29">RANK(V258,$V$2:$V$1501)</f>
        <v>257</v>
      </c>
    </row>
    <row r="259" spans="1:23" x14ac:dyDescent="0.2">
      <c r="A259" t="s">
        <v>186</v>
      </c>
      <c r="B259" t="s">
        <v>187</v>
      </c>
      <c r="C259" t="s">
        <v>41</v>
      </c>
      <c r="D259" t="s">
        <v>32</v>
      </c>
      <c r="E259" t="s">
        <v>25</v>
      </c>
      <c r="F259" s="7">
        <v>3649528</v>
      </c>
      <c r="G259" t="s">
        <v>1326</v>
      </c>
      <c r="H259" s="5">
        <v>98188</v>
      </c>
      <c r="I259" s="12">
        <v>46020</v>
      </c>
      <c r="J259" s="15">
        <v>45</v>
      </c>
      <c r="K259" s="15">
        <v>5</v>
      </c>
      <c r="L259" s="9">
        <v>0.1283</v>
      </c>
      <c r="M259" s="9">
        <v>5.6399999999999999E-2</v>
      </c>
      <c r="N259" s="15">
        <v>7</v>
      </c>
      <c r="O259" t="s">
        <v>28</v>
      </c>
      <c r="P259" t="s">
        <v>28</v>
      </c>
      <c r="Q259" s="24">
        <v>0.5</v>
      </c>
      <c r="R259" s="5">
        <f t="shared" si="24"/>
        <v>1553.1189534246573</v>
      </c>
      <c r="S259" s="5">
        <f t="shared" si="25"/>
        <v>106.20444493150686</v>
      </c>
      <c r="T259" s="5">
        <f t="shared" si="26"/>
        <v>1446.9145084931504</v>
      </c>
      <c r="U259" s="15">
        <f t="shared" si="27"/>
        <v>38</v>
      </c>
      <c r="V259" s="3">
        <f t="shared" si="28"/>
        <v>3529.8585999999996</v>
      </c>
      <c r="W259" s="3">
        <f t="shared" si="29"/>
        <v>258</v>
      </c>
    </row>
    <row r="260" spans="1:23" x14ac:dyDescent="0.2">
      <c r="A260" t="s">
        <v>549</v>
      </c>
      <c r="B260" t="s">
        <v>161</v>
      </c>
      <c r="C260" t="s">
        <v>77</v>
      </c>
      <c r="D260" t="s">
        <v>48</v>
      </c>
      <c r="E260" t="s">
        <v>56</v>
      </c>
      <c r="F260" s="7">
        <v>15837870</v>
      </c>
      <c r="G260" t="s">
        <v>644</v>
      </c>
      <c r="H260" s="5">
        <v>87832</v>
      </c>
      <c r="I260" s="12">
        <v>45872</v>
      </c>
      <c r="J260" s="15">
        <v>45</v>
      </c>
      <c r="K260" s="15">
        <v>3</v>
      </c>
      <c r="L260" s="9">
        <v>0.1089</v>
      </c>
      <c r="M260" s="9">
        <v>4.7100000000000003E-2</v>
      </c>
      <c r="N260" s="15">
        <v>10</v>
      </c>
      <c r="O260" t="s">
        <v>27</v>
      </c>
      <c r="P260" t="s">
        <v>28</v>
      </c>
      <c r="Q260" s="24">
        <v>0.65</v>
      </c>
      <c r="R260" s="5">
        <f t="shared" si="24"/>
        <v>1179.2348383561643</v>
      </c>
      <c r="S260" s="5">
        <f t="shared" si="25"/>
        <v>113.33937534246576</v>
      </c>
      <c r="T260" s="5">
        <f t="shared" si="26"/>
        <v>1065.8954630136986</v>
      </c>
      <c r="U260" s="15">
        <f t="shared" si="27"/>
        <v>35</v>
      </c>
      <c r="V260" s="3">
        <f t="shared" si="28"/>
        <v>3528.2114399999996</v>
      </c>
      <c r="W260" s="3">
        <f t="shared" si="29"/>
        <v>259</v>
      </c>
    </row>
    <row r="261" spans="1:23" x14ac:dyDescent="0.2">
      <c r="A261" t="s">
        <v>334</v>
      </c>
      <c r="B261" t="s">
        <v>335</v>
      </c>
      <c r="C261" t="s">
        <v>23</v>
      </c>
      <c r="D261" t="s">
        <v>66</v>
      </c>
      <c r="E261" t="s">
        <v>49</v>
      </c>
      <c r="F261" s="7">
        <v>1475965</v>
      </c>
      <c r="G261" t="s">
        <v>336</v>
      </c>
      <c r="H261" s="5">
        <v>46995</v>
      </c>
      <c r="I261" s="12">
        <v>45778</v>
      </c>
      <c r="J261" s="15">
        <v>90</v>
      </c>
      <c r="K261" s="15">
        <v>4</v>
      </c>
      <c r="L261" s="9">
        <v>0.14000000000000001</v>
      </c>
      <c r="M261" s="9">
        <v>5.6599999999999998E-2</v>
      </c>
      <c r="N261" s="15">
        <v>10</v>
      </c>
      <c r="O261" t="s">
        <v>28</v>
      </c>
      <c r="P261" t="s">
        <v>28</v>
      </c>
      <c r="Q261" s="24">
        <v>0.9</v>
      </c>
      <c r="R261" s="5">
        <f t="shared" si="24"/>
        <v>1622.2931506849316</v>
      </c>
      <c r="S261" s="5">
        <f t="shared" si="25"/>
        <v>72.874438356164376</v>
      </c>
      <c r="T261" s="5">
        <f t="shared" si="26"/>
        <v>1549.4187123287672</v>
      </c>
      <c r="U261" s="15">
        <f t="shared" si="27"/>
        <v>80</v>
      </c>
      <c r="V261" s="3">
        <f t="shared" si="28"/>
        <v>3527.4447000000009</v>
      </c>
      <c r="W261" s="3">
        <f t="shared" si="29"/>
        <v>260</v>
      </c>
    </row>
    <row r="262" spans="1:23" x14ac:dyDescent="0.2">
      <c r="A262" t="s">
        <v>415</v>
      </c>
      <c r="B262" t="s">
        <v>416</v>
      </c>
      <c r="C262" t="s">
        <v>31</v>
      </c>
      <c r="D262" t="s">
        <v>66</v>
      </c>
      <c r="E262" t="s">
        <v>49</v>
      </c>
      <c r="F262" s="7">
        <v>1241903</v>
      </c>
      <c r="G262" t="s">
        <v>563</v>
      </c>
      <c r="H262" s="5">
        <v>61996</v>
      </c>
      <c r="I262" s="12">
        <v>45946</v>
      </c>
      <c r="J262" s="15">
        <v>60</v>
      </c>
      <c r="K262" s="15">
        <v>5</v>
      </c>
      <c r="L262" s="9">
        <v>0.15939999999999999</v>
      </c>
      <c r="M262" s="9">
        <v>4.5900000000000003E-2</v>
      </c>
      <c r="N262" s="15">
        <v>8</v>
      </c>
      <c r="O262" t="s">
        <v>27</v>
      </c>
      <c r="P262" t="s">
        <v>28</v>
      </c>
      <c r="Q262" s="24">
        <v>0.5</v>
      </c>
      <c r="R262" s="5">
        <f t="shared" si="24"/>
        <v>1624.4650520547943</v>
      </c>
      <c r="S262" s="5">
        <f t="shared" si="25"/>
        <v>62.369674520547953</v>
      </c>
      <c r="T262" s="5">
        <f t="shared" si="26"/>
        <v>1562.0953775342464</v>
      </c>
      <c r="U262" s="15">
        <f t="shared" si="27"/>
        <v>52</v>
      </c>
      <c r="V262" s="3">
        <f t="shared" si="28"/>
        <v>3518.2729999999997</v>
      </c>
      <c r="W262" s="3">
        <f t="shared" si="29"/>
        <v>261</v>
      </c>
    </row>
    <row r="263" spans="1:23" x14ac:dyDescent="0.2">
      <c r="A263" t="s">
        <v>117</v>
      </c>
      <c r="B263" t="s">
        <v>118</v>
      </c>
      <c r="C263" t="s">
        <v>77</v>
      </c>
      <c r="D263" t="s">
        <v>32</v>
      </c>
      <c r="E263" t="s">
        <v>25</v>
      </c>
      <c r="F263" s="7">
        <v>6024640</v>
      </c>
      <c r="G263" t="s">
        <v>200</v>
      </c>
      <c r="H263" s="5">
        <v>60213</v>
      </c>
      <c r="I263" s="12">
        <v>45928</v>
      </c>
      <c r="J263" s="15">
        <v>60</v>
      </c>
      <c r="K263" s="15">
        <v>7</v>
      </c>
      <c r="L263" s="9">
        <v>0.13769999999999999</v>
      </c>
      <c r="M263" s="9">
        <v>6.4699999999999994E-2</v>
      </c>
      <c r="N263" s="15">
        <v>8</v>
      </c>
      <c r="O263" t="s">
        <v>27</v>
      </c>
      <c r="P263" t="s">
        <v>28</v>
      </c>
      <c r="Q263" s="24">
        <v>0.8</v>
      </c>
      <c r="R263" s="5">
        <f t="shared" si="24"/>
        <v>1362.9583726027395</v>
      </c>
      <c r="S263" s="5">
        <f t="shared" si="25"/>
        <v>85.386983013698625</v>
      </c>
      <c r="T263" s="5">
        <f t="shared" si="26"/>
        <v>1277.5713895890408</v>
      </c>
      <c r="U263" s="15">
        <f t="shared" si="27"/>
        <v>52</v>
      </c>
      <c r="V263" s="3">
        <f t="shared" si="28"/>
        <v>3516.4392000000003</v>
      </c>
      <c r="W263" s="3">
        <f t="shared" si="29"/>
        <v>262</v>
      </c>
    </row>
    <row r="264" spans="1:23" x14ac:dyDescent="0.2">
      <c r="A264" t="s">
        <v>521</v>
      </c>
      <c r="B264" t="s">
        <v>522</v>
      </c>
      <c r="C264" t="s">
        <v>23</v>
      </c>
      <c r="D264" t="s">
        <v>66</v>
      </c>
      <c r="E264" t="s">
        <v>49</v>
      </c>
      <c r="F264" s="7">
        <v>617401</v>
      </c>
      <c r="G264" t="s">
        <v>542</v>
      </c>
      <c r="H264" s="5">
        <v>74650</v>
      </c>
      <c r="I264" s="12">
        <v>45688</v>
      </c>
      <c r="J264" s="15">
        <v>30</v>
      </c>
      <c r="K264" s="15">
        <v>7</v>
      </c>
      <c r="L264" s="9">
        <v>0.1429</v>
      </c>
      <c r="M264" s="9">
        <v>4.9000000000000002E-2</v>
      </c>
      <c r="N264" s="15">
        <v>6</v>
      </c>
      <c r="O264" t="s">
        <v>27</v>
      </c>
      <c r="P264" t="s">
        <v>28</v>
      </c>
      <c r="Q264" s="24">
        <v>0.5</v>
      </c>
      <c r="R264" s="5">
        <f t="shared" si="24"/>
        <v>876.77958904109585</v>
      </c>
      <c r="S264" s="5">
        <f t="shared" si="25"/>
        <v>60.129041095890408</v>
      </c>
      <c r="T264" s="5">
        <f t="shared" si="26"/>
        <v>816.6505479452054</v>
      </c>
      <c r="U264" s="15">
        <f t="shared" si="27"/>
        <v>24</v>
      </c>
      <c r="V264" s="3">
        <f t="shared" si="28"/>
        <v>3504.8175000000001</v>
      </c>
      <c r="W264" s="3">
        <f t="shared" si="29"/>
        <v>263</v>
      </c>
    </row>
    <row r="265" spans="1:23" x14ac:dyDescent="0.2">
      <c r="A265" t="s">
        <v>438</v>
      </c>
      <c r="B265" t="s">
        <v>439</v>
      </c>
      <c r="C265" t="s">
        <v>41</v>
      </c>
      <c r="D265" t="s">
        <v>48</v>
      </c>
      <c r="E265" t="s">
        <v>25</v>
      </c>
      <c r="F265" s="7">
        <v>2438415</v>
      </c>
      <c r="G265" t="s">
        <v>1138</v>
      </c>
      <c r="H265" s="5">
        <v>74043</v>
      </c>
      <c r="I265" s="12">
        <v>45714</v>
      </c>
      <c r="J265" s="15">
        <v>30</v>
      </c>
      <c r="K265" s="15">
        <v>3</v>
      </c>
      <c r="L265" s="9">
        <v>0.13650000000000001</v>
      </c>
      <c r="M265" s="9">
        <v>6.3899999999999998E-2</v>
      </c>
      <c r="N265" s="15">
        <v>7</v>
      </c>
      <c r="O265" t="s">
        <v>27</v>
      </c>
      <c r="P265" t="s">
        <v>28</v>
      </c>
      <c r="Q265" s="24">
        <v>0.65</v>
      </c>
      <c r="R265" s="5">
        <f t="shared" si="24"/>
        <v>830.70160273972601</v>
      </c>
      <c r="S265" s="5">
        <f t="shared" si="25"/>
        <v>90.738175068493163</v>
      </c>
      <c r="T265" s="5">
        <f t="shared" si="26"/>
        <v>739.96342767123281</v>
      </c>
      <c r="U265" s="15">
        <f t="shared" si="27"/>
        <v>23</v>
      </c>
      <c r="V265" s="3">
        <f t="shared" si="28"/>
        <v>3494.0891700000006</v>
      </c>
      <c r="W265" s="3">
        <f t="shared" si="29"/>
        <v>264</v>
      </c>
    </row>
    <row r="266" spans="1:23" x14ac:dyDescent="0.2">
      <c r="A266" t="s">
        <v>58</v>
      </c>
      <c r="B266" t="s">
        <v>59</v>
      </c>
      <c r="C266" t="s">
        <v>23</v>
      </c>
      <c r="D266" t="s">
        <v>24</v>
      </c>
      <c r="E266" t="s">
        <v>25</v>
      </c>
      <c r="F266" s="7">
        <v>4269919</v>
      </c>
      <c r="G266" t="s">
        <v>1363</v>
      </c>
      <c r="H266" s="5">
        <v>79303</v>
      </c>
      <c r="I266" s="12">
        <v>45968</v>
      </c>
      <c r="J266" s="15">
        <v>90</v>
      </c>
      <c r="K266" s="15">
        <v>3</v>
      </c>
      <c r="L266" s="9">
        <v>0.1212</v>
      </c>
      <c r="M266" s="9">
        <v>5.3800000000000001E-2</v>
      </c>
      <c r="N266" s="15">
        <v>10</v>
      </c>
      <c r="O266" t="s">
        <v>27</v>
      </c>
      <c r="P266" t="s">
        <v>28</v>
      </c>
      <c r="Q266" s="24">
        <v>0.65</v>
      </c>
      <c r="R266" s="5">
        <f t="shared" si="24"/>
        <v>2369.9647232876714</v>
      </c>
      <c r="S266" s="5">
        <f t="shared" si="25"/>
        <v>116.89044931506849</v>
      </c>
      <c r="T266" s="5">
        <f t="shared" si="26"/>
        <v>2253.0742739726029</v>
      </c>
      <c r="U266" s="15">
        <f t="shared" si="27"/>
        <v>80</v>
      </c>
      <c r="V266" s="3">
        <f t="shared" si="28"/>
        <v>3474.2644300000002</v>
      </c>
      <c r="W266" s="3">
        <f t="shared" si="29"/>
        <v>265</v>
      </c>
    </row>
    <row r="267" spans="1:23" x14ac:dyDescent="0.2">
      <c r="A267" t="s">
        <v>223</v>
      </c>
      <c r="B267" t="s">
        <v>224</v>
      </c>
      <c r="C267" t="s">
        <v>36</v>
      </c>
      <c r="D267" t="s">
        <v>48</v>
      </c>
      <c r="E267" t="s">
        <v>25</v>
      </c>
      <c r="F267" s="7">
        <v>3916164</v>
      </c>
      <c r="G267" t="s">
        <v>225</v>
      </c>
      <c r="H267" s="5">
        <v>66600</v>
      </c>
      <c r="I267" s="12">
        <v>46060</v>
      </c>
      <c r="J267" s="15">
        <v>45</v>
      </c>
      <c r="K267" s="15">
        <v>10</v>
      </c>
      <c r="L267" s="9">
        <v>0.1119</v>
      </c>
      <c r="M267" s="9">
        <v>4.6699999999999998E-2</v>
      </c>
      <c r="N267" s="15">
        <v>7</v>
      </c>
      <c r="O267" t="s">
        <v>28</v>
      </c>
      <c r="P267" t="s">
        <v>28</v>
      </c>
      <c r="Q267" s="24">
        <v>0.8</v>
      </c>
      <c r="R267" s="5">
        <f t="shared" si="24"/>
        <v>918.80630136986292</v>
      </c>
      <c r="S267" s="5">
        <f t="shared" si="25"/>
        <v>59.648054794520547</v>
      </c>
      <c r="T267" s="5">
        <f t="shared" si="26"/>
        <v>859.15824657534233</v>
      </c>
      <c r="U267" s="15">
        <f t="shared" si="27"/>
        <v>38</v>
      </c>
      <c r="V267" s="3">
        <f t="shared" si="28"/>
        <v>3473.8560000000007</v>
      </c>
      <c r="W267" s="3">
        <f t="shared" si="29"/>
        <v>266</v>
      </c>
    </row>
    <row r="268" spans="1:23" x14ac:dyDescent="0.2">
      <c r="A268" t="s">
        <v>39</v>
      </c>
      <c r="B268" t="s">
        <v>40</v>
      </c>
      <c r="C268" t="s">
        <v>41</v>
      </c>
      <c r="D268" t="s">
        <v>32</v>
      </c>
      <c r="E268" t="s">
        <v>25</v>
      </c>
      <c r="F268" s="7">
        <v>6162123</v>
      </c>
      <c r="G268" t="s">
        <v>42</v>
      </c>
      <c r="H268" s="5">
        <v>109605</v>
      </c>
      <c r="I268" s="12">
        <v>45770</v>
      </c>
      <c r="J268" s="15">
        <v>90</v>
      </c>
      <c r="K268" s="15">
        <v>7</v>
      </c>
      <c r="L268" s="9">
        <v>0.1231</v>
      </c>
      <c r="M268" s="9">
        <v>5.9900000000000002E-2</v>
      </c>
      <c r="N268" s="15">
        <v>7</v>
      </c>
      <c r="O268" t="s">
        <v>27</v>
      </c>
      <c r="P268" t="s">
        <v>28</v>
      </c>
      <c r="Q268" s="24">
        <v>0.5</v>
      </c>
      <c r="R268" s="5">
        <f t="shared" si="24"/>
        <v>3326.8871095890408</v>
      </c>
      <c r="S268" s="5">
        <f t="shared" si="25"/>
        <v>125.91062054794521</v>
      </c>
      <c r="T268" s="5">
        <f t="shared" si="26"/>
        <v>3200.9764890410956</v>
      </c>
      <c r="U268" s="15">
        <f t="shared" si="27"/>
        <v>83</v>
      </c>
      <c r="V268" s="3">
        <f t="shared" si="28"/>
        <v>3463.5180000000005</v>
      </c>
      <c r="W268" s="3">
        <f t="shared" si="29"/>
        <v>267</v>
      </c>
    </row>
    <row r="269" spans="1:23" x14ac:dyDescent="0.2">
      <c r="A269" t="s">
        <v>206</v>
      </c>
      <c r="B269" t="s">
        <v>207</v>
      </c>
      <c r="C269" t="s">
        <v>77</v>
      </c>
      <c r="D269" t="s">
        <v>32</v>
      </c>
      <c r="E269" t="s">
        <v>25</v>
      </c>
      <c r="F269" s="7">
        <v>3819447</v>
      </c>
      <c r="G269" t="s">
        <v>803</v>
      </c>
      <c r="H269" s="5">
        <v>90005</v>
      </c>
      <c r="I269" s="12">
        <v>45700</v>
      </c>
      <c r="J269" s="15">
        <v>60</v>
      </c>
      <c r="K269" s="15">
        <v>2</v>
      </c>
      <c r="L269" s="9">
        <v>0.12620000000000001</v>
      </c>
      <c r="M269" s="9">
        <v>4.9399999999999999E-2</v>
      </c>
      <c r="N269" s="15">
        <v>7</v>
      </c>
      <c r="O269" t="s">
        <v>27</v>
      </c>
      <c r="P269" t="s">
        <v>28</v>
      </c>
      <c r="Q269" s="24">
        <v>0.5</v>
      </c>
      <c r="R269" s="5">
        <f t="shared" si="24"/>
        <v>1867.1722191780823</v>
      </c>
      <c r="S269" s="5">
        <f t="shared" si="25"/>
        <v>85.270490410958914</v>
      </c>
      <c r="T269" s="5">
        <f t="shared" si="26"/>
        <v>1781.9017287671234</v>
      </c>
      <c r="U269" s="15">
        <f t="shared" si="27"/>
        <v>53</v>
      </c>
      <c r="V269" s="3">
        <f t="shared" si="28"/>
        <v>3456.1920000000005</v>
      </c>
      <c r="W269" s="3">
        <f t="shared" si="29"/>
        <v>268</v>
      </c>
    </row>
    <row r="270" spans="1:23" x14ac:dyDescent="0.2">
      <c r="A270" t="s">
        <v>488</v>
      </c>
      <c r="B270" t="s">
        <v>489</v>
      </c>
      <c r="C270" t="s">
        <v>31</v>
      </c>
      <c r="D270" t="s">
        <v>37</v>
      </c>
      <c r="E270" t="s">
        <v>25</v>
      </c>
      <c r="F270" s="7">
        <v>6687670</v>
      </c>
      <c r="G270" t="s">
        <v>1216</v>
      </c>
      <c r="H270" s="5">
        <v>77509</v>
      </c>
      <c r="I270" s="12">
        <v>45933</v>
      </c>
      <c r="J270" s="15">
        <v>60</v>
      </c>
      <c r="K270" s="15">
        <v>4</v>
      </c>
      <c r="L270" s="9">
        <v>0.1013</v>
      </c>
      <c r="M270" s="9">
        <v>5.1799999999999999E-2</v>
      </c>
      <c r="N270" s="15">
        <v>8</v>
      </c>
      <c r="O270" t="s">
        <v>27</v>
      </c>
      <c r="P270" t="s">
        <v>28</v>
      </c>
      <c r="Q270" s="24">
        <v>0.9</v>
      </c>
      <c r="R270" s="5">
        <f t="shared" si="24"/>
        <v>1290.6841150684929</v>
      </c>
      <c r="S270" s="5">
        <f t="shared" si="25"/>
        <v>87.999259178082184</v>
      </c>
      <c r="T270" s="5">
        <f t="shared" si="26"/>
        <v>1202.6848558904107</v>
      </c>
      <c r="U270" s="15">
        <f t="shared" si="27"/>
        <v>52</v>
      </c>
      <c r="V270" s="3">
        <f t="shared" si="28"/>
        <v>3453.0259500000006</v>
      </c>
      <c r="W270" s="3">
        <f t="shared" si="29"/>
        <v>269</v>
      </c>
    </row>
    <row r="271" spans="1:23" x14ac:dyDescent="0.2">
      <c r="A271" t="s">
        <v>123</v>
      </c>
      <c r="B271" t="s">
        <v>124</v>
      </c>
      <c r="C271" t="s">
        <v>31</v>
      </c>
      <c r="D271" t="s">
        <v>32</v>
      </c>
      <c r="E271" t="s">
        <v>25</v>
      </c>
      <c r="F271" s="7">
        <v>5642255</v>
      </c>
      <c r="G271" t="s">
        <v>1169</v>
      </c>
      <c r="H271" s="5">
        <v>91433</v>
      </c>
      <c r="I271" s="12">
        <v>45910</v>
      </c>
      <c r="J271" s="15">
        <v>45</v>
      </c>
      <c r="K271" s="15">
        <v>3</v>
      </c>
      <c r="L271" s="9">
        <v>0.1119</v>
      </c>
      <c r="M271" s="9">
        <v>6.4699999999999994E-2</v>
      </c>
      <c r="N271" s="15">
        <v>8</v>
      </c>
      <c r="O271" t="s">
        <v>28</v>
      </c>
      <c r="P271" t="s">
        <v>28</v>
      </c>
      <c r="Q271" s="24">
        <v>0.8</v>
      </c>
      <c r="R271" s="5">
        <f t="shared" si="24"/>
        <v>1261.3996479452053</v>
      </c>
      <c r="S271" s="5">
        <f t="shared" si="25"/>
        <v>129.65950904109587</v>
      </c>
      <c r="T271" s="5">
        <f t="shared" si="26"/>
        <v>1131.7401389041095</v>
      </c>
      <c r="U271" s="15">
        <f t="shared" si="27"/>
        <v>37</v>
      </c>
      <c r="V271" s="3">
        <f t="shared" si="28"/>
        <v>3452.5100800000009</v>
      </c>
      <c r="W271" s="3">
        <f t="shared" si="29"/>
        <v>270</v>
      </c>
    </row>
    <row r="272" spans="1:23" x14ac:dyDescent="0.2">
      <c r="A272" t="s">
        <v>293</v>
      </c>
      <c r="B272" t="s">
        <v>231</v>
      </c>
      <c r="C272" t="s">
        <v>36</v>
      </c>
      <c r="D272" t="s">
        <v>32</v>
      </c>
      <c r="E272" t="s">
        <v>25</v>
      </c>
      <c r="F272" s="7">
        <v>3723173</v>
      </c>
      <c r="G272" t="s">
        <v>960</v>
      </c>
      <c r="H272" s="5">
        <v>81588</v>
      </c>
      <c r="I272" s="12">
        <v>45699</v>
      </c>
      <c r="J272" s="15">
        <v>30</v>
      </c>
      <c r="K272" s="15">
        <v>5</v>
      </c>
      <c r="L272" s="9">
        <v>0.1069</v>
      </c>
      <c r="M272" s="9">
        <v>6.0100000000000001E-2</v>
      </c>
      <c r="N272" s="15">
        <v>10</v>
      </c>
      <c r="O272" t="s">
        <v>27</v>
      </c>
      <c r="P272" t="s">
        <v>28</v>
      </c>
      <c r="Q272" s="24">
        <v>0.9</v>
      </c>
      <c r="R272" s="5">
        <f t="shared" si="24"/>
        <v>716.85675616438357</v>
      </c>
      <c r="S272" s="5">
        <f t="shared" si="25"/>
        <v>134.34078904109589</v>
      </c>
      <c r="T272" s="5">
        <f t="shared" si="26"/>
        <v>582.51596712328774</v>
      </c>
      <c r="U272" s="15">
        <f t="shared" si="27"/>
        <v>20</v>
      </c>
      <c r="V272" s="3">
        <f t="shared" si="28"/>
        <v>3436.4865599999998</v>
      </c>
      <c r="W272" s="3">
        <f t="shared" si="29"/>
        <v>271</v>
      </c>
    </row>
    <row r="273" spans="1:23" x14ac:dyDescent="0.2">
      <c r="A273" t="s">
        <v>889</v>
      </c>
      <c r="B273" t="s">
        <v>286</v>
      </c>
      <c r="C273" t="s">
        <v>23</v>
      </c>
      <c r="D273" t="s">
        <v>66</v>
      </c>
      <c r="E273" t="s">
        <v>49</v>
      </c>
      <c r="F273" s="7">
        <v>1374525</v>
      </c>
      <c r="G273" t="s">
        <v>1717</v>
      </c>
      <c r="H273" s="5">
        <v>54300</v>
      </c>
      <c r="I273" s="12">
        <v>45966</v>
      </c>
      <c r="J273" s="15">
        <v>45</v>
      </c>
      <c r="K273" s="15">
        <v>2</v>
      </c>
      <c r="L273" s="9">
        <v>0.13320000000000001</v>
      </c>
      <c r="M273" s="9">
        <v>6.2899999999999998E-2</v>
      </c>
      <c r="N273" s="15">
        <v>6</v>
      </c>
      <c r="O273" t="s">
        <v>27</v>
      </c>
      <c r="P273" t="s">
        <v>28</v>
      </c>
      <c r="Q273" s="24">
        <v>0.9</v>
      </c>
      <c r="R273" s="5">
        <f t="shared" si="24"/>
        <v>891.71013698630145</v>
      </c>
      <c r="S273" s="5">
        <f t="shared" si="25"/>
        <v>56.144712328767113</v>
      </c>
      <c r="T273" s="5">
        <f t="shared" si="26"/>
        <v>835.56542465753432</v>
      </c>
      <c r="U273" s="15">
        <f t="shared" si="27"/>
        <v>39</v>
      </c>
      <c r="V273" s="3">
        <f t="shared" si="28"/>
        <v>3435.5610000000011</v>
      </c>
      <c r="W273" s="3">
        <f t="shared" si="29"/>
        <v>272</v>
      </c>
    </row>
    <row r="274" spans="1:23" x14ac:dyDescent="0.2">
      <c r="A274" t="s">
        <v>472</v>
      </c>
      <c r="B274" t="s">
        <v>164</v>
      </c>
      <c r="C274" t="s">
        <v>31</v>
      </c>
      <c r="D274" t="s">
        <v>37</v>
      </c>
      <c r="E274" t="s">
        <v>25</v>
      </c>
      <c r="F274" s="7">
        <v>5598489</v>
      </c>
      <c r="G274" t="s">
        <v>642</v>
      </c>
      <c r="H274" s="5">
        <v>71048</v>
      </c>
      <c r="I274" s="12">
        <v>45682</v>
      </c>
      <c r="J274" s="15">
        <v>60</v>
      </c>
      <c r="K274" s="15">
        <v>7</v>
      </c>
      <c r="L274" s="9">
        <v>0.1178</v>
      </c>
      <c r="M274" s="9">
        <v>6.4100000000000004E-2</v>
      </c>
      <c r="N274" s="15">
        <v>6</v>
      </c>
      <c r="O274" t="s">
        <v>27</v>
      </c>
      <c r="P274" t="s">
        <v>28</v>
      </c>
      <c r="Q274" s="24">
        <v>0.9</v>
      </c>
      <c r="R274" s="5">
        <f t="shared" si="24"/>
        <v>1375.8007232876712</v>
      </c>
      <c r="S274" s="5">
        <f t="shared" si="25"/>
        <v>74.863180273972603</v>
      </c>
      <c r="T274" s="5">
        <f t="shared" si="26"/>
        <v>1300.9375430136986</v>
      </c>
      <c r="U274" s="15">
        <f t="shared" si="27"/>
        <v>54</v>
      </c>
      <c r="V274" s="3">
        <f t="shared" si="28"/>
        <v>3433.7498399999999</v>
      </c>
      <c r="W274" s="3">
        <f t="shared" si="29"/>
        <v>273</v>
      </c>
    </row>
    <row r="275" spans="1:23" x14ac:dyDescent="0.2">
      <c r="A275" t="s">
        <v>34</v>
      </c>
      <c r="B275" t="s">
        <v>35</v>
      </c>
      <c r="C275" t="s">
        <v>36</v>
      </c>
      <c r="D275" t="s">
        <v>37</v>
      </c>
      <c r="E275" t="s">
        <v>25</v>
      </c>
      <c r="F275" s="7">
        <v>3714458</v>
      </c>
      <c r="G275" t="s">
        <v>38</v>
      </c>
      <c r="H275" s="5">
        <v>59049</v>
      </c>
      <c r="I275" s="12">
        <v>46056</v>
      </c>
      <c r="J275" s="15">
        <v>60</v>
      </c>
      <c r="K275" s="15">
        <v>10</v>
      </c>
      <c r="L275" s="9">
        <v>0.1153</v>
      </c>
      <c r="M275" s="9">
        <v>5.0900000000000001E-2</v>
      </c>
      <c r="N275" s="15">
        <v>8</v>
      </c>
      <c r="O275" t="s">
        <v>27</v>
      </c>
      <c r="P275" t="s">
        <v>28</v>
      </c>
      <c r="Q275" s="24">
        <v>0.9</v>
      </c>
      <c r="R275" s="5">
        <f t="shared" si="24"/>
        <v>1119.1807726027396</v>
      </c>
      <c r="S275" s="5">
        <f t="shared" si="25"/>
        <v>65.876035068493152</v>
      </c>
      <c r="T275" s="5">
        <f t="shared" si="26"/>
        <v>1053.3047375342464</v>
      </c>
      <c r="U275" s="15">
        <f t="shared" si="27"/>
        <v>52</v>
      </c>
      <c r="V275" s="3">
        <f t="shared" si="28"/>
        <v>3422.4800399999999</v>
      </c>
      <c r="W275" s="3">
        <f t="shared" si="29"/>
        <v>274</v>
      </c>
    </row>
    <row r="276" spans="1:23" x14ac:dyDescent="0.2">
      <c r="A276" t="s">
        <v>189</v>
      </c>
      <c r="B276" t="s">
        <v>190</v>
      </c>
      <c r="C276" t="s">
        <v>36</v>
      </c>
      <c r="D276" t="s">
        <v>37</v>
      </c>
      <c r="E276" t="s">
        <v>49</v>
      </c>
      <c r="F276" s="7">
        <v>965613</v>
      </c>
      <c r="G276" t="s">
        <v>1430</v>
      </c>
      <c r="H276" s="5">
        <v>108563</v>
      </c>
      <c r="I276" s="12">
        <v>45716</v>
      </c>
      <c r="J276" s="15">
        <v>60</v>
      </c>
      <c r="K276" s="15">
        <v>2</v>
      </c>
      <c r="L276" s="9">
        <v>0.1109</v>
      </c>
      <c r="M276" s="9">
        <v>4.8000000000000001E-2</v>
      </c>
      <c r="N276" s="15">
        <v>8</v>
      </c>
      <c r="O276" t="s">
        <v>27</v>
      </c>
      <c r="P276" t="s">
        <v>28</v>
      </c>
      <c r="Q276" s="24">
        <v>0.5</v>
      </c>
      <c r="R276" s="5">
        <f t="shared" si="24"/>
        <v>1979.1183616438354</v>
      </c>
      <c r="S276" s="5">
        <f t="shared" si="25"/>
        <v>114.21422465753426</v>
      </c>
      <c r="T276" s="5">
        <f t="shared" si="26"/>
        <v>1864.9041369863012</v>
      </c>
      <c r="U276" s="15">
        <f t="shared" si="27"/>
        <v>52</v>
      </c>
      <c r="V276" s="3">
        <f t="shared" si="28"/>
        <v>3414.3063499999998</v>
      </c>
      <c r="W276" s="3">
        <f t="shared" si="29"/>
        <v>275</v>
      </c>
    </row>
    <row r="277" spans="1:23" x14ac:dyDescent="0.2">
      <c r="A277" t="s">
        <v>174</v>
      </c>
      <c r="B277" t="s">
        <v>175</v>
      </c>
      <c r="C277" t="s">
        <v>41</v>
      </c>
      <c r="D277" t="s">
        <v>37</v>
      </c>
      <c r="E277" t="s">
        <v>49</v>
      </c>
      <c r="F277" s="7">
        <v>1267987</v>
      </c>
      <c r="G277" t="s">
        <v>584</v>
      </c>
      <c r="H277" s="5">
        <v>88923</v>
      </c>
      <c r="I277" s="12">
        <v>45672</v>
      </c>
      <c r="J277" s="15">
        <v>60</v>
      </c>
      <c r="K277" s="15">
        <v>4</v>
      </c>
      <c r="L277" s="9">
        <v>0.125</v>
      </c>
      <c r="M277" s="9">
        <v>4.8300000000000003E-2</v>
      </c>
      <c r="N277" s="15">
        <v>7</v>
      </c>
      <c r="O277" t="s">
        <v>27</v>
      </c>
      <c r="P277" t="s">
        <v>28</v>
      </c>
      <c r="Q277" s="24">
        <v>0.5</v>
      </c>
      <c r="R277" s="5">
        <f t="shared" si="24"/>
        <v>1827.1849315068491</v>
      </c>
      <c r="S277" s="5">
        <f t="shared" si="25"/>
        <v>82.369496712328782</v>
      </c>
      <c r="T277" s="5">
        <f t="shared" si="26"/>
        <v>1744.8154347945203</v>
      </c>
      <c r="U277" s="15">
        <f t="shared" si="27"/>
        <v>53</v>
      </c>
      <c r="V277" s="3">
        <f t="shared" si="28"/>
        <v>3410.1970499999998</v>
      </c>
      <c r="W277" s="3">
        <f t="shared" si="29"/>
        <v>276</v>
      </c>
    </row>
    <row r="278" spans="1:23" x14ac:dyDescent="0.2">
      <c r="A278" t="s">
        <v>61</v>
      </c>
      <c r="B278" t="s">
        <v>62</v>
      </c>
      <c r="C278" t="s">
        <v>31</v>
      </c>
      <c r="D278" t="s">
        <v>48</v>
      </c>
      <c r="E278" t="s">
        <v>25</v>
      </c>
      <c r="F278" s="7">
        <v>3350013</v>
      </c>
      <c r="G278" t="s">
        <v>63</v>
      </c>
      <c r="H278" s="5">
        <v>63717</v>
      </c>
      <c r="I278" s="12">
        <v>45853</v>
      </c>
      <c r="J278" s="15">
        <v>30</v>
      </c>
      <c r="K278" s="15">
        <v>7</v>
      </c>
      <c r="L278" s="9">
        <v>0.1144</v>
      </c>
      <c r="M278" s="9">
        <v>4.7500000000000001E-2</v>
      </c>
      <c r="N278" s="15">
        <v>7</v>
      </c>
      <c r="O278" t="s">
        <v>27</v>
      </c>
      <c r="P278" t="s">
        <v>28</v>
      </c>
      <c r="Q278" s="24">
        <v>0.8</v>
      </c>
      <c r="R278" s="5">
        <f t="shared" si="24"/>
        <v>599.11436712328759</v>
      </c>
      <c r="S278" s="5">
        <f t="shared" si="25"/>
        <v>58.043568493150687</v>
      </c>
      <c r="T278" s="5">
        <f t="shared" si="26"/>
        <v>541.07079863013689</v>
      </c>
      <c r="U278" s="15">
        <f t="shared" si="27"/>
        <v>23</v>
      </c>
      <c r="V278" s="3">
        <f t="shared" si="28"/>
        <v>3410.1338400000004</v>
      </c>
      <c r="W278" s="3">
        <f t="shared" si="29"/>
        <v>277</v>
      </c>
    </row>
    <row r="279" spans="1:23" x14ac:dyDescent="0.2">
      <c r="A279" t="s">
        <v>166</v>
      </c>
      <c r="B279" t="s">
        <v>167</v>
      </c>
      <c r="C279" t="s">
        <v>41</v>
      </c>
      <c r="D279" t="s">
        <v>24</v>
      </c>
      <c r="E279" t="s">
        <v>25</v>
      </c>
      <c r="F279" s="7">
        <v>6222733</v>
      </c>
      <c r="G279" t="s">
        <v>1637</v>
      </c>
      <c r="H279" s="5">
        <v>106388</v>
      </c>
      <c r="I279" s="12">
        <v>45898</v>
      </c>
      <c r="J279" s="15">
        <v>90</v>
      </c>
      <c r="K279" s="15">
        <v>3</v>
      </c>
      <c r="L279" s="9">
        <v>0.13980000000000001</v>
      </c>
      <c r="M279" s="9">
        <v>4.8300000000000003E-2</v>
      </c>
      <c r="N279" s="15">
        <v>8</v>
      </c>
      <c r="O279" t="s">
        <v>28</v>
      </c>
      <c r="P279" t="s">
        <v>28</v>
      </c>
      <c r="Q279" s="24">
        <v>0.35</v>
      </c>
      <c r="R279" s="5">
        <f t="shared" si="24"/>
        <v>3667.3255232876709</v>
      </c>
      <c r="S279" s="5">
        <f t="shared" si="25"/>
        <v>112.62554301369863</v>
      </c>
      <c r="T279" s="5">
        <f t="shared" si="26"/>
        <v>3554.6999802739724</v>
      </c>
      <c r="U279" s="15">
        <f t="shared" si="27"/>
        <v>82</v>
      </c>
      <c r="V279" s="3">
        <f t="shared" si="28"/>
        <v>3407.0756999999999</v>
      </c>
      <c r="W279" s="3">
        <f t="shared" si="29"/>
        <v>278</v>
      </c>
    </row>
    <row r="280" spans="1:23" x14ac:dyDescent="0.2">
      <c r="A280" t="s">
        <v>142</v>
      </c>
      <c r="B280" t="s">
        <v>143</v>
      </c>
      <c r="C280" t="s">
        <v>36</v>
      </c>
      <c r="D280" t="s">
        <v>66</v>
      </c>
      <c r="E280" t="s">
        <v>49</v>
      </c>
      <c r="F280" s="7">
        <v>735440</v>
      </c>
      <c r="G280" t="s">
        <v>1255</v>
      </c>
      <c r="H280" s="5">
        <v>52824</v>
      </c>
      <c r="I280" s="12">
        <v>45887</v>
      </c>
      <c r="J280" s="15">
        <v>45</v>
      </c>
      <c r="K280" s="15">
        <v>3</v>
      </c>
      <c r="L280" s="9">
        <v>0.13020000000000001</v>
      </c>
      <c r="M280" s="9">
        <v>4.99E-2</v>
      </c>
      <c r="N280" s="15">
        <v>6</v>
      </c>
      <c r="O280" t="s">
        <v>27</v>
      </c>
      <c r="P280" t="s">
        <v>28</v>
      </c>
      <c r="Q280" s="24">
        <v>0.8</v>
      </c>
      <c r="R280" s="5">
        <f t="shared" si="24"/>
        <v>847.93374246575354</v>
      </c>
      <c r="S280" s="5">
        <f t="shared" si="25"/>
        <v>43.33015232876712</v>
      </c>
      <c r="T280" s="5">
        <f t="shared" si="26"/>
        <v>804.60359013698644</v>
      </c>
      <c r="U280" s="15">
        <f t="shared" si="27"/>
        <v>39</v>
      </c>
      <c r="V280" s="3">
        <f t="shared" si="28"/>
        <v>3393.4137600000004</v>
      </c>
      <c r="W280" s="3">
        <f t="shared" si="29"/>
        <v>279</v>
      </c>
    </row>
    <row r="281" spans="1:23" x14ac:dyDescent="0.2">
      <c r="A281" t="s">
        <v>401</v>
      </c>
      <c r="B281" t="s">
        <v>402</v>
      </c>
      <c r="C281" t="s">
        <v>41</v>
      </c>
      <c r="D281" t="s">
        <v>32</v>
      </c>
      <c r="E281" t="s">
        <v>25</v>
      </c>
      <c r="F281" s="7">
        <v>4153903</v>
      </c>
      <c r="G281" t="s">
        <v>879</v>
      </c>
      <c r="H281" s="5">
        <v>75898</v>
      </c>
      <c r="I281" s="12">
        <v>45967</v>
      </c>
      <c r="J281" s="15">
        <v>30</v>
      </c>
      <c r="K281" s="15">
        <v>5</v>
      </c>
      <c r="L281" s="9">
        <v>0.13669999999999999</v>
      </c>
      <c r="M281" s="9">
        <v>4.7300000000000002E-2</v>
      </c>
      <c r="N281" s="15">
        <v>8</v>
      </c>
      <c r="O281" t="s">
        <v>27</v>
      </c>
      <c r="P281" t="s">
        <v>28</v>
      </c>
      <c r="Q281" s="24">
        <v>0.5</v>
      </c>
      <c r="R281" s="5">
        <f t="shared" si="24"/>
        <v>852.76081643835607</v>
      </c>
      <c r="S281" s="5">
        <f t="shared" si="25"/>
        <v>78.684392328767132</v>
      </c>
      <c r="T281" s="5">
        <f t="shared" si="26"/>
        <v>774.07642410958897</v>
      </c>
      <c r="U281" s="15">
        <f t="shared" si="27"/>
        <v>22</v>
      </c>
      <c r="V281" s="3">
        <f t="shared" si="28"/>
        <v>3392.6405999999993</v>
      </c>
      <c r="W281" s="3">
        <f t="shared" si="29"/>
        <v>280</v>
      </c>
    </row>
    <row r="282" spans="1:23" x14ac:dyDescent="0.2">
      <c r="A282" t="s">
        <v>654</v>
      </c>
      <c r="B282" t="s">
        <v>110</v>
      </c>
      <c r="C282" t="s">
        <v>23</v>
      </c>
      <c r="D282" t="s">
        <v>66</v>
      </c>
      <c r="E282" t="s">
        <v>25</v>
      </c>
      <c r="F282" s="7">
        <v>6809493</v>
      </c>
      <c r="G282" t="s">
        <v>1055</v>
      </c>
      <c r="H282" s="5">
        <v>83791</v>
      </c>
      <c r="I282" s="12">
        <v>46063</v>
      </c>
      <c r="J282" s="15">
        <v>60</v>
      </c>
      <c r="K282" s="15">
        <v>5</v>
      </c>
      <c r="L282" s="9">
        <v>0.121</v>
      </c>
      <c r="M282" s="9">
        <v>5.8900000000000001E-2</v>
      </c>
      <c r="N282" s="15">
        <v>5</v>
      </c>
      <c r="O282" t="s">
        <v>27</v>
      </c>
      <c r="P282" t="s">
        <v>28</v>
      </c>
      <c r="Q282" s="24">
        <v>0.65</v>
      </c>
      <c r="R282" s="5">
        <f t="shared" si="24"/>
        <v>1666.637424657534</v>
      </c>
      <c r="S282" s="5">
        <f t="shared" si="25"/>
        <v>67.606710958904102</v>
      </c>
      <c r="T282" s="5">
        <f t="shared" si="26"/>
        <v>1599.0307136986298</v>
      </c>
      <c r="U282" s="15">
        <f t="shared" si="27"/>
        <v>55</v>
      </c>
      <c r="V282" s="3">
        <f t="shared" si="28"/>
        <v>3382.2237149999996</v>
      </c>
      <c r="W282" s="3">
        <f t="shared" si="29"/>
        <v>281</v>
      </c>
    </row>
    <row r="283" spans="1:23" x14ac:dyDescent="0.2">
      <c r="A283" t="s">
        <v>325</v>
      </c>
      <c r="B283" t="s">
        <v>326</v>
      </c>
      <c r="C283" t="s">
        <v>36</v>
      </c>
      <c r="D283" t="s">
        <v>48</v>
      </c>
      <c r="E283" t="s">
        <v>49</v>
      </c>
      <c r="F283" s="7">
        <v>467236</v>
      </c>
      <c r="G283" t="s">
        <v>1112</v>
      </c>
      <c r="H283" s="5">
        <v>77991</v>
      </c>
      <c r="I283" s="12">
        <v>45907</v>
      </c>
      <c r="J283" s="15">
        <v>30</v>
      </c>
      <c r="K283" s="15">
        <v>2</v>
      </c>
      <c r="L283" s="9">
        <v>0.1757</v>
      </c>
      <c r="M283" s="9">
        <v>5.1799999999999999E-2</v>
      </c>
      <c r="N283" s="15">
        <v>5</v>
      </c>
      <c r="O283" t="s">
        <v>27</v>
      </c>
      <c r="P283" t="s">
        <v>28</v>
      </c>
      <c r="Q283" s="24">
        <v>0.35</v>
      </c>
      <c r="R283" s="5">
        <f t="shared" si="24"/>
        <v>1126.2755095890409</v>
      </c>
      <c r="S283" s="5">
        <f t="shared" si="25"/>
        <v>55.341558904109583</v>
      </c>
      <c r="T283" s="5">
        <f t="shared" si="26"/>
        <v>1070.9339506849312</v>
      </c>
      <c r="U283" s="15">
        <f t="shared" si="27"/>
        <v>25</v>
      </c>
      <c r="V283" s="3">
        <f t="shared" si="28"/>
        <v>3382.0797149999994</v>
      </c>
      <c r="W283" s="3">
        <f t="shared" si="29"/>
        <v>282</v>
      </c>
    </row>
    <row r="284" spans="1:23" x14ac:dyDescent="0.2">
      <c r="A284" t="s">
        <v>580</v>
      </c>
      <c r="B284" t="s">
        <v>76</v>
      </c>
      <c r="C284" t="s">
        <v>77</v>
      </c>
      <c r="D284" t="s">
        <v>66</v>
      </c>
      <c r="E284" t="s">
        <v>49</v>
      </c>
      <c r="F284" s="7">
        <v>959016</v>
      </c>
      <c r="G284" t="s">
        <v>1218</v>
      </c>
      <c r="H284" s="5">
        <v>94554</v>
      </c>
      <c r="I284" s="12">
        <v>45690</v>
      </c>
      <c r="J284" s="15">
        <v>60</v>
      </c>
      <c r="K284" s="15">
        <v>7</v>
      </c>
      <c r="L284" s="9">
        <v>0.1115</v>
      </c>
      <c r="M284" s="9">
        <v>5.6500000000000002E-2</v>
      </c>
      <c r="N284" s="15">
        <v>8</v>
      </c>
      <c r="O284" t="s">
        <v>27</v>
      </c>
      <c r="P284" t="s">
        <v>28</v>
      </c>
      <c r="Q284" s="24">
        <v>0.65</v>
      </c>
      <c r="R284" s="5">
        <f t="shared" si="24"/>
        <v>1733.0582465753425</v>
      </c>
      <c r="S284" s="5">
        <f t="shared" si="25"/>
        <v>117.09152876712329</v>
      </c>
      <c r="T284" s="5">
        <f t="shared" si="26"/>
        <v>1615.9667178082193</v>
      </c>
      <c r="U284" s="15">
        <f t="shared" si="27"/>
        <v>52</v>
      </c>
      <c r="V284" s="3">
        <f t="shared" si="28"/>
        <v>3380.3055000000004</v>
      </c>
      <c r="W284" s="3">
        <f t="shared" si="29"/>
        <v>283</v>
      </c>
    </row>
    <row r="285" spans="1:23" x14ac:dyDescent="0.2">
      <c r="A285" t="s">
        <v>325</v>
      </c>
      <c r="B285" t="s">
        <v>326</v>
      </c>
      <c r="C285" t="s">
        <v>36</v>
      </c>
      <c r="D285" t="s">
        <v>48</v>
      </c>
      <c r="E285" t="s">
        <v>49</v>
      </c>
      <c r="F285" s="7">
        <v>467236</v>
      </c>
      <c r="G285" t="s">
        <v>1375</v>
      </c>
      <c r="H285" s="5">
        <v>30811</v>
      </c>
      <c r="I285" s="12">
        <v>46042</v>
      </c>
      <c r="J285" s="15">
        <v>30</v>
      </c>
      <c r="K285" s="15">
        <v>3</v>
      </c>
      <c r="L285" s="9">
        <v>0.1757</v>
      </c>
      <c r="M285" s="9">
        <v>5.4100000000000002E-2</v>
      </c>
      <c r="N285" s="15">
        <v>8</v>
      </c>
      <c r="O285" t="s">
        <v>28</v>
      </c>
      <c r="P285" t="s">
        <v>28</v>
      </c>
      <c r="Q285" s="24">
        <v>0.9</v>
      </c>
      <c r="R285" s="5">
        <f t="shared" si="24"/>
        <v>444.94460547945204</v>
      </c>
      <c r="S285" s="5">
        <f t="shared" si="25"/>
        <v>36.534248767123287</v>
      </c>
      <c r="T285" s="5">
        <f t="shared" si="26"/>
        <v>408.41035671232873</v>
      </c>
      <c r="U285" s="15">
        <f t="shared" si="27"/>
        <v>22</v>
      </c>
      <c r="V285" s="3">
        <f t="shared" si="28"/>
        <v>3371.9558400000001</v>
      </c>
      <c r="W285" s="3">
        <f t="shared" si="29"/>
        <v>284</v>
      </c>
    </row>
    <row r="286" spans="1:23" x14ac:dyDescent="0.2">
      <c r="A286" t="s">
        <v>249</v>
      </c>
      <c r="B286" t="s">
        <v>250</v>
      </c>
      <c r="C286" t="s">
        <v>23</v>
      </c>
      <c r="D286" t="s">
        <v>66</v>
      </c>
      <c r="E286" t="s">
        <v>25</v>
      </c>
      <c r="F286" s="7">
        <v>2803992</v>
      </c>
      <c r="G286" t="s">
        <v>1590</v>
      </c>
      <c r="H286" s="5">
        <v>70950</v>
      </c>
      <c r="I286" s="12">
        <v>46050</v>
      </c>
      <c r="J286" s="15">
        <v>60</v>
      </c>
      <c r="K286" s="15">
        <v>5</v>
      </c>
      <c r="L286" s="9">
        <v>0.1036</v>
      </c>
      <c r="M286" s="9">
        <v>5.0799999999999998E-2</v>
      </c>
      <c r="N286" s="15">
        <v>8</v>
      </c>
      <c r="O286" t="s">
        <v>27</v>
      </c>
      <c r="P286" t="s">
        <v>28</v>
      </c>
      <c r="Q286" s="24">
        <v>0.9</v>
      </c>
      <c r="R286" s="5">
        <f t="shared" si="24"/>
        <v>1208.288219178082</v>
      </c>
      <c r="S286" s="5">
        <f t="shared" si="25"/>
        <v>78.99747945205479</v>
      </c>
      <c r="T286" s="5">
        <f t="shared" si="26"/>
        <v>1129.2907397260274</v>
      </c>
      <c r="U286" s="15">
        <f t="shared" si="27"/>
        <v>52</v>
      </c>
      <c r="V286" s="3">
        <f t="shared" si="28"/>
        <v>3371.5439999999999</v>
      </c>
      <c r="W286" s="3">
        <f t="shared" si="29"/>
        <v>285</v>
      </c>
    </row>
    <row r="287" spans="1:23" x14ac:dyDescent="0.2">
      <c r="A287" t="s">
        <v>94</v>
      </c>
      <c r="B287" t="s">
        <v>95</v>
      </c>
      <c r="C287" t="s">
        <v>41</v>
      </c>
      <c r="D287" t="s">
        <v>66</v>
      </c>
      <c r="E287" t="s">
        <v>25</v>
      </c>
      <c r="F287" s="7">
        <v>2406772</v>
      </c>
      <c r="G287" t="s">
        <v>1706</v>
      </c>
      <c r="H287" s="5">
        <v>100408</v>
      </c>
      <c r="I287" s="12">
        <v>46049</v>
      </c>
      <c r="J287" s="15">
        <v>60</v>
      </c>
      <c r="K287" s="15">
        <v>3</v>
      </c>
      <c r="L287" s="9">
        <v>0.1091</v>
      </c>
      <c r="M287" s="9">
        <v>5.7500000000000002E-2</v>
      </c>
      <c r="N287" s="15">
        <v>6</v>
      </c>
      <c r="O287" t="s">
        <v>27</v>
      </c>
      <c r="P287" t="s">
        <v>28</v>
      </c>
      <c r="Q287" s="24">
        <v>0.65</v>
      </c>
      <c r="R287" s="5">
        <f t="shared" si="24"/>
        <v>1800.7418301369862</v>
      </c>
      <c r="S287" s="5">
        <f t="shared" si="25"/>
        <v>94.906191780821914</v>
      </c>
      <c r="T287" s="5">
        <f t="shared" si="26"/>
        <v>1705.8356383561643</v>
      </c>
      <c r="U287" s="15">
        <f t="shared" si="27"/>
        <v>54</v>
      </c>
      <c r="V287" s="3">
        <f t="shared" si="28"/>
        <v>3367.6843199999998</v>
      </c>
      <c r="W287" s="3">
        <f t="shared" si="29"/>
        <v>286</v>
      </c>
    </row>
    <row r="288" spans="1:23" x14ac:dyDescent="0.2">
      <c r="A288" t="s">
        <v>169</v>
      </c>
      <c r="B288" t="s">
        <v>170</v>
      </c>
      <c r="C288" t="s">
        <v>31</v>
      </c>
      <c r="D288" t="s">
        <v>37</v>
      </c>
      <c r="E288" t="s">
        <v>25</v>
      </c>
      <c r="F288" s="7">
        <v>4193232</v>
      </c>
      <c r="G288" t="s">
        <v>324</v>
      </c>
      <c r="H288" s="5">
        <v>97575</v>
      </c>
      <c r="I288" s="12">
        <v>45988</v>
      </c>
      <c r="J288" s="15">
        <v>90</v>
      </c>
      <c r="K288" s="15">
        <v>5</v>
      </c>
      <c r="L288" s="9">
        <v>0.1235</v>
      </c>
      <c r="M288" s="9">
        <v>5.45E-2</v>
      </c>
      <c r="N288" s="15">
        <v>6</v>
      </c>
      <c r="O288" t="s">
        <v>27</v>
      </c>
      <c r="P288" t="s">
        <v>28</v>
      </c>
      <c r="Q288" s="24">
        <v>0.5</v>
      </c>
      <c r="R288" s="5">
        <f t="shared" si="24"/>
        <v>2971.3592465753427</v>
      </c>
      <c r="S288" s="5">
        <f t="shared" si="25"/>
        <v>87.416506849315056</v>
      </c>
      <c r="T288" s="5">
        <f t="shared" si="26"/>
        <v>2883.9427397260279</v>
      </c>
      <c r="U288" s="15">
        <f t="shared" si="27"/>
        <v>84</v>
      </c>
      <c r="V288" s="3">
        <f t="shared" si="28"/>
        <v>3366.3375000000001</v>
      </c>
      <c r="W288" s="3">
        <f t="shared" si="29"/>
        <v>287</v>
      </c>
    </row>
    <row r="289" spans="1:23" x14ac:dyDescent="0.2">
      <c r="A289" t="s">
        <v>85</v>
      </c>
      <c r="B289" t="s">
        <v>86</v>
      </c>
      <c r="C289" t="s">
        <v>36</v>
      </c>
      <c r="D289" t="s">
        <v>37</v>
      </c>
      <c r="E289" t="s">
        <v>25</v>
      </c>
      <c r="F289" s="7">
        <v>1954421</v>
      </c>
      <c r="G289" t="s">
        <v>1751</v>
      </c>
      <c r="H289" s="5">
        <v>66673</v>
      </c>
      <c r="I289" s="12">
        <v>46050</v>
      </c>
      <c r="J289" s="15">
        <v>30</v>
      </c>
      <c r="K289" s="15">
        <v>5</v>
      </c>
      <c r="L289" s="9">
        <v>0.1237</v>
      </c>
      <c r="M289" s="9">
        <v>4.6100000000000002E-2</v>
      </c>
      <c r="N289" s="15">
        <v>8</v>
      </c>
      <c r="O289" t="s">
        <v>27</v>
      </c>
      <c r="P289" t="s">
        <v>28</v>
      </c>
      <c r="Q289" s="24">
        <v>0.65</v>
      </c>
      <c r="R289" s="5">
        <f t="shared" si="24"/>
        <v>677.87261095890403</v>
      </c>
      <c r="S289" s="5">
        <f t="shared" si="25"/>
        <v>67.367129863013702</v>
      </c>
      <c r="T289" s="5">
        <f t="shared" si="26"/>
        <v>610.50548109589033</v>
      </c>
      <c r="U289" s="15">
        <f t="shared" si="27"/>
        <v>22</v>
      </c>
      <c r="V289" s="3">
        <f t="shared" si="28"/>
        <v>3362.9861200000005</v>
      </c>
      <c r="W289" s="3">
        <f t="shared" si="29"/>
        <v>288</v>
      </c>
    </row>
    <row r="290" spans="1:23" x14ac:dyDescent="0.2">
      <c r="A290" t="s">
        <v>654</v>
      </c>
      <c r="B290" t="s">
        <v>110</v>
      </c>
      <c r="C290" t="s">
        <v>23</v>
      </c>
      <c r="D290" t="s">
        <v>66</v>
      </c>
      <c r="E290" t="s">
        <v>25</v>
      </c>
      <c r="F290" s="7">
        <v>6809493</v>
      </c>
      <c r="G290" t="s">
        <v>1769</v>
      </c>
      <c r="H290" s="5">
        <v>100413</v>
      </c>
      <c r="I290" s="12">
        <v>46024</v>
      </c>
      <c r="J290" s="15">
        <v>60</v>
      </c>
      <c r="K290" s="15">
        <v>7</v>
      </c>
      <c r="L290" s="9">
        <v>0.121</v>
      </c>
      <c r="M290" s="9">
        <v>5.4199999999999998E-2</v>
      </c>
      <c r="N290" s="15">
        <v>6</v>
      </c>
      <c r="O290" t="s">
        <v>27</v>
      </c>
      <c r="P290" t="s">
        <v>28</v>
      </c>
      <c r="Q290" s="24">
        <v>0.5</v>
      </c>
      <c r="R290" s="5">
        <f t="shared" si="24"/>
        <v>1997.2558356164382</v>
      </c>
      <c r="S290" s="5">
        <f t="shared" si="25"/>
        <v>89.463856438356146</v>
      </c>
      <c r="T290" s="5">
        <f t="shared" si="26"/>
        <v>1907.7919791780821</v>
      </c>
      <c r="U290" s="15">
        <f t="shared" si="27"/>
        <v>54</v>
      </c>
      <c r="V290" s="3">
        <f t="shared" si="28"/>
        <v>3353.7941999999998</v>
      </c>
      <c r="W290" s="3">
        <f t="shared" si="29"/>
        <v>289</v>
      </c>
    </row>
    <row r="291" spans="1:23" x14ac:dyDescent="0.2">
      <c r="A291" t="s">
        <v>259</v>
      </c>
      <c r="B291" t="s">
        <v>260</v>
      </c>
      <c r="C291" t="s">
        <v>77</v>
      </c>
      <c r="D291" t="s">
        <v>37</v>
      </c>
      <c r="E291" t="s">
        <v>56</v>
      </c>
      <c r="F291" s="7">
        <v>20068674</v>
      </c>
      <c r="G291" t="s">
        <v>333</v>
      </c>
      <c r="H291" s="5">
        <v>99720</v>
      </c>
      <c r="I291" s="12">
        <v>46043</v>
      </c>
      <c r="J291" s="15">
        <v>30</v>
      </c>
      <c r="K291" s="15">
        <v>3</v>
      </c>
      <c r="L291" s="9">
        <v>0.1062</v>
      </c>
      <c r="M291" s="9">
        <v>5.45E-2</v>
      </c>
      <c r="N291" s="15">
        <v>6</v>
      </c>
      <c r="O291" t="s">
        <v>28</v>
      </c>
      <c r="P291" t="s">
        <v>28</v>
      </c>
      <c r="Q291" s="24">
        <v>0.65</v>
      </c>
      <c r="R291" s="5">
        <f t="shared" si="24"/>
        <v>870.43265753424657</v>
      </c>
      <c r="S291" s="5">
        <f t="shared" si="25"/>
        <v>89.338191780821901</v>
      </c>
      <c r="T291" s="5">
        <f t="shared" si="26"/>
        <v>781.09446575342463</v>
      </c>
      <c r="U291" s="15">
        <f t="shared" si="27"/>
        <v>24</v>
      </c>
      <c r="V291" s="3">
        <f t="shared" si="28"/>
        <v>3351.0906000000004</v>
      </c>
      <c r="W291" s="3">
        <f t="shared" si="29"/>
        <v>290</v>
      </c>
    </row>
    <row r="292" spans="1:23" x14ac:dyDescent="0.2">
      <c r="A292" t="s">
        <v>142</v>
      </c>
      <c r="B292" t="s">
        <v>143</v>
      </c>
      <c r="C292" t="s">
        <v>36</v>
      </c>
      <c r="D292" t="s">
        <v>66</v>
      </c>
      <c r="E292" t="s">
        <v>49</v>
      </c>
      <c r="F292" s="7">
        <v>735440</v>
      </c>
      <c r="G292" t="s">
        <v>426</v>
      </c>
      <c r="H292" s="5">
        <v>101353</v>
      </c>
      <c r="I292" s="12">
        <v>46012</v>
      </c>
      <c r="J292" s="15">
        <v>60</v>
      </c>
      <c r="K292" s="15">
        <v>2</v>
      </c>
      <c r="L292" s="9">
        <v>0.13020000000000001</v>
      </c>
      <c r="M292" s="9">
        <v>6.4100000000000004E-2</v>
      </c>
      <c r="N292" s="15">
        <v>8</v>
      </c>
      <c r="O292" t="s">
        <v>27</v>
      </c>
      <c r="P292" t="s">
        <v>28</v>
      </c>
      <c r="Q292" s="24">
        <v>0.5</v>
      </c>
      <c r="R292" s="5">
        <f t="shared" si="24"/>
        <v>2169.2318794520547</v>
      </c>
      <c r="S292" s="5">
        <f t="shared" si="25"/>
        <v>142.39402301369864</v>
      </c>
      <c r="T292" s="5">
        <f t="shared" si="26"/>
        <v>2026.8378564383561</v>
      </c>
      <c r="U292" s="15">
        <f t="shared" si="27"/>
        <v>52</v>
      </c>
      <c r="V292" s="3">
        <f t="shared" si="28"/>
        <v>3349.7166500000003</v>
      </c>
      <c r="W292" s="3">
        <f t="shared" si="29"/>
        <v>291</v>
      </c>
    </row>
    <row r="293" spans="1:23" x14ac:dyDescent="0.2">
      <c r="A293" t="s">
        <v>488</v>
      </c>
      <c r="B293" t="s">
        <v>489</v>
      </c>
      <c r="C293" t="s">
        <v>31</v>
      </c>
      <c r="D293" t="s">
        <v>37</v>
      </c>
      <c r="E293" t="s">
        <v>25</v>
      </c>
      <c r="F293" s="7">
        <v>6687670</v>
      </c>
      <c r="G293" t="s">
        <v>1390</v>
      </c>
      <c r="H293" s="5">
        <v>76566</v>
      </c>
      <c r="I293" s="12">
        <v>46073</v>
      </c>
      <c r="J293" s="15">
        <v>60</v>
      </c>
      <c r="K293" s="15">
        <v>3</v>
      </c>
      <c r="L293" s="9">
        <v>0.1013</v>
      </c>
      <c r="M293" s="9">
        <v>5.2699999999999997E-2</v>
      </c>
      <c r="N293" s="15">
        <v>10</v>
      </c>
      <c r="O293" t="s">
        <v>27</v>
      </c>
      <c r="P293" t="s">
        <v>28</v>
      </c>
      <c r="Q293" s="24">
        <v>0.9</v>
      </c>
      <c r="R293" s="5">
        <f t="shared" si="24"/>
        <v>1274.9812273972602</v>
      </c>
      <c r="S293" s="5">
        <f t="shared" si="25"/>
        <v>110.54871780821917</v>
      </c>
      <c r="T293" s="5">
        <f t="shared" si="26"/>
        <v>1164.432509589041</v>
      </c>
      <c r="U293" s="15">
        <f t="shared" si="27"/>
        <v>50</v>
      </c>
      <c r="V293" s="3">
        <f t="shared" si="28"/>
        <v>3348.9968400000007</v>
      </c>
      <c r="W293" s="3">
        <f t="shared" si="29"/>
        <v>292</v>
      </c>
    </row>
    <row r="294" spans="1:23" x14ac:dyDescent="0.2">
      <c r="A294" t="s">
        <v>341</v>
      </c>
      <c r="B294" t="s">
        <v>342</v>
      </c>
      <c r="C294" t="s">
        <v>77</v>
      </c>
      <c r="D294" t="s">
        <v>48</v>
      </c>
      <c r="E294" t="s">
        <v>49</v>
      </c>
      <c r="F294" s="7">
        <v>927954</v>
      </c>
      <c r="G294" t="s">
        <v>346</v>
      </c>
      <c r="H294" s="5">
        <v>63897</v>
      </c>
      <c r="I294" s="12">
        <v>45690</v>
      </c>
      <c r="J294" s="15">
        <v>45</v>
      </c>
      <c r="K294" s="15">
        <v>2</v>
      </c>
      <c r="L294" s="9">
        <v>0.1181</v>
      </c>
      <c r="M294" s="9">
        <v>5.9900000000000002E-2</v>
      </c>
      <c r="N294" s="15">
        <v>10</v>
      </c>
      <c r="O294" t="s">
        <v>28</v>
      </c>
      <c r="P294" t="s">
        <v>28</v>
      </c>
      <c r="Q294" s="24">
        <v>0.9</v>
      </c>
      <c r="R294" s="5">
        <f t="shared" si="24"/>
        <v>930.35782602739721</v>
      </c>
      <c r="S294" s="5">
        <f t="shared" si="25"/>
        <v>104.86110410958904</v>
      </c>
      <c r="T294" s="5">
        <f t="shared" si="26"/>
        <v>825.49672191780815</v>
      </c>
      <c r="U294" s="15">
        <f t="shared" si="27"/>
        <v>35</v>
      </c>
      <c r="V294" s="3">
        <f t="shared" si="28"/>
        <v>3346.9248599999996</v>
      </c>
      <c r="W294" s="3">
        <f t="shared" si="29"/>
        <v>293</v>
      </c>
    </row>
    <row r="295" spans="1:23" x14ac:dyDescent="0.2">
      <c r="A295" t="s">
        <v>88</v>
      </c>
      <c r="B295" t="s">
        <v>89</v>
      </c>
      <c r="C295" t="s">
        <v>23</v>
      </c>
      <c r="D295" t="s">
        <v>66</v>
      </c>
      <c r="E295" t="s">
        <v>49</v>
      </c>
      <c r="F295" s="7">
        <v>896464</v>
      </c>
      <c r="G295" t="s">
        <v>1406</v>
      </c>
      <c r="H295" s="5">
        <v>75413</v>
      </c>
      <c r="I295" s="12">
        <v>45861</v>
      </c>
      <c r="J295" s="15">
        <v>30</v>
      </c>
      <c r="K295" s="15">
        <v>4</v>
      </c>
      <c r="L295" s="9">
        <v>0.13550000000000001</v>
      </c>
      <c r="M295" s="9">
        <v>4.6899999999999997E-2</v>
      </c>
      <c r="N295" s="15">
        <v>7</v>
      </c>
      <c r="O295" t="s">
        <v>28</v>
      </c>
      <c r="P295" t="s">
        <v>28</v>
      </c>
      <c r="Q295" s="24">
        <v>0.5</v>
      </c>
      <c r="R295" s="5">
        <f t="shared" si="24"/>
        <v>839.87354794520559</v>
      </c>
      <c r="S295" s="5">
        <f t="shared" si="25"/>
        <v>67.830377808219183</v>
      </c>
      <c r="T295" s="5">
        <f t="shared" si="26"/>
        <v>772.04317013698642</v>
      </c>
      <c r="U295" s="15">
        <f t="shared" si="27"/>
        <v>23</v>
      </c>
      <c r="V295" s="3">
        <f t="shared" si="28"/>
        <v>3340.7959000000005</v>
      </c>
      <c r="W295" s="3">
        <f t="shared" si="29"/>
        <v>294</v>
      </c>
    </row>
    <row r="296" spans="1:23" x14ac:dyDescent="0.2">
      <c r="A296" t="s">
        <v>21</v>
      </c>
      <c r="B296" t="s">
        <v>22</v>
      </c>
      <c r="C296" t="s">
        <v>23</v>
      </c>
      <c r="D296" t="s">
        <v>24</v>
      </c>
      <c r="E296" t="s">
        <v>25</v>
      </c>
      <c r="F296" s="7">
        <v>2280589</v>
      </c>
      <c r="G296" t="s">
        <v>26</v>
      </c>
      <c r="H296" s="5">
        <v>100815</v>
      </c>
      <c r="I296" s="12">
        <v>46011</v>
      </c>
      <c r="J296" s="15">
        <v>60</v>
      </c>
      <c r="K296" s="15">
        <v>2</v>
      </c>
      <c r="L296" s="9">
        <v>0.1047</v>
      </c>
      <c r="M296" s="9">
        <v>5.3800000000000001E-2</v>
      </c>
      <c r="N296" s="15">
        <v>7</v>
      </c>
      <c r="O296" t="s">
        <v>27</v>
      </c>
      <c r="P296" t="s">
        <v>28</v>
      </c>
      <c r="Q296" s="24">
        <v>0.65</v>
      </c>
      <c r="R296" s="5">
        <f t="shared" si="24"/>
        <v>1735.1228219178081</v>
      </c>
      <c r="S296" s="5">
        <f t="shared" si="25"/>
        <v>104.01898356164384</v>
      </c>
      <c r="T296" s="5">
        <f t="shared" si="26"/>
        <v>1631.1038383561643</v>
      </c>
      <c r="U296" s="15">
        <f t="shared" si="27"/>
        <v>53</v>
      </c>
      <c r="V296" s="3">
        <f t="shared" si="28"/>
        <v>3335.4642750000003</v>
      </c>
      <c r="W296" s="3">
        <f t="shared" si="29"/>
        <v>295</v>
      </c>
    </row>
    <row r="297" spans="1:23" x14ac:dyDescent="0.2">
      <c r="A297" t="s">
        <v>217</v>
      </c>
      <c r="B297" t="s">
        <v>218</v>
      </c>
      <c r="C297" t="s">
        <v>23</v>
      </c>
      <c r="D297" t="s">
        <v>48</v>
      </c>
      <c r="E297" t="s">
        <v>49</v>
      </c>
      <c r="F297" s="7">
        <v>1120197</v>
      </c>
      <c r="G297" t="s">
        <v>499</v>
      </c>
      <c r="H297" s="5">
        <v>79793</v>
      </c>
      <c r="I297" s="12">
        <v>46033</v>
      </c>
      <c r="J297" s="15">
        <v>60</v>
      </c>
      <c r="K297" s="15">
        <v>10</v>
      </c>
      <c r="L297" s="9">
        <v>0.1338</v>
      </c>
      <c r="M297" s="9">
        <v>5.0200000000000002E-2</v>
      </c>
      <c r="N297" s="15">
        <v>7</v>
      </c>
      <c r="O297" t="s">
        <v>28</v>
      </c>
      <c r="P297" t="s">
        <v>28</v>
      </c>
      <c r="Q297" s="24">
        <v>0.5</v>
      </c>
      <c r="R297" s="5">
        <f t="shared" si="24"/>
        <v>1755.0087780821918</v>
      </c>
      <c r="S297" s="5">
        <f t="shared" si="25"/>
        <v>76.819890958904111</v>
      </c>
      <c r="T297" s="5">
        <f t="shared" si="26"/>
        <v>1678.1888871232877</v>
      </c>
      <c r="U297" s="15">
        <f t="shared" si="27"/>
        <v>53</v>
      </c>
      <c r="V297" s="3">
        <f t="shared" si="28"/>
        <v>3335.3474000000001</v>
      </c>
      <c r="W297" s="3">
        <f t="shared" si="29"/>
        <v>296</v>
      </c>
    </row>
    <row r="298" spans="1:23" x14ac:dyDescent="0.2">
      <c r="A298" t="s">
        <v>149</v>
      </c>
      <c r="B298" t="s">
        <v>30</v>
      </c>
      <c r="C298" t="s">
        <v>77</v>
      </c>
      <c r="D298" t="s">
        <v>66</v>
      </c>
      <c r="E298" t="s">
        <v>25</v>
      </c>
      <c r="F298" s="7">
        <v>3553623</v>
      </c>
      <c r="G298" t="s">
        <v>1447</v>
      </c>
      <c r="H298" s="5">
        <v>84470</v>
      </c>
      <c r="I298" s="12">
        <v>45736</v>
      </c>
      <c r="J298" s="15">
        <v>45</v>
      </c>
      <c r="K298" s="15">
        <v>4</v>
      </c>
      <c r="L298" s="9">
        <v>9.8199999999999996E-2</v>
      </c>
      <c r="M298" s="9">
        <v>4.9099999999999998E-2</v>
      </c>
      <c r="N298" s="15">
        <v>5</v>
      </c>
      <c r="O298" t="s">
        <v>28</v>
      </c>
      <c r="P298" t="s">
        <v>28</v>
      </c>
      <c r="Q298" s="24">
        <v>0.8</v>
      </c>
      <c r="R298" s="5">
        <f t="shared" si="24"/>
        <v>1022.6655616438355</v>
      </c>
      <c r="S298" s="5">
        <f t="shared" si="25"/>
        <v>56.814753424657532</v>
      </c>
      <c r="T298" s="5">
        <f t="shared" si="26"/>
        <v>965.85080821917802</v>
      </c>
      <c r="U298" s="15">
        <f t="shared" si="27"/>
        <v>40</v>
      </c>
      <c r="V298" s="3">
        <f t="shared" si="28"/>
        <v>3317.9816000000001</v>
      </c>
      <c r="W298" s="3">
        <f t="shared" si="29"/>
        <v>297</v>
      </c>
    </row>
    <row r="299" spans="1:23" x14ac:dyDescent="0.2">
      <c r="A299" t="s">
        <v>247</v>
      </c>
      <c r="B299" t="s">
        <v>47</v>
      </c>
      <c r="C299" t="s">
        <v>31</v>
      </c>
      <c r="D299" t="s">
        <v>48</v>
      </c>
      <c r="E299" t="s">
        <v>49</v>
      </c>
      <c r="F299" s="7">
        <v>1089809</v>
      </c>
      <c r="G299" t="s">
        <v>339</v>
      </c>
      <c r="H299" s="5">
        <v>32078</v>
      </c>
      <c r="I299" s="12">
        <v>46080</v>
      </c>
      <c r="J299" s="15">
        <v>60</v>
      </c>
      <c r="K299" s="15">
        <v>7</v>
      </c>
      <c r="L299" s="9">
        <v>0.16689999999999999</v>
      </c>
      <c r="M299" s="9">
        <v>5.2499999999999998E-2</v>
      </c>
      <c r="N299" s="15">
        <v>10</v>
      </c>
      <c r="O299" t="s">
        <v>27</v>
      </c>
      <c r="P299" t="s">
        <v>28</v>
      </c>
      <c r="Q299" s="24">
        <v>0.9</v>
      </c>
      <c r="R299" s="5">
        <f t="shared" si="24"/>
        <v>880.07970410958899</v>
      </c>
      <c r="S299" s="5">
        <f t="shared" si="25"/>
        <v>46.139589041095888</v>
      </c>
      <c r="T299" s="5">
        <f t="shared" si="26"/>
        <v>833.94011506849313</v>
      </c>
      <c r="U299" s="15">
        <f t="shared" si="27"/>
        <v>50</v>
      </c>
      <c r="V299" s="3">
        <f t="shared" si="28"/>
        <v>3302.7508800000005</v>
      </c>
      <c r="W299" s="3">
        <f t="shared" si="29"/>
        <v>298</v>
      </c>
    </row>
    <row r="300" spans="1:23" x14ac:dyDescent="0.2">
      <c r="A300" t="s">
        <v>85</v>
      </c>
      <c r="B300" t="s">
        <v>86</v>
      </c>
      <c r="C300" t="s">
        <v>36</v>
      </c>
      <c r="D300" t="s">
        <v>37</v>
      </c>
      <c r="E300" t="s">
        <v>25</v>
      </c>
      <c r="F300" s="7">
        <v>1954421</v>
      </c>
      <c r="G300" t="s">
        <v>1239</v>
      </c>
      <c r="H300" s="5">
        <v>56186</v>
      </c>
      <c r="I300" s="12">
        <v>45743</v>
      </c>
      <c r="J300" s="15">
        <v>60</v>
      </c>
      <c r="K300" s="15">
        <v>10</v>
      </c>
      <c r="L300" s="9">
        <v>0.1237</v>
      </c>
      <c r="M300" s="9">
        <v>5.8400000000000001E-2</v>
      </c>
      <c r="N300" s="15">
        <v>6</v>
      </c>
      <c r="O300" t="s">
        <v>27</v>
      </c>
      <c r="P300" t="s">
        <v>28</v>
      </c>
      <c r="Q300" s="24">
        <v>0.9</v>
      </c>
      <c r="R300" s="5">
        <f t="shared" si="24"/>
        <v>1142.4999780821918</v>
      </c>
      <c r="S300" s="5">
        <f t="shared" si="25"/>
        <v>53.938559999999995</v>
      </c>
      <c r="T300" s="5">
        <f t="shared" si="26"/>
        <v>1088.5614180821917</v>
      </c>
      <c r="U300" s="15">
        <f t="shared" si="27"/>
        <v>54</v>
      </c>
      <c r="V300" s="3">
        <f t="shared" si="28"/>
        <v>3302.0512199999998</v>
      </c>
      <c r="W300" s="3">
        <f t="shared" si="29"/>
        <v>299</v>
      </c>
    </row>
    <row r="301" spans="1:23" x14ac:dyDescent="0.2">
      <c r="A301" t="s">
        <v>149</v>
      </c>
      <c r="B301" t="s">
        <v>30</v>
      </c>
      <c r="C301" t="s">
        <v>77</v>
      </c>
      <c r="D301" t="s">
        <v>66</v>
      </c>
      <c r="E301" t="s">
        <v>25</v>
      </c>
      <c r="F301" s="7">
        <v>3553623</v>
      </c>
      <c r="G301" t="s">
        <v>485</v>
      </c>
      <c r="H301" s="5">
        <v>102502</v>
      </c>
      <c r="I301" s="12">
        <v>45858</v>
      </c>
      <c r="J301" s="15">
        <v>30</v>
      </c>
      <c r="K301" s="15">
        <v>10</v>
      </c>
      <c r="L301" s="9">
        <v>9.8199999999999996E-2</v>
      </c>
      <c r="M301" s="9">
        <v>6.25E-2</v>
      </c>
      <c r="N301" s="15">
        <v>6</v>
      </c>
      <c r="O301" t="s">
        <v>27</v>
      </c>
      <c r="P301" t="s">
        <v>28</v>
      </c>
      <c r="Q301" s="24">
        <v>0.9</v>
      </c>
      <c r="R301" s="5">
        <f t="shared" si="24"/>
        <v>827.31751232876695</v>
      </c>
      <c r="S301" s="5">
        <f t="shared" si="25"/>
        <v>105.31027397260273</v>
      </c>
      <c r="T301" s="5">
        <f t="shared" si="26"/>
        <v>722.00723835616418</v>
      </c>
      <c r="U301" s="15">
        <f t="shared" si="27"/>
        <v>24</v>
      </c>
      <c r="V301" s="3">
        <f t="shared" si="28"/>
        <v>3293.3892599999999</v>
      </c>
      <c r="W301" s="3">
        <f t="shared" si="29"/>
        <v>300</v>
      </c>
    </row>
    <row r="302" spans="1:23" x14ac:dyDescent="0.2">
      <c r="A302" t="s">
        <v>91</v>
      </c>
      <c r="B302" t="s">
        <v>92</v>
      </c>
      <c r="C302" t="s">
        <v>36</v>
      </c>
      <c r="D302" t="s">
        <v>24</v>
      </c>
      <c r="E302" t="s">
        <v>56</v>
      </c>
      <c r="F302" s="7">
        <v>15029491</v>
      </c>
      <c r="G302" t="s">
        <v>613</v>
      </c>
      <c r="H302" s="5">
        <v>89292</v>
      </c>
      <c r="I302" s="12">
        <v>45977</v>
      </c>
      <c r="J302" s="15">
        <v>60</v>
      </c>
      <c r="K302" s="15">
        <v>2</v>
      </c>
      <c r="L302" s="9">
        <v>9.8400000000000001E-2</v>
      </c>
      <c r="M302" s="9">
        <v>5.2299999999999999E-2</v>
      </c>
      <c r="N302" s="15">
        <v>5</v>
      </c>
      <c r="O302" t="s">
        <v>27</v>
      </c>
      <c r="P302" t="s">
        <v>28</v>
      </c>
      <c r="Q302" s="24">
        <v>0.8</v>
      </c>
      <c r="R302" s="5">
        <f t="shared" si="24"/>
        <v>1444.3286794520548</v>
      </c>
      <c r="S302" s="5">
        <f t="shared" si="25"/>
        <v>63.972213698630128</v>
      </c>
      <c r="T302" s="5">
        <f t="shared" si="26"/>
        <v>1380.3564657534246</v>
      </c>
      <c r="U302" s="15">
        <f t="shared" si="27"/>
        <v>55</v>
      </c>
      <c r="V302" s="3">
        <f t="shared" si="28"/>
        <v>3293.0889600000005</v>
      </c>
      <c r="W302" s="3">
        <f t="shared" si="29"/>
        <v>301</v>
      </c>
    </row>
    <row r="303" spans="1:23" x14ac:dyDescent="0.2">
      <c r="A303" t="s">
        <v>82</v>
      </c>
      <c r="B303" t="s">
        <v>83</v>
      </c>
      <c r="C303" t="s">
        <v>23</v>
      </c>
      <c r="D303" t="s">
        <v>66</v>
      </c>
      <c r="E303" t="s">
        <v>49</v>
      </c>
      <c r="F303" s="7">
        <v>946643</v>
      </c>
      <c r="G303" t="s">
        <v>1528</v>
      </c>
      <c r="H303" s="5">
        <v>58119</v>
      </c>
      <c r="I303" s="12">
        <v>45859</v>
      </c>
      <c r="J303" s="15">
        <v>60</v>
      </c>
      <c r="K303" s="15">
        <v>7</v>
      </c>
      <c r="L303" s="9">
        <v>0.1648</v>
      </c>
      <c r="M303" s="9">
        <v>5.1799999999999999E-2</v>
      </c>
      <c r="N303" s="15">
        <v>6</v>
      </c>
      <c r="O303" t="s">
        <v>27</v>
      </c>
      <c r="P303" t="s">
        <v>28</v>
      </c>
      <c r="Q303" s="24">
        <v>0.5</v>
      </c>
      <c r="R303" s="5">
        <f t="shared" si="24"/>
        <v>1574.4675945205479</v>
      </c>
      <c r="S303" s="5">
        <f t="shared" si="25"/>
        <v>49.488726575342454</v>
      </c>
      <c r="T303" s="5">
        <f t="shared" si="26"/>
        <v>1524.9788679452054</v>
      </c>
      <c r="U303" s="15">
        <f t="shared" si="27"/>
        <v>54</v>
      </c>
      <c r="V303" s="3">
        <f t="shared" si="28"/>
        <v>3283.7235000000001</v>
      </c>
      <c r="W303" s="3">
        <f t="shared" si="29"/>
        <v>302</v>
      </c>
    </row>
    <row r="304" spans="1:23" x14ac:dyDescent="0.2">
      <c r="A304" t="s">
        <v>169</v>
      </c>
      <c r="B304" t="s">
        <v>170</v>
      </c>
      <c r="C304" t="s">
        <v>31</v>
      </c>
      <c r="D304" t="s">
        <v>37</v>
      </c>
      <c r="E304" t="s">
        <v>25</v>
      </c>
      <c r="F304" s="7">
        <v>4193232</v>
      </c>
      <c r="G304" t="s">
        <v>861</v>
      </c>
      <c r="H304" s="5">
        <v>66257</v>
      </c>
      <c r="I304" s="12">
        <v>45932</v>
      </c>
      <c r="J304" s="15">
        <v>90</v>
      </c>
      <c r="K304" s="15">
        <v>2</v>
      </c>
      <c r="L304" s="9">
        <v>0.1235</v>
      </c>
      <c r="M304" s="9">
        <v>6.1699999999999998E-2</v>
      </c>
      <c r="N304" s="15">
        <v>7</v>
      </c>
      <c r="O304" t="s">
        <v>27</v>
      </c>
      <c r="P304" t="s">
        <v>28</v>
      </c>
      <c r="Q304" s="24">
        <v>0.8</v>
      </c>
      <c r="R304" s="5">
        <f t="shared" si="24"/>
        <v>2017.6617945205478</v>
      </c>
      <c r="S304" s="5">
        <f t="shared" si="25"/>
        <v>78.401091232876723</v>
      </c>
      <c r="T304" s="5">
        <f t="shared" si="26"/>
        <v>1939.260703287671</v>
      </c>
      <c r="U304" s="15">
        <f t="shared" si="27"/>
        <v>83</v>
      </c>
      <c r="V304" s="3">
        <f t="shared" si="28"/>
        <v>3275.7460800000003</v>
      </c>
      <c r="W304" s="3">
        <f t="shared" si="29"/>
        <v>303</v>
      </c>
    </row>
    <row r="305" spans="1:23" x14ac:dyDescent="0.2">
      <c r="A305" t="s">
        <v>392</v>
      </c>
      <c r="B305" t="s">
        <v>393</v>
      </c>
      <c r="C305" t="s">
        <v>23</v>
      </c>
      <c r="D305" t="s">
        <v>32</v>
      </c>
      <c r="E305" t="s">
        <v>56</v>
      </c>
      <c r="F305" s="7">
        <v>13101534</v>
      </c>
      <c r="G305" t="s">
        <v>813</v>
      </c>
      <c r="H305" s="5">
        <v>103295</v>
      </c>
      <c r="I305" s="12">
        <v>45995</v>
      </c>
      <c r="J305" s="15">
        <v>60</v>
      </c>
      <c r="K305" s="15">
        <v>2</v>
      </c>
      <c r="L305" s="9">
        <v>8.9499999999999996E-2</v>
      </c>
      <c r="M305" s="9">
        <v>5.4300000000000001E-2</v>
      </c>
      <c r="N305" s="15">
        <v>5</v>
      </c>
      <c r="O305" t="s">
        <v>28</v>
      </c>
      <c r="P305" t="s">
        <v>28</v>
      </c>
      <c r="Q305" s="24">
        <v>0.9</v>
      </c>
      <c r="R305" s="5">
        <f t="shared" si="24"/>
        <v>1519.71</v>
      </c>
      <c r="S305" s="5">
        <f t="shared" si="25"/>
        <v>76.834499999999991</v>
      </c>
      <c r="T305" s="5">
        <f t="shared" si="26"/>
        <v>1442.8755000000001</v>
      </c>
      <c r="U305" s="15">
        <f t="shared" si="27"/>
        <v>55</v>
      </c>
      <c r="V305" s="3">
        <f t="shared" si="28"/>
        <v>3272.3856000000001</v>
      </c>
      <c r="W305" s="3">
        <f t="shared" si="29"/>
        <v>304</v>
      </c>
    </row>
    <row r="306" spans="1:23" x14ac:dyDescent="0.2">
      <c r="A306" t="s">
        <v>120</v>
      </c>
      <c r="B306" t="s">
        <v>121</v>
      </c>
      <c r="C306" t="s">
        <v>31</v>
      </c>
      <c r="D306" t="s">
        <v>48</v>
      </c>
      <c r="E306" t="s">
        <v>56</v>
      </c>
      <c r="F306" s="7">
        <v>14943587</v>
      </c>
      <c r="G306" t="s">
        <v>445</v>
      </c>
      <c r="H306" s="5">
        <v>104243</v>
      </c>
      <c r="I306" s="12">
        <v>45716</v>
      </c>
      <c r="J306" s="15">
        <v>60</v>
      </c>
      <c r="K306" s="15">
        <v>2</v>
      </c>
      <c r="L306" s="9">
        <v>0.1046</v>
      </c>
      <c r="M306" s="9">
        <v>5.6500000000000002E-2</v>
      </c>
      <c r="N306" s="15">
        <v>10</v>
      </c>
      <c r="O306" t="s">
        <v>28</v>
      </c>
      <c r="P306" t="s">
        <v>28</v>
      </c>
      <c r="Q306" s="24">
        <v>0.65</v>
      </c>
      <c r="R306" s="5">
        <f t="shared" si="24"/>
        <v>1792.4084054794521</v>
      </c>
      <c r="S306" s="5">
        <f t="shared" si="25"/>
        <v>161.36245205479452</v>
      </c>
      <c r="T306" s="5">
        <f t="shared" si="26"/>
        <v>1631.0459534246575</v>
      </c>
      <c r="U306" s="15">
        <f t="shared" si="27"/>
        <v>50</v>
      </c>
      <c r="V306" s="3">
        <f t="shared" si="28"/>
        <v>3259.1573950000002</v>
      </c>
      <c r="W306" s="3">
        <f t="shared" si="29"/>
        <v>305</v>
      </c>
    </row>
    <row r="307" spans="1:23" x14ac:dyDescent="0.2">
      <c r="A307" t="s">
        <v>501</v>
      </c>
      <c r="B307" t="s">
        <v>502</v>
      </c>
      <c r="C307" t="s">
        <v>23</v>
      </c>
      <c r="D307" t="s">
        <v>32</v>
      </c>
      <c r="E307" t="s">
        <v>49</v>
      </c>
      <c r="F307" s="7">
        <v>412494</v>
      </c>
      <c r="G307" t="s">
        <v>1784</v>
      </c>
      <c r="H307" s="5">
        <v>65432</v>
      </c>
      <c r="I307" s="12">
        <v>45772</v>
      </c>
      <c r="J307" s="15">
        <v>30</v>
      </c>
      <c r="K307" s="15">
        <v>5</v>
      </c>
      <c r="L307" s="9">
        <v>0.15989999999999999</v>
      </c>
      <c r="M307" s="9">
        <v>6.0299999999999999E-2</v>
      </c>
      <c r="N307" s="15">
        <v>10</v>
      </c>
      <c r="O307" t="s">
        <v>28</v>
      </c>
      <c r="P307" t="s">
        <v>28</v>
      </c>
      <c r="Q307" s="24">
        <v>0.5</v>
      </c>
      <c r="R307" s="5">
        <f t="shared" si="24"/>
        <v>859.93781917808201</v>
      </c>
      <c r="S307" s="5">
        <f t="shared" si="25"/>
        <v>108.09724931506848</v>
      </c>
      <c r="T307" s="5">
        <f t="shared" si="26"/>
        <v>751.84056986301357</v>
      </c>
      <c r="U307" s="15">
        <f t="shared" si="27"/>
        <v>20</v>
      </c>
      <c r="V307" s="3">
        <f t="shared" si="28"/>
        <v>3258.5135999999998</v>
      </c>
      <c r="W307" s="3">
        <f t="shared" si="29"/>
        <v>306</v>
      </c>
    </row>
    <row r="308" spans="1:23" x14ac:dyDescent="0.2">
      <c r="A308" t="s">
        <v>117</v>
      </c>
      <c r="B308" t="s">
        <v>118</v>
      </c>
      <c r="C308" t="s">
        <v>77</v>
      </c>
      <c r="D308" t="s">
        <v>32</v>
      </c>
      <c r="E308" t="s">
        <v>25</v>
      </c>
      <c r="F308" s="7">
        <v>6024640</v>
      </c>
      <c r="G308" t="s">
        <v>1426</v>
      </c>
      <c r="H308" s="5">
        <v>67013</v>
      </c>
      <c r="I308" s="12">
        <v>45833</v>
      </c>
      <c r="J308" s="15">
        <v>60</v>
      </c>
      <c r="K308" s="15">
        <v>10</v>
      </c>
      <c r="L308" s="9">
        <v>0.13769999999999999</v>
      </c>
      <c r="M308" s="9">
        <v>6.2899999999999998E-2</v>
      </c>
      <c r="N308" s="15">
        <v>6</v>
      </c>
      <c r="O308" t="s">
        <v>27</v>
      </c>
      <c r="P308" t="s">
        <v>28</v>
      </c>
      <c r="Q308" s="24">
        <v>0.65</v>
      </c>
      <c r="R308" s="5">
        <f t="shared" si="24"/>
        <v>1516.8805643835615</v>
      </c>
      <c r="S308" s="5">
        <f t="shared" si="25"/>
        <v>69.289606027397255</v>
      </c>
      <c r="T308" s="5">
        <f t="shared" si="26"/>
        <v>1447.5909583561643</v>
      </c>
      <c r="U308" s="15">
        <f t="shared" si="27"/>
        <v>54</v>
      </c>
      <c r="V308" s="3">
        <f t="shared" si="28"/>
        <v>3258.1720599999999</v>
      </c>
      <c r="W308" s="3">
        <f t="shared" si="29"/>
        <v>307</v>
      </c>
    </row>
    <row r="309" spans="1:23" x14ac:dyDescent="0.2">
      <c r="A309" t="s">
        <v>153</v>
      </c>
      <c r="B309" t="s">
        <v>154</v>
      </c>
      <c r="C309" t="s">
        <v>41</v>
      </c>
      <c r="D309" t="s">
        <v>66</v>
      </c>
      <c r="E309" t="s">
        <v>49</v>
      </c>
      <c r="F309" s="7">
        <v>367690</v>
      </c>
      <c r="G309" t="s">
        <v>858</v>
      </c>
      <c r="H309" s="5">
        <v>51358</v>
      </c>
      <c r="I309" s="12">
        <v>45949</v>
      </c>
      <c r="J309" s="15">
        <v>60</v>
      </c>
      <c r="K309" s="15">
        <v>4</v>
      </c>
      <c r="L309" s="9">
        <v>0.1305</v>
      </c>
      <c r="M309" s="9">
        <v>6.0299999999999999E-2</v>
      </c>
      <c r="N309" s="15">
        <v>5</v>
      </c>
      <c r="O309" t="s">
        <v>27</v>
      </c>
      <c r="P309" t="s">
        <v>28</v>
      </c>
      <c r="Q309" s="24">
        <v>0.9</v>
      </c>
      <c r="R309" s="5">
        <f t="shared" si="24"/>
        <v>1101.7346301369862</v>
      </c>
      <c r="S309" s="5">
        <f t="shared" si="25"/>
        <v>42.423115068493146</v>
      </c>
      <c r="T309" s="5">
        <f t="shared" si="26"/>
        <v>1059.311515068493</v>
      </c>
      <c r="U309" s="15">
        <f t="shared" si="27"/>
        <v>55</v>
      </c>
      <c r="V309" s="3">
        <f t="shared" si="28"/>
        <v>3244.7984400000009</v>
      </c>
      <c r="W309" s="3">
        <f t="shared" si="29"/>
        <v>308</v>
      </c>
    </row>
    <row r="310" spans="1:23" x14ac:dyDescent="0.2">
      <c r="A310" t="s">
        <v>530</v>
      </c>
      <c r="B310" t="s">
        <v>531</v>
      </c>
      <c r="C310" t="s">
        <v>36</v>
      </c>
      <c r="D310" t="s">
        <v>37</v>
      </c>
      <c r="E310" t="s">
        <v>49</v>
      </c>
      <c r="F310" s="7">
        <v>701545</v>
      </c>
      <c r="G310" t="s">
        <v>1291</v>
      </c>
      <c r="H310" s="5">
        <v>82202</v>
      </c>
      <c r="I310" s="12">
        <v>45924</v>
      </c>
      <c r="J310" s="15">
        <v>45</v>
      </c>
      <c r="K310" s="15">
        <v>5</v>
      </c>
      <c r="L310" s="9">
        <v>0.17699999999999999</v>
      </c>
      <c r="M310" s="9">
        <v>6.4600000000000005E-2</v>
      </c>
      <c r="N310" s="15">
        <v>7</v>
      </c>
      <c r="O310" t="s">
        <v>27</v>
      </c>
      <c r="P310" t="s">
        <v>28</v>
      </c>
      <c r="Q310" s="24">
        <v>0.35</v>
      </c>
      <c r="R310" s="5">
        <f t="shared" si="24"/>
        <v>1793.8052876712327</v>
      </c>
      <c r="S310" s="5">
        <f t="shared" si="25"/>
        <v>101.84039561643837</v>
      </c>
      <c r="T310" s="5">
        <f t="shared" si="26"/>
        <v>1691.9648920547943</v>
      </c>
      <c r="U310" s="15">
        <f t="shared" si="27"/>
        <v>38</v>
      </c>
      <c r="V310" s="3">
        <f t="shared" si="28"/>
        <v>3233.8266799999992</v>
      </c>
      <c r="W310" s="3">
        <f t="shared" si="29"/>
        <v>309</v>
      </c>
    </row>
    <row r="311" spans="1:23" x14ac:dyDescent="0.2">
      <c r="A311" t="s">
        <v>382</v>
      </c>
      <c r="B311" t="s">
        <v>383</v>
      </c>
      <c r="C311" t="s">
        <v>41</v>
      </c>
      <c r="D311" t="s">
        <v>32</v>
      </c>
      <c r="E311" t="s">
        <v>25</v>
      </c>
      <c r="F311" s="7">
        <v>3772612</v>
      </c>
      <c r="G311" t="s">
        <v>384</v>
      </c>
      <c r="H311" s="5">
        <v>108940</v>
      </c>
      <c r="I311" s="12">
        <v>45752</v>
      </c>
      <c r="J311" s="15">
        <v>60</v>
      </c>
      <c r="K311" s="15">
        <v>3</v>
      </c>
      <c r="L311" s="9">
        <v>0.1053</v>
      </c>
      <c r="M311" s="9">
        <v>5.9700000000000003E-2</v>
      </c>
      <c r="N311" s="15">
        <v>7</v>
      </c>
      <c r="O311" t="s">
        <v>28</v>
      </c>
      <c r="P311" t="s">
        <v>28</v>
      </c>
      <c r="Q311" s="24">
        <v>0.65</v>
      </c>
      <c r="R311" s="5">
        <f t="shared" si="24"/>
        <v>1885.7066301369862</v>
      </c>
      <c r="S311" s="5">
        <f t="shared" si="25"/>
        <v>124.7288383561644</v>
      </c>
      <c r="T311" s="5">
        <f t="shared" si="26"/>
        <v>1760.9777917808217</v>
      </c>
      <c r="U311" s="15">
        <f t="shared" si="27"/>
        <v>53</v>
      </c>
      <c r="V311" s="3">
        <f t="shared" si="28"/>
        <v>3228.9816000000005</v>
      </c>
      <c r="W311" s="3">
        <f t="shared" si="29"/>
        <v>310</v>
      </c>
    </row>
    <row r="312" spans="1:23" x14ac:dyDescent="0.2">
      <c r="A312" t="s">
        <v>112</v>
      </c>
      <c r="B312" t="s">
        <v>113</v>
      </c>
      <c r="C312" t="s">
        <v>31</v>
      </c>
      <c r="D312" t="s">
        <v>24</v>
      </c>
      <c r="E312" t="s">
        <v>49</v>
      </c>
      <c r="F312" s="7">
        <v>1045125</v>
      </c>
      <c r="G312" t="s">
        <v>196</v>
      </c>
      <c r="H312" s="5">
        <v>93885</v>
      </c>
      <c r="I312" s="12">
        <v>45885</v>
      </c>
      <c r="J312" s="15">
        <v>60</v>
      </c>
      <c r="K312" s="15">
        <v>3</v>
      </c>
      <c r="L312" s="9">
        <v>0.15740000000000001</v>
      </c>
      <c r="M312" s="9">
        <v>5.9400000000000001E-2</v>
      </c>
      <c r="N312" s="15">
        <v>5</v>
      </c>
      <c r="O312" t="s">
        <v>27</v>
      </c>
      <c r="P312" t="s">
        <v>28</v>
      </c>
      <c r="Q312" s="24">
        <v>0.35</v>
      </c>
      <c r="R312" s="5">
        <f t="shared" si="24"/>
        <v>2429.1779178082193</v>
      </c>
      <c r="S312" s="5">
        <f t="shared" si="25"/>
        <v>76.394095890410952</v>
      </c>
      <c r="T312" s="5">
        <f t="shared" si="26"/>
        <v>2352.7838219178084</v>
      </c>
      <c r="U312" s="15">
        <f t="shared" si="27"/>
        <v>55</v>
      </c>
      <c r="V312" s="3">
        <f t="shared" si="28"/>
        <v>3220.2554999999998</v>
      </c>
      <c r="W312" s="3">
        <f t="shared" si="29"/>
        <v>311</v>
      </c>
    </row>
    <row r="313" spans="1:23" x14ac:dyDescent="0.2">
      <c r="A313" t="s">
        <v>366</v>
      </c>
      <c r="B313" t="s">
        <v>367</v>
      </c>
      <c r="C313" t="s">
        <v>41</v>
      </c>
      <c r="D313" t="s">
        <v>37</v>
      </c>
      <c r="E313" t="s">
        <v>56</v>
      </c>
      <c r="F313" s="7">
        <v>13330124</v>
      </c>
      <c r="G313" t="s">
        <v>1035</v>
      </c>
      <c r="H313" s="5">
        <v>64730</v>
      </c>
      <c r="I313" s="12">
        <v>45922</v>
      </c>
      <c r="J313" s="15">
        <v>45</v>
      </c>
      <c r="K313" s="15">
        <v>7</v>
      </c>
      <c r="L313" s="9">
        <v>0.10920000000000001</v>
      </c>
      <c r="M313" s="9">
        <v>5.4100000000000002E-2</v>
      </c>
      <c r="N313" s="15">
        <v>10</v>
      </c>
      <c r="O313" t="s">
        <v>28</v>
      </c>
      <c r="P313" t="s">
        <v>28</v>
      </c>
      <c r="Q313" s="24">
        <v>0.9</v>
      </c>
      <c r="R313" s="5">
        <f t="shared" si="24"/>
        <v>871.46087671232874</v>
      </c>
      <c r="S313" s="5">
        <f t="shared" si="25"/>
        <v>95.942273972602734</v>
      </c>
      <c r="T313" s="5">
        <f t="shared" si="26"/>
        <v>775.51860273972602</v>
      </c>
      <c r="U313" s="15">
        <f t="shared" si="27"/>
        <v>35</v>
      </c>
      <c r="V313" s="3">
        <f t="shared" si="28"/>
        <v>3209.9607000000001</v>
      </c>
      <c r="W313" s="3">
        <f t="shared" si="29"/>
        <v>312</v>
      </c>
    </row>
    <row r="314" spans="1:23" x14ac:dyDescent="0.2">
      <c r="A314" t="s">
        <v>386</v>
      </c>
      <c r="B314" t="s">
        <v>387</v>
      </c>
      <c r="C314" t="s">
        <v>31</v>
      </c>
      <c r="D314" t="s">
        <v>37</v>
      </c>
      <c r="E314" t="s">
        <v>25</v>
      </c>
      <c r="F314" s="7">
        <v>5617789</v>
      </c>
      <c r="G314" t="s">
        <v>1654</v>
      </c>
      <c r="H314" s="5">
        <v>83511</v>
      </c>
      <c r="I314" s="12">
        <v>45748</v>
      </c>
      <c r="J314" s="15">
        <v>60</v>
      </c>
      <c r="K314" s="15">
        <v>2</v>
      </c>
      <c r="L314" s="9">
        <v>9.5100000000000004E-2</v>
      </c>
      <c r="M314" s="9">
        <v>5.2400000000000002E-2</v>
      </c>
      <c r="N314" s="15">
        <v>10</v>
      </c>
      <c r="O314" t="s">
        <v>27</v>
      </c>
      <c r="P314" t="s">
        <v>28</v>
      </c>
      <c r="Q314" s="24">
        <v>0.9</v>
      </c>
      <c r="R314" s="5">
        <f t="shared" si="24"/>
        <v>1305.5171671232877</v>
      </c>
      <c r="S314" s="5">
        <f t="shared" si="25"/>
        <v>119.88976438356165</v>
      </c>
      <c r="T314" s="5">
        <f t="shared" si="26"/>
        <v>1185.627402739726</v>
      </c>
      <c r="U314" s="15">
        <f t="shared" si="27"/>
        <v>50</v>
      </c>
      <c r="V314" s="3">
        <f t="shared" si="28"/>
        <v>3209.3277300000004</v>
      </c>
      <c r="W314" s="3">
        <f t="shared" si="29"/>
        <v>313</v>
      </c>
    </row>
    <row r="315" spans="1:23" x14ac:dyDescent="0.2">
      <c r="A315" t="s">
        <v>112</v>
      </c>
      <c r="B315" t="s">
        <v>113</v>
      </c>
      <c r="C315" t="s">
        <v>31</v>
      </c>
      <c r="D315" t="s">
        <v>24</v>
      </c>
      <c r="E315" t="s">
        <v>49</v>
      </c>
      <c r="F315" s="7">
        <v>1045125</v>
      </c>
      <c r="G315" t="s">
        <v>114</v>
      </c>
      <c r="H315" s="5">
        <v>32006</v>
      </c>
      <c r="I315" s="12">
        <v>45848</v>
      </c>
      <c r="J315" s="15">
        <v>60</v>
      </c>
      <c r="K315" s="15">
        <v>5</v>
      </c>
      <c r="L315" s="9">
        <v>0.15740000000000001</v>
      </c>
      <c r="M315" s="9">
        <v>4.6300000000000001E-2</v>
      </c>
      <c r="N315" s="15">
        <v>5</v>
      </c>
      <c r="O315" t="s">
        <v>28</v>
      </c>
      <c r="P315" t="s">
        <v>28</v>
      </c>
      <c r="Q315" s="24">
        <v>0.9</v>
      </c>
      <c r="R315" s="5">
        <f t="shared" si="24"/>
        <v>828.12236712328775</v>
      </c>
      <c r="S315" s="5">
        <f t="shared" si="25"/>
        <v>20.299695890410959</v>
      </c>
      <c r="T315" s="5">
        <f t="shared" si="26"/>
        <v>807.82267123287681</v>
      </c>
      <c r="U315" s="15">
        <f t="shared" si="27"/>
        <v>55</v>
      </c>
      <c r="V315" s="3">
        <f t="shared" si="28"/>
        <v>3200.2799400000004</v>
      </c>
      <c r="W315" s="3">
        <f t="shared" si="29"/>
        <v>314</v>
      </c>
    </row>
    <row r="316" spans="1:23" x14ac:dyDescent="0.2">
      <c r="A316" t="s">
        <v>220</v>
      </c>
      <c r="B316" t="s">
        <v>221</v>
      </c>
      <c r="C316" t="s">
        <v>36</v>
      </c>
      <c r="D316" t="s">
        <v>37</v>
      </c>
      <c r="E316" t="s">
        <v>25</v>
      </c>
      <c r="F316" s="7">
        <v>6280246</v>
      </c>
      <c r="G316" t="s">
        <v>1566</v>
      </c>
      <c r="H316" s="5">
        <v>56241</v>
      </c>
      <c r="I316" s="12">
        <v>46072</v>
      </c>
      <c r="J316" s="15">
        <v>60</v>
      </c>
      <c r="K316" s="15">
        <v>2</v>
      </c>
      <c r="L316" s="9">
        <v>0.1205</v>
      </c>
      <c r="M316" s="9">
        <v>5.7299999999999997E-2</v>
      </c>
      <c r="N316" s="15">
        <v>7</v>
      </c>
      <c r="O316" t="s">
        <v>27</v>
      </c>
      <c r="P316" t="s">
        <v>28</v>
      </c>
      <c r="Q316" s="24">
        <v>0.9</v>
      </c>
      <c r="R316" s="5">
        <f t="shared" si="24"/>
        <v>1114.0340547945204</v>
      </c>
      <c r="S316" s="5">
        <f t="shared" si="25"/>
        <v>61.803466027397256</v>
      </c>
      <c r="T316" s="5">
        <f t="shared" si="26"/>
        <v>1052.2305887671232</v>
      </c>
      <c r="U316" s="15">
        <f t="shared" si="27"/>
        <v>53</v>
      </c>
      <c r="V316" s="3">
        <f t="shared" si="28"/>
        <v>3198.9880800000005</v>
      </c>
      <c r="W316" s="3">
        <f t="shared" si="29"/>
        <v>315</v>
      </c>
    </row>
    <row r="317" spans="1:23" x14ac:dyDescent="0.2">
      <c r="A317" t="s">
        <v>837</v>
      </c>
      <c r="B317" t="s">
        <v>838</v>
      </c>
      <c r="C317" t="s">
        <v>77</v>
      </c>
      <c r="D317" t="s">
        <v>32</v>
      </c>
      <c r="E317" t="s">
        <v>25</v>
      </c>
      <c r="F317" s="7">
        <v>6051605</v>
      </c>
      <c r="G317" t="s">
        <v>1477</v>
      </c>
      <c r="H317" s="5">
        <v>88563</v>
      </c>
      <c r="I317" s="12">
        <v>45996</v>
      </c>
      <c r="J317" s="15">
        <v>90</v>
      </c>
      <c r="K317" s="15">
        <v>5</v>
      </c>
      <c r="L317" s="9">
        <v>0.11310000000000001</v>
      </c>
      <c r="M317" s="9">
        <v>5.7700000000000001E-2</v>
      </c>
      <c r="N317" s="15">
        <v>5</v>
      </c>
      <c r="O317" t="s">
        <v>27</v>
      </c>
      <c r="P317" t="s">
        <v>28</v>
      </c>
      <c r="Q317" s="24">
        <v>0.65</v>
      </c>
      <c r="R317" s="5">
        <f t="shared" si="24"/>
        <v>2469.8158273972604</v>
      </c>
      <c r="S317" s="5">
        <f t="shared" si="25"/>
        <v>70.001165753424658</v>
      </c>
      <c r="T317" s="5">
        <f t="shared" si="26"/>
        <v>2399.8146616438357</v>
      </c>
      <c r="U317" s="15">
        <f t="shared" si="27"/>
        <v>85</v>
      </c>
      <c r="V317" s="3">
        <f t="shared" si="28"/>
        <v>3189.1536300000007</v>
      </c>
      <c r="W317" s="3">
        <f t="shared" si="29"/>
        <v>316</v>
      </c>
    </row>
    <row r="318" spans="1:23" x14ac:dyDescent="0.2">
      <c r="A318" t="s">
        <v>72</v>
      </c>
      <c r="B318" t="s">
        <v>73</v>
      </c>
      <c r="C318" t="s">
        <v>31</v>
      </c>
      <c r="D318" t="s">
        <v>32</v>
      </c>
      <c r="E318" t="s">
        <v>56</v>
      </c>
      <c r="F318" s="7">
        <v>21625874</v>
      </c>
      <c r="G318" t="s">
        <v>1704</v>
      </c>
      <c r="H318" s="5">
        <v>109330</v>
      </c>
      <c r="I318" s="12">
        <v>45698</v>
      </c>
      <c r="J318" s="15">
        <v>60</v>
      </c>
      <c r="K318" s="15">
        <v>7</v>
      </c>
      <c r="L318" s="9">
        <v>9.5399999999999999E-2</v>
      </c>
      <c r="M318" s="9">
        <v>5.8999999999999997E-2</v>
      </c>
      <c r="N318" s="15">
        <v>8</v>
      </c>
      <c r="O318" t="s">
        <v>27</v>
      </c>
      <c r="P318" t="s">
        <v>28</v>
      </c>
      <c r="Q318" s="24">
        <v>0.8</v>
      </c>
      <c r="R318" s="5">
        <f t="shared" si="24"/>
        <v>1714.5340273972602</v>
      </c>
      <c r="S318" s="5">
        <f t="shared" si="25"/>
        <v>141.38016438356163</v>
      </c>
      <c r="T318" s="5">
        <f t="shared" si="26"/>
        <v>1573.1538630136986</v>
      </c>
      <c r="U318" s="15">
        <f t="shared" si="27"/>
        <v>52</v>
      </c>
      <c r="V318" s="3">
        <f t="shared" si="28"/>
        <v>3183.6896000000006</v>
      </c>
      <c r="W318" s="3">
        <f t="shared" si="29"/>
        <v>317</v>
      </c>
    </row>
    <row r="319" spans="1:23" x14ac:dyDescent="0.2">
      <c r="A319" t="s">
        <v>429</v>
      </c>
      <c r="B319" t="s">
        <v>430</v>
      </c>
      <c r="C319" t="s">
        <v>41</v>
      </c>
      <c r="D319" t="s">
        <v>48</v>
      </c>
      <c r="E319" t="s">
        <v>56</v>
      </c>
      <c r="F319" s="7">
        <v>22445214</v>
      </c>
      <c r="G319" t="s">
        <v>431</v>
      </c>
      <c r="H319" s="5">
        <v>105747</v>
      </c>
      <c r="I319" s="12">
        <v>46012</v>
      </c>
      <c r="J319" s="15">
        <v>60</v>
      </c>
      <c r="K319" s="15">
        <v>5</v>
      </c>
      <c r="L319" s="9">
        <v>8.4000000000000005E-2</v>
      </c>
      <c r="M319" s="9">
        <v>4.65E-2</v>
      </c>
      <c r="N319" s="15">
        <v>10</v>
      </c>
      <c r="O319" t="s">
        <v>27</v>
      </c>
      <c r="P319" t="s">
        <v>28</v>
      </c>
      <c r="Q319" s="24">
        <v>0.8</v>
      </c>
      <c r="R319" s="5">
        <f t="shared" si="24"/>
        <v>1460.1777534246578</v>
      </c>
      <c r="S319" s="5">
        <f t="shared" si="25"/>
        <v>134.71878082191779</v>
      </c>
      <c r="T319" s="5">
        <f t="shared" si="26"/>
        <v>1325.45897260274</v>
      </c>
      <c r="U319" s="15">
        <f t="shared" si="27"/>
        <v>50</v>
      </c>
      <c r="V319" s="3">
        <f t="shared" si="28"/>
        <v>3172.4100000000008</v>
      </c>
      <c r="W319" s="3">
        <f t="shared" si="29"/>
        <v>318</v>
      </c>
    </row>
    <row r="320" spans="1:23" x14ac:dyDescent="0.2">
      <c r="A320" t="s">
        <v>203</v>
      </c>
      <c r="B320" t="s">
        <v>204</v>
      </c>
      <c r="C320" t="s">
        <v>23</v>
      </c>
      <c r="D320" t="s">
        <v>24</v>
      </c>
      <c r="E320" t="s">
        <v>25</v>
      </c>
      <c r="F320" s="7">
        <v>1716971</v>
      </c>
      <c r="G320" t="s">
        <v>980</v>
      </c>
      <c r="H320" s="5">
        <v>92939</v>
      </c>
      <c r="I320" s="12">
        <v>45927</v>
      </c>
      <c r="J320" s="15">
        <v>60</v>
      </c>
      <c r="K320" s="15">
        <v>5</v>
      </c>
      <c r="L320" s="9">
        <v>9.4600000000000004E-2</v>
      </c>
      <c r="M320" s="9">
        <v>5.21E-2</v>
      </c>
      <c r="N320" s="15">
        <v>7</v>
      </c>
      <c r="O320" t="s">
        <v>28</v>
      </c>
      <c r="P320" t="s">
        <v>28</v>
      </c>
      <c r="Q320" s="24">
        <v>0.8</v>
      </c>
      <c r="R320" s="5">
        <f t="shared" si="24"/>
        <v>1445.2651068493149</v>
      </c>
      <c r="S320" s="5">
        <f t="shared" si="25"/>
        <v>92.862611780821922</v>
      </c>
      <c r="T320" s="5">
        <f t="shared" si="26"/>
        <v>1352.402495068493</v>
      </c>
      <c r="U320" s="15">
        <f t="shared" si="27"/>
        <v>53</v>
      </c>
      <c r="V320" s="3">
        <f t="shared" si="28"/>
        <v>3159.9260000000004</v>
      </c>
      <c r="W320" s="3">
        <f t="shared" si="29"/>
        <v>319</v>
      </c>
    </row>
    <row r="321" spans="1:23" x14ac:dyDescent="0.2">
      <c r="A321" t="s">
        <v>68</v>
      </c>
      <c r="B321" t="s">
        <v>69</v>
      </c>
      <c r="C321" t="s">
        <v>36</v>
      </c>
      <c r="D321" t="s">
        <v>37</v>
      </c>
      <c r="E321" t="s">
        <v>25</v>
      </c>
      <c r="F321" s="7">
        <v>3469396</v>
      </c>
      <c r="G321" t="s">
        <v>182</v>
      </c>
      <c r="H321" s="5">
        <v>106861</v>
      </c>
      <c r="I321" s="12">
        <v>45816</v>
      </c>
      <c r="J321" s="15">
        <v>90</v>
      </c>
      <c r="K321" s="15">
        <v>7</v>
      </c>
      <c r="L321" s="9">
        <v>0.1216</v>
      </c>
      <c r="M321" s="9">
        <v>6.25E-2</v>
      </c>
      <c r="N321" s="15">
        <v>7</v>
      </c>
      <c r="O321" t="s">
        <v>28</v>
      </c>
      <c r="P321" t="s">
        <v>28</v>
      </c>
      <c r="Q321" s="24">
        <v>0.5</v>
      </c>
      <c r="R321" s="5">
        <f t="shared" si="24"/>
        <v>3204.0733808219175</v>
      </c>
      <c r="S321" s="5">
        <f t="shared" si="25"/>
        <v>128.08681506849317</v>
      </c>
      <c r="T321" s="5">
        <f t="shared" si="26"/>
        <v>3075.9865657534242</v>
      </c>
      <c r="U321" s="15">
        <f t="shared" si="27"/>
        <v>83</v>
      </c>
      <c r="V321" s="3">
        <f t="shared" si="28"/>
        <v>3157.7425499999999</v>
      </c>
      <c r="W321" s="3">
        <f t="shared" si="29"/>
        <v>320</v>
      </c>
    </row>
    <row r="322" spans="1:23" x14ac:dyDescent="0.2">
      <c r="A322" t="s">
        <v>407</v>
      </c>
      <c r="B322" t="s">
        <v>218</v>
      </c>
      <c r="C322" t="s">
        <v>41</v>
      </c>
      <c r="D322" t="s">
        <v>32</v>
      </c>
      <c r="E322" t="s">
        <v>25</v>
      </c>
      <c r="F322" s="7">
        <v>1514188</v>
      </c>
      <c r="G322" t="s">
        <v>1077</v>
      </c>
      <c r="H322" s="5">
        <v>69203</v>
      </c>
      <c r="I322" s="12">
        <v>45910</v>
      </c>
      <c r="J322" s="15">
        <v>45</v>
      </c>
      <c r="K322" s="15">
        <v>5</v>
      </c>
      <c r="L322" s="9">
        <v>0.11600000000000001</v>
      </c>
      <c r="M322" s="9">
        <v>4.58E-2</v>
      </c>
      <c r="N322" s="15">
        <v>7</v>
      </c>
      <c r="O322" t="s">
        <v>27</v>
      </c>
      <c r="P322" t="s">
        <v>28</v>
      </c>
      <c r="Q322" s="24">
        <v>0.65</v>
      </c>
      <c r="R322" s="5">
        <f t="shared" ref="R322:R385" si="30">H322*L322*(J322/365)</f>
        <v>989.69769863013698</v>
      </c>
      <c r="S322" s="5">
        <f t="shared" ref="S322:S385" si="31">H322*M322*(N322/365)</f>
        <v>60.784881643835625</v>
      </c>
      <c r="T322" s="5">
        <f t="shared" ref="T322:T385" si="32">R322-S322</f>
        <v>928.91281698630132</v>
      </c>
      <c r="U322" s="15">
        <f t="shared" ref="U322:U385" si="33">J322-N322</f>
        <v>38</v>
      </c>
      <c r="V322" s="3">
        <f t="shared" ref="V322:V385" si="34">Q322*(L322-M322)*H322</f>
        <v>3157.7328900000007</v>
      </c>
      <c r="W322" s="3">
        <f t="shared" ref="W322:W385" si="35">RANK(V322,$V$2:$V$1501)</f>
        <v>321</v>
      </c>
    </row>
    <row r="323" spans="1:23" x14ac:dyDescent="0.2">
      <c r="A323" t="s">
        <v>210</v>
      </c>
      <c r="B323" t="s">
        <v>211</v>
      </c>
      <c r="C323" t="s">
        <v>41</v>
      </c>
      <c r="D323" t="s">
        <v>32</v>
      </c>
      <c r="E323" t="s">
        <v>56</v>
      </c>
      <c r="F323" s="7">
        <v>17014146</v>
      </c>
      <c r="G323" t="s">
        <v>705</v>
      </c>
      <c r="H323" s="5">
        <v>81444</v>
      </c>
      <c r="I323" s="12">
        <v>45952</v>
      </c>
      <c r="J323" s="15">
        <v>60</v>
      </c>
      <c r="K323" s="15">
        <v>5</v>
      </c>
      <c r="L323" s="9">
        <v>0.1037</v>
      </c>
      <c r="M323" s="9">
        <v>6.08E-2</v>
      </c>
      <c r="N323" s="15">
        <v>8</v>
      </c>
      <c r="O323" t="s">
        <v>27</v>
      </c>
      <c r="P323" t="s">
        <v>28</v>
      </c>
      <c r="Q323" s="24">
        <v>0.9</v>
      </c>
      <c r="R323" s="5">
        <f t="shared" si="30"/>
        <v>1388.3412821917807</v>
      </c>
      <c r="S323" s="5">
        <f t="shared" si="31"/>
        <v>108.53249753424657</v>
      </c>
      <c r="T323" s="5">
        <f t="shared" si="32"/>
        <v>1279.808784657534</v>
      </c>
      <c r="U323" s="15">
        <f t="shared" si="33"/>
        <v>52</v>
      </c>
      <c r="V323" s="3">
        <f t="shared" si="34"/>
        <v>3144.5528399999998</v>
      </c>
      <c r="W323" s="3">
        <f t="shared" si="35"/>
        <v>322</v>
      </c>
    </row>
    <row r="324" spans="1:23" x14ac:dyDescent="0.2">
      <c r="A324" t="s">
        <v>236</v>
      </c>
      <c r="B324" t="s">
        <v>204</v>
      </c>
      <c r="C324" t="s">
        <v>41</v>
      </c>
      <c r="D324" t="s">
        <v>66</v>
      </c>
      <c r="E324" t="s">
        <v>25</v>
      </c>
      <c r="F324" s="7">
        <v>2121447</v>
      </c>
      <c r="G324" t="s">
        <v>1782</v>
      </c>
      <c r="H324" s="5">
        <v>59850</v>
      </c>
      <c r="I324" s="12">
        <v>45849</v>
      </c>
      <c r="J324" s="15">
        <v>90</v>
      </c>
      <c r="K324" s="15">
        <v>2</v>
      </c>
      <c r="L324" s="9">
        <v>0.11890000000000001</v>
      </c>
      <c r="M324" s="9">
        <v>6.0699999999999997E-2</v>
      </c>
      <c r="N324" s="15">
        <v>5</v>
      </c>
      <c r="O324" t="s">
        <v>27</v>
      </c>
      <c r="P324" t="s">
        <v>28</v>
      </c>
      <c r="Q324" s="24">
        <v>0.9</v>
      </c>
      <c r="R324" s="5">
        <f t="shared" si="30"/>
        <v>1754.6708219178081</v>
      </c>
      <c r="S324" s="5">
        <f t="shared" si="31"/>
        <v>49.765684931506847</v>
      </c>
      <c r="T324" s="5">
        <f t="shared" si="32"/>
        <v>1704.9051369863012</v>
      </c>
      <c r="U324" s="15">
        <f t="shared" si="33"/>
        <v>85</v>
      </c>
      <c r="V324" s="3">
        <f t="shared" si="34"/>
        <v>3134.9430000000007</v>
      </c>
      <c r="W324" s="3">
        <f t="shared" si="35"/>
        <v>323</v>
      </c>
    </row>
    <row r="325" spans="1:23" x14ac:dyDescent="0.2">
      <c r="A325" t="s">
        <v>247</v>
      </c>
      <c r="B325" t="s">
        <v>47</v>
      </c>
      <c r="C325" t="s">
        <v>31</v>
      </c>
      <c r="D325" t="s">
        <v>48</v>
      </c>
      <c r="E325" t="s">
        <v>49</v>
      </c>
      <c r="F325" s="7">
        <v>1089809</v>
      </c>
      <c r="G325" t="s">
        <v>1327</v>
      </c>
      <c r="H325" s="5">
        <v>44651</v>
      </c>
      <c r="I325" s="12">
        <v>45915</v>
      </c>
      <c r="J325" s="15">
        <v>60</v>
      </c>
      <c r="K325" s="15">
        <v>5</v>
      </c>
      <c r="L325" s="9">
        <v>0.16689999999999999</v>
      </c>
      <c r="M325" s="9">
        <v>5.91E-2</v>
      </c>
      <c r="N325" s="15">
        <v>6</v>
      </c>
      <c r="O325" t="s">
        <v>27</v>
      </c>
      <c r="P325" t="s">
        <v>28</v>
      </c>
      <c r="Q325" s="24">
        <v>0.65</v>
      </c>
      <c r="R325" s="5">
        <f t="shared" si="30"/>
        <v>1225.027709589041</v>
      </c>
      <c r="S325" s="5">
        <f t="shared" si="31"/>
        <v>43.378752328767121</v>
      </c>
      <c r="T325" s="5">
        <f t="shared" si="32"/>
        <v>1181.6489572602738</v>
      </c>
      <c r="U325" s="15">
        <f t="shared" si="33"/>
        <v>54</v>
      </c>
      <c r="V325" s="3">
        <f t="shared" si="34"/>
        <v>3128.6955699999999</v>
      </c>
      <c r="W325" s="3">
        <f t="shared" si="35"/>
        <v>324</v>
      </c>
    </row>
    <row r="326" spans="1:23" x14ac:dyDescent="0.2">
      <c r="A326" t="s">
        <v>448</v>
      </c>
      <c r="B326" t="s">
        <v>264</v>
      </c>
      <c r="C326" t="s">
        <v>77</v>
      </c>
      <c r="D326" t="s">
        <v>37</v>
      </c>
      <c r="E326" t="s">
        <v>25</v>
      </c>
      <c r="F326" s="7">
        <v>5041335</v>
      </c>
      <c r="G326" t="s">
        <v>1517</v>
      </c>
      <c r="H326" s="5">
        <v>78954</v>
      </c>
      <c r="I326" s="12">
        <v>45727</v>
      </c>
      <c r="J326" s="15">
        <v>60</v>
      </c>
      <c r="K326" s="15">
        <v>2</v>
      </c>
      <c r="L326" s="9">
        <v>0.1198</v>
      </c>
      <c r="M326" s="9">
        <v>5.8999999999999997E-2</v>
      </c>
      <c r="N326" s="15">
        <v>10</v>
      </c>
      <c r="O326" t="s">
        <v>28</v>
      </c>
      <c r="P326" t="s">
        <v>28</v>
      </c>
      <c r="Q326" s="24">
        <v>0.65</v>
      </c>
      <c r="R326" s="5">
        <f t="shared" si="30"/>
        <v>1554.8530191780821</v>
      </c>
      <c r="S326" s="5">
        <f t="shared" si="31"/>
        <v>127.62427397260274</v>
      </c>
      <c r="T326" s="5">
        <f t="shared" si="32"/>
        <v>1427.2287452054793</v>
      </c>
      <c r="U326" s="15">
        <f t="shared" si="33"/>
        <v>50</v>
      </c>
      <c r="V326" s="3">
        <f t="shared" si="34"/>
        <v>3120.2620800000004</v>
      </c>
      <c r="W326" s="3">
        <f t="shared" si="35"/>
        <v>325</v>
      </c>
    </row>
    <row r="327" spans="1:23" x14ac:dyDescent="0.2">
      <c r="A327" t="s">
        <v>273</v>
      </c>
      <c r="B327" t="s">
        <v>274</v>
      </c>
      <c r="C327" t="s">
        <v>41</v>
      </c>
      <c r="D327" t="s">
        <v>37</v>
      </c>
      <c r="E327" t="s">
        <v>56</v>
      </c>
      <c r="F327" s="7">
        <v>12001432</v>
      </c>
      <c r="G327" t="s">
        <v>275</v>
      </c>
      <c r="H327" s="5">
        <v>89569</v>
      </c>
      <c r="I327" s="12">
        <v>45679</v>
      </c>
      <c r="J327" s="15">
        <v>90</v>
      </c>
      <c r="K327" s="15">
        <v>3</v>
      </c>
      <c r="L327" s="9">
        <v>9.1800000000000007E-2</v>
      </c>
      <c r="M327" s="9">
        <v>4.8399999999999999E-2</v>
      </c>
      <c r="N327" s="15">
        <v>10</v>
      </c>
      <c r="O327" t="s">
        <v>27</v>
      </c>
      <c r="P327" t="s">
        <v>28</v>
      </c>
      <c r="Q327" s="24">
        <v>0.8</v>
      </c>
      <c r="R327" s="5">
        <f t="shared" si="30"/>
        <v>2027.4495287671232</v>
      </c>
      <c r="S327" s="5">
        <f t="shared" si="31"/>
        <v>118.77094794520546</v>
      </c>
      <c r="T327" s="5">
        <f t="shared" si="32"/>
        <v>1908.6785808219176</v>
      </c>
      <c r="U327" s="15">
        <f t="shared" si="33"/>
        <v>80</v>
      </c>
      <c r="V327" s="3">
        <f t="shared" si="34"/>
        <v>3109.8356800000006</v>
      </c>
      <c r="W327" s="3">
        <f t="shared" si="35"/>
        <v>326</v>
      </c>
    </row>
    <row r="328" spans="1:23" x14ac:dyDescent="0.2">
      <c r="A328" t="s">
        <v>711</v>
      </c>
      <c r="B328" t="s">
        <v>190</v>
      </c>
      <c r="C328" t="s">
        <v>77</v>
      </c>
      <c r="D328" t="s">
        <v>37</v>
      </c>
      <c r="E328" t="s">
        <v>49</v>
      </c>
      <c r="F328" s="7">
        <v>407422</v>
      </c>
      <c r="G328" t="s">
        <v>885</v>
      </c>
      <c r="H328" s="5">
        <v>61664</v>
      </c>
      <c r="I328" s="12">
        <v>46044</v>
      </c>
      <c r="J328" s="15">
        <v>60</v>
      </c>
      <c r="K328" s="15">
        <v>10</v>
      </c>
      <c r="L328" s="9">
        <v>0.121</v>
      </c>
      <c r="M328" s="9">
        <v>5.8200000000000002E-2</v>
      </c>
      <c r="N328" s="15">
        <v>5</v>
      </c>
      <c r="O328" t="s">
        <v>28</v>
      </c>
      <c r="P328" t="s">
        <v>28</v>
      </c>
      <c r="Q328" s="24">
        <v>0.8</v>
      </c>
      <c r="R328" s="5">
        <f t="shared" si="30"/>
        <v>1226.522301369863</v>
      </c>
      <c r="S328" s="5">
        <f t="shared" si="31"/>
        <v>49.162257534246578</v>
      </c>
      <c r="T328" s="5">
        <f t="shared" si="32"/>
        <v>1177.3600438356166</v>
      </c>
      <c r="U328" s="15">
        <f t="shared" si="33"/>
        <v>55</v>
      </c>
      <c r="V328" s="3">
        <f t="shared" si="34"/>
        <v>3097.9993599999998</v>
      </c>
      <c r="W328" s="3">
        <f t="shared" si="35"/>
        <v>327</v>
      </c>
    </row>
    <row r="329" spans="1:23" x14ac:dyDescent="0.2">
      <c r="A329" t="s">
        <v>448</v>
      </c>
      <c r="B329" t="s">
        <v>264</v>
      </c>
      <c r="C329" t="s">
        <v>77</v>
      </c>
      <c r="D329" t="s">
        <v>37</v>
      </c>
      <c r="E329" t="s">
        <v>25</v>
      </c>
      <c r="F329" s="7">
        <v>5041335</v>
      </c>
      <c r="G329" t="s">
        <v>652</v>
      </c>
      <c r="H329" s="5">
        <v>101573</v>
      </c>
      <c r="I329" s="12">
        <v>46074</v>
      </c>
      <c r="J329" s="15">
        <v>45</v>
      </c>
      <c r="K329" s="15">
        <v>2</v>
      </c>
      <c r="L329" s="9">
        <v>0.1198</v>
      </c>
      <c r="M329" s="9">
        <v>5.8799999999999998E-2</v>
      </c>
      <c r="N329" s="15">
        <v>7</v>
      </c>
      <c r="O329" t="s">
        <v>28</v>
      </c>
      <c r="P329" t="s">
        <v>28</v>
      </c>
      <c r="Q329" s="24">
        <v>0.5</v>
      </c>
      <c r="R329" s="5">
        <f t="shared" si="30"/>
        <v>1500.2192958904109</v>
      </c>
      <c r="S329" s="5">
        <f t="shared" si="31"/>
        <v>114.54095013698631</v>
      </c>
      <c r="T329" s="5">
        <f t="shared" si="32"/>
        <v>1385.6783457534245</v>
      </c>
      <c r="U329" s="15">
        <f t="shared" si="33"/>
        <v>38</v>
      </c>
      <c r="V329" s="3">
        <f t="shared" si="34"/>
        <v>3097.9765000000002</v>
      </c>
      <c r="W329" s="3">
        <f t="shared" si="35"/>
        <v>328</v>
      </c>
    </row>
    <row r="330" spans="1:23" x14ac:dyDescent="0.2">
      <c r="A330" t="s">
        <v>236</v>
      </c>
      <c r="B330" t="s">
        <v>204</v>
      </c>
      <c r="C330" t="s">
        <v>41</v>
      </c>
      <c r="D330" t="s">
        <v>66</v>
      </c>
      <c r="E330" t="s">
        <v>25</v>
      </c>
      <c r="F330" s="7">
        <v>2121447</v>
      </c>
      <c r="G330" t="s">
        <v>734</v>
      </c>
      <c r="H330" s="5">
        <v>100580</v>
      </c>
      <c r="I330" s="12">
        <v>45975</v>
      </c>
      <c r="J330" s="15">
        <v>90</v>
      </c>
      <c r="K330" s="15">
        <v>5</v>
      </c>
      <c r="L330" s="9">
        <v>0.11890000000000001</v>
      </c>
      <c r="M330" s="9">
        <v>5.7299999999999997E-2</v>
      </c>
      <c r="N330" s="15">
        <v>10</v>
      </c>
      <c r="O330" t="s">
        <v>27</v>
      </c>
      <c r="P330" t="s">
        <v>28</v>
      </c>
      <c r="Q330" s="24">
        <v>0.5</v>
      </c>
      <c r="R330" s="5">
        <f t="shared" si="30"/>
        <v>2948.7851506849315</v>
      </c>
      <c r="S330" s="5">
        <f t="shared" si="31"/>
        <v>157.89682191780818</v>
      </c>
      <c r="T330" s="5">
        <f t="shared" si="32"/>
        <v>2790.8883287671233</v>
      </c>
      <c r="U330" s="15">
        <f t="shared" si="33"/>
        <v>80</v>
      </c>
      <c r="V330" s="3">
        <f t="shared" si="34"/>
        <v>3097.8640000000005</v>
      </c>
      <c r="W330" s="3">
        <f t="shared" si="35"/>
        <v>329</v>
      </c>
    </row>
    <row r="331" spans="1:23" x14ac:dyDescent="0.2">
      <c r="A331" t="s">
        <v>153</v>
      </c>
      <c r="B331" t="s">
        <v>154</v>
      </c>
      <c r="C331" t="s">
        <v>41</v>
      </c>
      <c r="D331" t="s">
        <v>66</v>
      </c>
      <c r="E331" t="s">
        <v>49</v>
      </c>
      <c r="F331" s="7">
        <v>367690</v>
      </c>
      <c r="G331" t="s">
        <v>361</v>
      </c>
      <c r="H331" s="5">
        <v>51552</v>
      </c>
      <c r="I331" s="12">
        <v>46034</v>
      </c>
      <c r="J331" s="15">
        <v>90</v>
      </c>
      <c r="K331" s="15">
        <v>10</v>
      </c>
      <c r="L331" s="9">
        <v>0.1305</v>
      </c>
      <c r="M331" s="9">
        <v>5.5399999999999998E-2</v>
      </c>
      <c r="N331" s="15">
        <v>8</v>
      </c>
      <c r="O331" t="s">
        <v>27</v>
      </c>
      <c r="P331" t="s">
        <v>28</v>
      </c>
      <c r="Q331" s="24">
        <v>0.8</v>
      </c>
      <c r="R331" s="5">
        <f t="shared" si="30"/>
        <v>1658.8444931506849</v>
      </c>
      <c r="S331" s="5">
        <f t="shared" si="31"/>
        <v>62.596839452054788</v>
      </c>
      <c r="T331" s="5">
        <f t="shared" si="32"/>
        <v>1596.2476536986301</v>
      </c>
      <c r="U331" s="15">
        <f t="shared" si="33"/>
        <v>82</v>
      </c>
      <c r="V331" s="3">
        <f t="shared" si="34"/>
        <v>3097.2441600000002</v>
      </c>
      <c r="W331" s="3">
        <f t="shared" si="35"/>
        <v>330</v>
      </c>
    </row>
    <row r="332" spans="1:23" x14ac:dyDescent="0.2">
      <c r="A332" t="s">
        <v>285</v>
      </c>
      <c r="B332" t="s">
        <v>286</v>
      </c>
      <c r="C332" t="s">
        <v>77</v>
      </c>
      <c r="D332" t="s">
        <v>32</v>
      </c>
      <c r="E332" t="s">
        <v>25</v>
      </c>
      <c r="F332" s="7">
        <v>6140796</v>
      </c>
      <c r="G332" t="s">
        <v>556</v>
      </c>
      <c r="H332" s="5">
        <v>104340</v>
      </c>
      <c r="I332" s="12">
        <v>45755</v>
      </c>
      <c r="J332" s="15">
        <v>30</v>
      </c>
      <c r="K332" s="15">
        <v>10</v>
      </c>
      <c r="L332" s="9">
        <v>0.13300000000000001</v>
      </c>
      <c r="M332" s="9">
        <v>4.8300000000000003E-2</v>
      </c>
      <c r="N332" s="15">
        <v>8</v>
      </c>
      <c r="O332" t="s">
        <v>28</v>
      </c>
      <c r="P332" t="s">
        <v>28</v>
      </c>
      <c r="Q332" s="24">
        <v>0.35</v>
      </c>
      <c r="R332" s="5">
        <f t="shared" si="30"/>
        <v>1140.5934246575343</v>
      </c>
      <c r="S332" s="5">
        <f t="shared" si="31"/>
        <v>110.4574684931507</v>
      </c>
      <c r="T332" s="5">
        <f t="shared" si="32"/>
        <v>1030.1359561643837</v>
      </c>
      <c r="U332" s="15">
        <f t="shared" si="33"/>
        <v>22</v>
      </c>
      <c r="V332" s="3">
        <f t="shared" si="34"/>
        <v>3093.1592999999998</v>
      </c>
      <c r="W332" s="3">
        <f t="shared" si="35"/>
        <v>331</v>
      </c>
    </row>
    <row r="333" spans="1:23" x14ac:dyDescent="0.2">
      <c r="A333" t="s">
        <v>672</v>
      </c>
      <c r="B333" t="s">
        <v>110</v>
      </c>
      <c r="C333" t="s">
        <v>31</v>
      </c>
      <c r="D333" t="s">
        <v>48</v>
      </c>
      <c r="E333" t="s">
        <v>49</v>
      </c>
      <c r="F333" s="7">
        <v>639703</v>
      </c>
      <c r="G333" t="s">
        <v>673</v>
      </c>
      <c r="H333" s="5">
        <v>106409</v>
      </c>
      <c r="I333" s="12">
        <v>46060</v>
      </c>
      <c r="J333" s="15">
        <v>60</v>
      </c>
      <c r="K333" s="15">
        <v>10</v>
      </c>
      <c r="L333" s="9">
        <v>0.1148</v>
      </c>
      <c r="M333" s="9">
        <v>5.67E-2</v>
      </c>
      <c r="N333" s="15">
        <v>5</v>
      </c>
      <c r="O333" t="s">
        <v>27</v>
      </c>
      <c r="P333" t="s">
        <v>28</v>
      </c>
      <c r="Q333" s="24">
        <v>0.5</v>
      </c>
      <c r="R333" s="5">
        <f t="shared" si="30"/>
        <v>2008.069019178082</v>
      </c>
      <c r="S333" s="5">
        <f t="shared" si="31"/>
        <v>82.649182191780824</v>
      </c>
      <c r="T333" s="5">
        <f t="shared" si="32"/>
        <v>1925.4198369863011</v>
      </c>
      <c r="U333" s="15">
        <f t="shared" si="33"/>
        <v>55</v>
      </c>
      <c r="V333" s="3">
        <f t="shared" si="34"/>
        <v>3091.18145</v>
      </c>
      <c r="W333" s="3">
        <f t="shared" si="35"/>
        <v>332</v>
      </c>
    </row>
    <row r="334" spans="1:23" x14ac:dyDescent="0.2">
      <c r="A334" t="s">
        <v>189</v>
      </c>
      <c r="B334" t="s">
        <v>190</v>
      </c>
      <c r="C334" t="s">
        <v>36</v>
      </c>
      <c r="D334" t="s">
        <v>37</v>
      </c>
      <c r="E334" t="s">
        <v>49</v>
      </c>
      <c r="F334" s="7">
        <v>965613</v>
      </c>
      <c r="G334" t="s">
        <v>739</v>
      </c>
      <c r="H334" s="5">
        <v>83901</v>
      </c>
      <c r="I334" s="12">
        <v>45765</v>
      </c>
      <c r="J334" s="15">
        <v>45</v>
      </c>
      <c r="K334" s="15">
        <v>4</v>
      </c>
      <c r="L334" s="9">
        <v>0.1109</v>
      </c>
      <c r="M334" s="9">
        <v>5.4399999999999997E-2</v>
      </c>
      <c r="N334" s="15">
        <v>10</v>
      </c>
      <c r="O334" t="s">
        <v>27</v>
      </c>
      <c r="P334" t="s">
        <v>28</v>
      </c>
      <c r="Q334" s="24">
        <v>0.65</v>
      </c>
      <c r="R334" s="5">
        <f t="shared" si="30"/>
        <v>1147.1450424657532</v>
      </c>
      <c r="S334" s="5">
        <f t="shared" si="31"/>
        <v>125.04696986301369</v>
      </c>
      <c r="T334" s="5">
        <f t="shared" si="32"/>
        <v>1022.0980726027395</v>
      </c>
      <c r="U334" s="15">
        <f t="shared" si="33"/>
        <v>35</v>
      </c>
      <c r="V334" s="3">
        <f t="shared" si="34"/>
        <v>3081.2642249999999</v>
      </c>
      <c r="W334" s="3">
        <f t="shared" si="35"/>
        <v>333</v>
      </c>
    </row>
    <row r="335" spans="1:23" x14ac:dyDescent="0.2">
      <c r="A335" t="s">
        <v>448</v>
      </c>
      <c r="B335" t="s">
        <v>264</v>
      </c>
      <c r="C335" t="s">
        <v>77</v>
      </c>
      <c r="D335" t="s">
        <v>37</v>
      </c>
      <c r="E335" t="s">
        <v>25</v>
      </c>
      <c r="F335" s="7">
        <v>5041335</v>
      </c>
      <c r="G335" t="s">
        <v>1187</v>
      </c>
      <c r="H335" s="5">
        <v>97420</v>
      </c>
      <c r="I335" s="12">
        <v>45966</v>
      </c>
      <c r="J335" s="15">
        <v>60</v>
      </c>
      <c r="K335" s="15">
        <v>4</v>
      </c>
      <c r="L335" s="9">
        <v>0.1198</v>
      </c>
      <c r="M335" s="9">
        <v>5.67E-2</v>
      </c>
      <c r="N335" s="15">
        <v>10</v>
      </c>
      <c r="O335" t="s">
        <v>27</v>
      </c>
      <c r="P335" t="s">
        <v>28</v>
      </c>
      <c r="Q335" s="24">
        <v>0.5</v>
      </c>
      <c r="R335" s="5">
        <f t="shared" si="30"/>
        <v>1918.5067397260275</v>
      </c>
      <c r="S335" s="5">
        <f t="shared" si="31"/>
        <v>151.33463013698628</v>
      </c>
      <c r="T335" s="5">
        <f t="shared" si="32"/>
        <v>1767.1721095890412</v>
      </c>
      <c r="U335" s="15">
        <f t="shared" si="33"/>
        <v>50</v>
      </c>
      <c r="V335" s="3">
        <f t="shared" si="34"/>
        <v>3073.6010000000001</v>
      </c>
      <c r="W335" s="3">
        <f t="shared" si="35"/>
        <v>334</v>
      </c>
    </row>
    <row r="336" spans="1:23" x14ac:dyDescent="0.2">
      <c r="A336" t="s">
        <v>386</v>
      </c>
      <c r="B336" t="s">
        <v>387</v>
      </c>
      <c r="C336" t="s">
        <v>31</v>
      </c>
      <c r="D336" t="s">
        <v>37</v>
      </c>
      <c r="E336" t="s">
        <v>25</v>
      </c>
      <c r="F336" s="7">
        <v>5617789</v>
      </c>
      <c r="G336" t="s">
        <v>757</v>
      </c>
      <c r="H336" s="5">
        <v>82855</v>
      </c>
      <c r="I336" s="12">
        <v>46041</v>
      </c>
      <c r="J336" s="15">
        <v>90</v>
      </c>
      <c r="K336" s="15">
        <v>7</v>
      </c>
      <c r="L336" s="9">
        <v>9.5100000000000004E-2</v>
      </c>
      <c r="M336" s="9">
        <v>5.3900000000000003E-2</v>
      </c>
      <c r="N336" s="15">
        <v>10</v>
      </c>
      <c r="O336" t="s">
        <v>28</v>
      </c>
      <c r="P336" t="s">
        <v>28</v>
      </c>
      <c r="Q336" s="24">
        <v>0.9</v>
      </c>
      <c r="R336" s="5">
        <f t="shared" si="30"/>
        <v>1942.893</v>
      </c>
      <c r="S336" s="5">
        <f t="shared" si="31"/>
        <v>122.35299999999999</v>
      </c>
      <c r="T336" s="5">
        <f t="shared" si="32"/>
        <v>1820.54</v>
      </c>
      <c r="U336" s="15">
        <f t="shared" si="33"/>
        <v>80</v>
      </c>
      <c r="V336" s="3">
        <f t="shared" si="34"/>
        <v>3072.2634000000003</v>
      </c>
      <c r="W336" s="3">
        <f t="shared" si="35"/>
        <v>335</v>
      </c>
    </row>
    <row r="337" spans="1:23" x14ac:dyDescent="0.2">
      <c r="A337" t="s">
        <v>130</v>
      </c>
      <c r="B337" t="s">
        <v>131</v>
      </c>
      <c r="C337" t="s">
        <v>36</v>
      </c>
      <c r="D337" t="s">
        <v>48</v>
      </c>
      <c r="E337" t="s">
        <v>56</v>
      </c>
      <c r="F337" s="7">
        <v>10372464</v>
      </c>
      <c r="G337" t="s">
        <v>1511</v>
      </c>
      <c r="H337" s="5">
        <v>83543</v>
      </c>
      <c r="I337" s="12">
        <v>46022</v>
      </c>
      <c r="J337" s="15">
        <v>45</v>
      </c>
      <c r="K337" s="15">
        <v>5</v>
      </c>
      <c r="L337" s="9">
        <v>8.77E-2</v>
      </c>
      <c r="M337" s="9">
        <v>4.6899999999999997E-2</v>
      </c>
      <c r="N337" s="15">
        <v>10</v>
      </c>
      <c r="O337" t="s">
        <v>27</v>
      </c>
      <c r="P337" t="s">
        <v>28</v>
      </c>
      <c r="Q337" s="24">
        <v>0.9</v>
      </c>
      <c r="R337" s="5">
        <f t="shared" si="30"/>
        <v>903.29438219178076</v>
      </c>
      <c r="S337" s="5">
        <f t="shared" si="31"/>
        <v>107.34703287671232</v>
      </c>
      <c r="T337" s="5">
        <f t="shared" si="32"/>
        <v>795.94734931506844</v>
      </c>
      <c r="U337" s="15">
        <f t="shared" si="33"/>
        <v>35</v>
      </c>
      <c r="V337" s="3">
        <f t="shared" si="34"/>
        <v>3067.6989600000002</v>
      </c>
      <c r="W337" s="3">
        <f t="shared" si="35"/>
        <v>336</v>
      </c>
    </row>
    <row r="338" spans="1:23" x14ac:dyDescent="0.2">
      <c r="A338" t="s">
        <v>407</v>
      </c>
      <c r="B338" t="s">
        <v>218</v>
      </c>
      <c r="C338" t="s">
        <v>41</v>
      </c>
      <c r="D338" t="s">
        <v>32</v>
      </c>
      <c r="E338" t="s">
        <v>25</v>
      </c>
      <c r="F338" s="7">
        <v>1514188</v>
      </c>
      <c r="G338" t="s">
        <v>1686</v>
      </c>
      <c r="H338" s="5">
        <v>53815</v>
      </c>
      <c r="I338" s="12">
        <v>45863</v>
      </c>
      <c r="J338" s="15">
        <v>45</v>
      </c>
      <c r="K338" s="15">
        <v>7</v>
      </c>
      <c r="L338" s="9">
        <v>0.11600000000000001</v>
      </c>
      <c r="M338" s="9">
        <v>5.2699999999999997E-2</v>
      </c>
      <c r="N338" s="15">
        <v>8</v>
      </c>
      <c r="O338" t="s">
        <v>28</v>
      </c>
      <c r="P338" t="s">
        <v>28</v>
      </c>
      <c r="Q338" s="24">
        <v>0.9</v>
      </c>
      <c r="R338" s="5">
        <f t="shared" si="30"/>
        <v>769.62821917808219</v>
      </c>
      <c r="S338" s="5">
        <f t="shared" si="31"/>
        <v>62.16001095890411</v>
      </c>
      <c r="T338" s="5">
        <f t="shared" si="32"/>
        <v>707.46820821917811</v>
      </c>
      <c r="U338" s="15">
        <f t="shared" si="33"/>
        <v>37</v>
      </c>
      <c r="V338" s="3">
        <f t="shared" si="34"/>
        <v>3065.8405500000003</v>
      </c>
      <c r="W338" s="3">
        <f t="shared" si="35"/>
        <v>337</v>
      </c>
    </row>
    <row r="339" spans="1:23" x14ac:dyDescent="0.2">
      <c r="A339" t="s">
        <v>341</v>
      </c>
      <c r="B339" t="s">
        <v>342</v>
      </c>
      <c r="C339" t="s">
        <v>77</v>
      </c>
      <c r="D339" t="s">
        <v>48</v>
      </c>
      <c r="E339" t="s">
        <v>49</v>
      </c>
      <c r="F339" s="7">
        <v>927954</v>
      </c>
      <c r="G339" t="s">
        <v>1684</v>
      </c>
      <c r="H339" s="5">
        <v>52775</v>
      </c>
      <c r="I339" s="12">
        <v>45712</v>
      </c>
      <c r="J339" s="15">
        <v>60</v>
      </c>
      <c r="K339" s="15">
        <v>5</v>
      </c>
      <c r="L339" s="9">
        <v>0.1181</v>
      </c>
      <c r="M339" s="9">
        <v>4.5699999999999998E-2</v>
      </c>
      <c r="N339" s="15">
        <v>8</v>
      </c>
      <c r="O339" t="s">
        <v>28</v>
      </c>
      <c r="P339" t="s">
        <v>28</v>
      </c>
      <c r="Q339" s="24">
        <v>0.8</v>
      </c>
      <c r="R339" s="5">
        <f t="shared" si="30"/>
        <v>1024.5579452054794</v>
      </c>
      <c r="S339" s="5">
        <f t="shared" si="31"/>
        <v>52.861753424657529</v>
      </c>
      <c r="T339" s="5">
        <f t="shared" si="32"/>
        <v>971.69619178082189</v>
      </c>
      <c r="U339" s="15">
        <f t="shared" si="33"/>
        <v>52</v>
      </c>
      <c r="V339" s="3">
        <f t="shared" si="34"/>
        <v>3056.7280000000001</v>
      </c>
      <c r="W339" s="3">
        <f t="shared" si="35"/>
        <v>338</v>
      </c>
    </row>
    <row r="340" spans="1:23" x14ac:dyDescent="0.2">
      <c r="A340" t="s">
        <v>51</v>
      </c>
      <c r="B340" t="s">
        <v>52</v>
      </c>
      <c r="C340" t="s">
        <v>41</v>
      </c>
      <c r="D340" t="s">
        <v>37</v>
      </c>
      <c r="E340" t="s">
        <v>49</v>
      </c>
      <c r="F340" s="7">
        <v>876116</v>
      </c>
      <c r="G340" t="s">
        <v>1360</v>
      </c>
      <c r="H340" s="5">
        <v>45099</v>
      </c>
      <c r="I340" s="12">
        <v>45692</v>
      </c>
      <c r="J340" s="15">
        <v>90</v>
      </c>
      <c r="K340" s="15">
        <v>7</v>
      </c>
      <c r="L340" s="9">
        <v>0.1686</v>
      </c>
      <c r="M340" s="9">
        <v>6.4500000000000002E-2</v>
      </c>
      <c r="N340" s="15">
        <v>7</v>
      </c>
      <c r="O340" t="s">
        <v>27</v>
      </c>
      <c r="P340" t="s">
        <v>28</v>
      </c>
      <c r="Q340" s="24">
        <v>0.65</v>
      </c>
      <c r="R340" s="5">
        <f t="shared" si="30"/>
        <v>1874.882810958904</v>
      </c>
      <c r="S340" s="5">
        <f t="shared" si="31"/>
        <v>55.786845205479452</v>
      </c>
      <c r="T340" s="5">
        <f t="shared" si="32"/>
        <v>1819.0959657534245</v>
      </c>
      <c r="U340" s="15">
        <f t="shared" si="33"/>
        <v>83</v>
      </c>
      <c r="V340" s="3">
        <f t="shared" si="34"/>
        <v>3051.6238350000003</v>
      </c>
      <c r="W340" s="3">
        <f t="shared" si="35"/>
        <v>339</v>
      </c>
    </row>
    <row r="341" spans="1:23" x14ac:dyDescent="0.2">
      <c r="A341" t="s">
        <v>252</v>
      </c>
      <c r="B341" t="s">
        <v>89</v>
      </c>
      <c r="C341" t="s">
        <v>31</v>
      </c>
      <c r="D341" t="s">
        <v>24</v>
      </c>
      <c r="E341" t="s">
        <v>49</v>
      </c>
      <c r="F341" s="7">
        <v>971327</v>
      </c>
      <c r="G341" t="s">
        <v>493</v>
      </c>
      <c r="H341" s="5">
        <v>82471</v>
      </c>
      <c r="I341" s="12">
        <v>45932</v>
      </c>
      <c r="J341" s="15">
        <v>60</v>
      </c>
      <c r="K341" s="15">
        <v>4</v>
      </c>
      <c r="L341" s="9">
        <v>0.15229999999999999</v>
      </c>
      <c r="M341" s="9">
        <v>4.6699999999999998E-2</v>
      </c>
      <c r="N341" s="15">
        <v>5</v>
      </c>
      <c r="O341" t="s">
        <v>27</v>
      </c>
      <c r="P341" t="s">
        <v>28</v>
      </c>
      <c r="Q341" s="24">
        <v>0.35</v>
      </c>
      <c r="R341" s="5">
        <f t="shared" si="30"/>
        <v>2064.7123232876706</v>
      </c>
      <c r="S341" s="5">
        <f t="shared" si="31"/>
        <v>52.758845205479453</v>
      </c>
      <c r="T341" s="5">
        <f t="shared" si="32"/>
        <v>2011.9534780821912</v>
      </c>
      <c r="U341" s="15">
        <f t="shared" si="33"/>
        <v>55</v>
      </c>
      <c r="V341" s="3">
        <f t="shared" si="34"/>
        <v>3048.1281600000002</v>
      </c>
      <c r="W341" s="3">
        <f t="shared" si="35"/>
        <v>340</v>
      </c>
    </row>
    <row r="342" spans="1:23" x14ac:dyDescent="0.2">
      <c r="A342" t="s">
        <v>303</v>
      </c>
      <c r="B342" t="s">
        <v>304</v>
      </c>
      <c r="C342" t="s">
        <v>36</v>
      </c>
      <c r="D342" t="s">
        <v>66</v>
      </c>
      <c r="E342" t="s">
        <v>56</v>
      </c>
      <c r="F342" s="7">
        <v>11641644</v>
      </c>
      <c r="G342" t="s">
        <v>305</v>
      </c>
      <c r="H342" s="5">
        <v>94478</v>
      </c>
      <c r="I342" s="12">
        <v>45903</v>
      </c>
      <c r="J342" s="15">
        <v>30</v>
      </c>
      <c r="K342" s="15">
        <v>5</v>
      </c>
      <c r="L342" s="9">
        <v>9.0399999999999994E-2</v>
      </c>
      <c r="M342" s="9">
        <v>5.0299999999999997E-2</v>
      </c>
      <c r="N342" s="15">
        <v>10</v>
      </c>
      <c r="O342" t="s">
        <v>27</v>
      </c>
      <c r="P342" t="s">
        <v>28</v>
      </c>
      <c r="Q342" s="24">
        <v>0.8</v>
      </c>
      <c r="R342" s="5">
        <f t="shared" si="30"/>
        <v>701.98448219178078</v>
      </c>
      <c r="S342" s="5">
        <f t="shared" si="31"/>
        <v>130.19844931506847</v>
      </c>
      <c r="T342" s="5">
        <f t="shared" si="32"/>
        <v>571.78603287671228</v>
      </c>
      <c r="U342" s="15">
        <f t="shared" si="33"/>
        <v>20</v>
      </c>
      <c r="V342" s="3">
        <f t="shared" si="34"/>
        <v>3030.8542399999997</v>
      </c>
      <c r="W342" s="3">
        <f t="shared" si="35"/>
        <v>341</v>
      </c>
    </row>
    <row r="343" spans="1:23" x14ac:dyDescent="0.2">
      <c r="A343" t="s">
        <v>716</v>
      </c>
      <c r="B343" t="s">
        <v>717</v>
      </c>
      <c r="C343" t="s">
        <v>31</v>
      </c>
      <c r="D343" t="s">
        <v>37</v>
      </c>
      <c r="E343" t="s">
        <v>49</v>
      </c>
      <c r="F343" s="7">
        <v>1439462</v>
      </c>
      <c r="G343" t="s">
        <v>1648</v>
      </c>
      <c r="H343" s="5">
        <v>76237</v>
      </c>
      <c r="I343" s="12">
        <v>45670</v>
      </c>
      <c r="J343" s="15">
        <v>60</v>
      </c>
      <c r="K343" s="15">
        <v>4</v>
      </c>
      <c r="L343" s="9">
        <v>0.17130000000000001</v>
      </c>
      <c r="M343" s="9">
        <v>5.8700000000000002E-2</v>
      </c>
      <c r="N343" s="15">
        <v>10</v>
      </c>
      <c r="O343" t="s">
        <v>27</v>
      </c>
      <c r="P343" t="s">
        <v>28</v>
      </c>
      <c r="Q343" s="24">
        <v>0.35</v>
      </c>
      <c r="R343" s="5">
        <f t="shared" si="30"/>
        <v>2146.7503726027398</v>
      </c>
      <c r="S343" s="5">
        <f t="shared" si="31"/>
        <v>122.60580547945204</v>
      </c>
      <c r="T343" s="5">
        <f t="shared" si="32"/>
        <v>2024.1445671232877</v>
      </c>
      <c r="U343" s="15">
        <f t="shared" si="33"/>
        <v>50</v>
      </c>
      <c r="V343" s="3">
        <f t="shared" si="34"/>
        <v>3004.5001700000003</v>
      </c>
      <c r="W343" s="3">
        <f t="shared" si="35"/>
        <v>342</v>
      </c>
    </row>
    <row r="344" spans="1:23" x14ac:dyDescent="0.2">
      <c r="A344" t="s">
        <v>149</v>
      </c>
      <c r="B344" t="s">
        <v>30</v>
      </c>
      <c r="C344" t="s">
        <v>77</v>
      </c>
      <c r="D344" t="s">
        <v>66</v>
      </c>
      <c r="E344" t="s">
        <v>25</v>
      </c>
      <c r="F344" s="7">
        <v>3553623</v>
      </c>
      <c r="G344" t="s">
        <v>1142</v>
      </c>
      <c r="H344" s="5">
        <v>75068</v>
      </c>
      <c r="I344" s="12">
        <v>45968</v>
      </c>
      <c r="J344" s="15">
        <v>60</v>
      </c>
      <c r="K344" s="15">
        <v>7</v>
      </c>
      <c r="L344" s="9">
        <v>9.8199999999999996E-2</v>
      </c>
      <c r="M344" s="9">
        <v>5.3999999999999999E-2</v>
      </c>
      <c r="N344" s="15">
        <v>7</v>
      </c>
      <c r="O344" t="s">
        <v>27</v>
      </c>
      <c r="P344" t="s">
        <v>28</v>
      </c>
      <c r="Q344" s="24">
        <v>0.9</v>
      </c>
      <c r="R344" s="5">
        <f t="shared" si="30"/>
        <v>1211.7826191780821</v>
      </c>
      <c r="S344" s="5">
        <f t="shared" si="31"/>
        <v>77.741654794520556</v>
      </c>
      <c r="T344" s="5">
        <f t="shared" si="32"/>
        <v>1134.0409643835615</v>
      </c>
      <c r="U344" s="15">
        <f t="shared" si="33"/>
        <v>53</v>
      </c>
      <c r="V344" s="3">
        <f t="shared" si="34"/>
        <v>2986.2050399999998</v>
      </c>
      <c r="W344" s="3">
        <f t="shared" si="35"/>
        <v>343</v>
      </c>
    </row>
    <row r="345" spans="1:23" x14ac:dyDescent="0.2">
      <c r="A345" t="s">
        <v>429</v>
      </c>
      <c r="B345" t="s">
        <v>430</v>
      </c>
      <c r="C345" t="s">
        <v>41</v>
      </c>
      <c r="D345" t="s">
        <v>48</v>
      </c>
      <c r="E345" t="s">
        <v>56</v>
      </c>
      <c r="F345" s="7">
        <v>22445214</v>
      </c>
      <c r="G345" t="s">
        <v>697</v>
      </c>
      <c r="H345" s="5">
        <v>96837</v>
      </c>
      <c r="I345" s="12">
        <v>45920</v>
      </c>
      <c r="J345" s="15">
        <v>60</v>
      </c>
      <c r="K345" s="15">
        <v>2</v>
      </c>
      <c r="L345" s="9">
        <v>8.4000000000000005E-2</v>
      </c>
      <c r="M345" s="9">
        <v>4.99E-2</v>
      </c>
      <c r="N345" s="15">
        <v>6</v>
      </c>
      <c r="O345" t="s">
        <v>27</v>
      </c>
      <c r="P345" t="s">
        <v>28</v>
      </c>
      <c r="Q345" s="24">
        <v>0.9</v>
      </c>
      <c r="R345" s="5">
        <f t="shared" si="30"/>
        <v>1337.1465205479453</v>
      </c>
      <c r="S345" s="5">
        <f t="shared" si="31"/>
        <v>79.432870684931501</v>
      </c>
      <c r="T345" s="5">
        <f t="shared" si="32"/>
        <v>1257.7136498630139</v>
      </c>
      <c r="U345" s="15">
        <f t="shared" si="33"/>
        <v>54</v>
      </c>
      <c r="V345" s="3">
        <f t="shared" si="34"/>
        <v>2971.9275300000004</v>
      </c>
      <c r="W345" s="3">
        <f t="shared" si="35"/>
        <v>344</v>
      </c>
    </row>
    <row r="346" spans="1:23" x14ac:dyDescent="0.2">
      <c r="A346" t="s">
        <v>889</v>
      </c>
      <c r="B346" t="s">
        <v>286</v>
      </c>
      <c r="C346" t="s">
        <v>23</v>
      </c>
      <c r="D346" t="s">
        <v>66</v>
      </c>
      <c r="E346" t="s">
        <v>49</v>
      </c>
      <c r="F346" s="7">
        <v>1374525</v>
      </c>
      <c r="G346" t="s">
        <v>1606</v>
      </c>
      <c r="H346" s="5">
        <v>106802</v>
      </c>
      <c r="I346" s="12">
        <v>45677</v>
      </c>
      <c r="J346" s="15">
        <v>60</v>
      </c>
      <c r="K346" s="15">
        <v>2</v>
      </c>
      <c r="L346" s="9">
        <v>0.13320000000000001</v>
      </c>
      <c r="M346" s="9">
        <v>5.3699999999999998E-2</v>
      </c>
      <c r="N346" s="15">
        <v>8</v>
      </c>
      <c r="O346" t="s">
        <v>27</v>
      </c>
      <c r="P346" t="s">
        <v>28</v>
      </c>
      <c r="Q346" s="24">
        <v>0.35</v>
      </c>
      <c r="R346" s="5">
        <f t="shared" si="30"/>
        <v>2338.524887671233</v>
      </c>
      <c r="S346" s="5">
        <f t="shared" si="31"/>
        <v>125.7044909589041</v>
      </c>
      <c r="T346" s="5">
        <f t="shared" si="32"/>
        <v>2212.8203967123291</v>
      </c>
      <c r="U346" s="15">
        <f t="shared" si="33"/>
        <v>52</v>
      </c>
      <c r="V346" s="3">
        <f t="shared" si="34"/>
        <v>2971.7656500000003</v>
      </c>
      <c r="W346" s="3">
        <f t="shared" si="35"/>
        <v>345</v>
      </c>
    </row>
    <row r="347" spans="1:23" x14ac:dyDescent="0.2">
      <c r="A347" t="s">
        <v>474</v>
      </c>
      <c r="B347" t="s">
        <v>207</v>
      </c>
      <c r="C347" t="s">
        <v>31</v>
      </c>
      <c r="D347" t="s">
        <v>37</v>
      </c>
      <c r="E347" t="s">
        <v>25</v>
      </c>
      <c r="F347" s="7">
        <v>4395110</v>
      </c>
      <c r="G347" t="s">
        <v>1641</v>
      </c>
      <c r="H347" s="5">
        <v>64857</v>
      </c>
      <c r="I347" s="12">
        <v>45768</v>
      </c>
      <c r="J347" s="15">
        <v>90</v>
      </c>
      <c r="K347" s="15">
        <v>7</v>
      </c>
      <c r="L347" s="9">
        <v>0.1066</v>
      </c>
      <c r="M347" s="9">
        <v>5.5800000000000002E-2</v>
      </c>
      <c r="N347" s="15">
        <v>6</v>
      </c>
      <c r="O347" t="s">
        <v>28</v>
      </c>
      <c r="P347" t="s">
        <v>28</v>
      </c>
      <c r="Q347" s="24">
        <v>0.9</v>
      </c>
      <c r="R347" s="5">
        <f t="shared" si="30"/>
        <v>1704.7618027397259</v>
      </c>
      <c r="S347" s="5">
        <f t="shared" si="31"/>
        <v>59.490749589041094</v>
      </c>
      <c r="T347" s="5">
        <f t="shared" si="32"/>
        <v>1645.2710531506848</v>
      </c>
      <c r="U347" s="15">
        <f t="shared" si="33"/>
        <v>84</v>
      </c>
      <c r="V347" s="3">
        <f t="shared" si="34"/>
        <v>2965.2620399999996</v>
      </c>
      <c r="W347" s="3">
        <f t="shared" si="35"/>
        <v>346</v>
      </c>
    </row>
    <row r="348" spans="1:23" x14ac:dyDescent="0.2">
      <c r="A348" t="s">
        <v>411</v>
      </c>
      <c r="B348" t="s">
        <v>412</v>
      </c>
      <c r="C348" t="s">
        <v>31</v>
      </c>
      <c r="D348" t="s">
        <v>66</v>
      </c>
      <c r="E348" t="s">
        <v>25</v>
      </c>
      <c r="F348" s="7">
        <v>2416616</v>
      </c>
      <c r="G348" t="s">
        <v>1646</v>
      </c>
      <c r="H348" s="5">
        <v>85419</v>
      </c>
      <c r="I348" s="12">
        <v>45698</v>
      </c>
      <c r="J348" s="15">
        <v>60</v>
      </c>
      <c r="K348" s="15">
        <v>5</v>
      </c>
      <c r="L348" s="9">
        <v>0.1024</v>
      </c>
      <c r="M348" s="9">
        <v>5.91E-2</v>
      </c>
      <c r="N348" s="15">
        <v>7</v>
      </c>
      <c r="O348" t="s">
        <v>27</v>
      </c>
      <c r="P348" t="s">
        <v>28</v>
      </c>
      <c r="Q348" s="24">
        <v>0.8</v>
      </c>
      <c r="R348" s="5">
        <f t="shared" si="30"/>
        <v>1437.847495890411</v>
      </c>
      <c r="S348" s="5">
        <f t="shared" si="31"/>
        <v>96.816000821917811</v>
      </c>
      <c r="T348" s="5">
        <f t="shared" si="32"/>
        <v>1341.0314950684931</v>
      </c>
      <c r="U348" s="15">
        <f t="shared" si="33"/>
        <v>53</v>
      </c>
      <c r="V348" s="3">
        <f t="shared" si="34"/>
        <v>2958.9141600000003</v>
      </c>
      <c r="W348" s="3">
        <f t="shared" si="35"/>
        <v>347</v>
      </c>
    </row>
    <row r="349" spans="1:23" x14ac:dyDescent="0.2">
      <c r="A349" t="s">
        <v>289</v>
      </c>
      <c r="B349" t="s">
        <v>204</v>
      </c>
      <c r="C349" t="s">
        <v>31</v>
      </c>
      <c r="D349" t="s">
        <v>32</v>
      </c>
      <c r="E349" t="s">
        <v>49</v>
      </c>
      <c r="F349" s="7">
        <v>782629</v>
      </c>
      <c r="G349" t="s">
        <v>908</v>
      </c>
      <c r="H349" s="5">
        <v>87727</v>
      </c>
      <c r="I349" s="12">
        <v>45895</v>
      </c>
      <c r="J349" s="15">
        <v>60</v>
      </c>
      <c r="K349" s="15">
        <v>4</v>
      </c>
      <c r="L349" s="9">
        <v>0.14219999999999999</v>
      </c>
      <c r="M349" s="9">
        <v>4.6100000000000002E-2</v>
      </c>
      <c r="N349" s="15">
        <v>7</v>
      </c>
      <c r="O349" t="s">
        <v>27</v>
      </c>
      <c r="P349" t="s">
        <v>28</v>
      </c>
      <c r="Q349" s="24">
        <v>0.35</v>
      </c>
      <c r="R349" s="5">
        <f t="shared" si="30"/>
        <v>2050.6486684931506</v>
      </c>
      <c r="S349" s="5">
        <f t="shared" si="31"/>
        <v>77.560281917808226</v>
      </c>
      <c r="T349" s="5">
        <f t="shared" si="32"/>
        <v>1973.0883865753424</v>
      </c>
      <c r="U349" s="15">
        <f t="shared" si="33"/>
        <v>53</v>
      </c>
      <c r="V349" s="3">
        <f t="shared" si="34"/>
        <v>2950.6976449999993</v>
      </c>
      <c r="W349" s="3">
        <f t="shared" si="35"/>
        <v>348</v>
      </c>
    </row>
    <row r="350" spans="1:23" x14ac:dyDescent="0.2">
      <c r="A350" t="s">
        <v>711</v>
      </c>
      <c r="B350" t="s">
        <v>190</v>
      </c>
      <c r="C350" t="s">
        <v>77</v>
      </c>
      <c r="D350" t="s">
        <v>37</v>
      </c>
      <c r="E350" t="s">
        <v>49</v>
      </c>
      <c r="F350" s="7">
        <v>407422</v>
      </c>
      <c r="G350" t="s">
        <v>1775</v>
      </c>
      <c r="H350" s="5">
        <v>79698</v>
      </c>
      <c r="I350" s="12">
        <v>45870</v>
      </c>
      <c r="J350" s="15">
        <v>45</v>
      </c>
      <c r="K350" s="15">
        <v>3</v>
      </c>
      <c r="L350" s="9">
        <v>0.121</v>
      </c>
      <c r="M350" s="9">
        <v>4.7399999999999998E-2</v>
      </c>
      <c r="N350" s="15">
        <v>8</v>
      </c>
      <c r="O350" t="s">
        <v>27</v>
      </c>
      <c r="P350" t="s">
        <v>28</v>
      </c>
      <c r="Q350" s="24">
        <v>0.5</v>
      </c>
      <c r="R350" s="5">
        <f t="shared" si="30"/>
        <v>1188.9194794520547</v>
      </c>
      <c r="S350" s="5">
        <f t="shared" si="31"/>
        <v>82.798579726027398</v>
      </c>
      <c r="T350" s="5">
        <f t="shared" si="32"/>
        <v>1106.1208997260273</v>
      </c>
      <c r="U350" s="15">
        <f t="shared" si="33"/>
        <v>37</v>
      </c>
      <c r="V350" s="3">
        <f t="shared" si="34"/>
        <v>2932.8863999999999</v>
      </c>
      <c r="W350" s="3">
        <f t="shared" si="35"/>
        <v>349</v>
      </c>
    </row>
    <row r="351" spans="1:23" x14ac:dyDescent="0.2">
      <c r="A351" t="s">
        <v>468</v>
      </c>
      <c r="B351" t="s">
        <v>412</v>
      </c>
      <c r="C351" t="s">
        <v>41</v>
      </c>
      <c r="D351" t="s">
        <v>48</v>
      </c>
      <c r="E351" t="s">
        <v>49</v>
      </c>
      <c r="F351" s="7">
        <v>1406086</v>
      </c>
      <c r="G351" t="s">
        <v>969</v>
      </c>
      <c r="H351" s="5">
        <v>50426</v>
      </c>
      <c r="I351" s="12">
        <v>45988</v>
      </c>
      <c r="J351" s="15">
        <v>60</v>
      </c>
      <c r="K351" s="15">
        <v>10</v>
      </c>
      <c r="L351" s="9">
        <v>0.1201</v>
      </c>
      <c r="M351" s="9">
        <v>5.5800000000000002E-2</v>
      </c>
      <c r="N351" s="15">
        <v>6</v>
      </c>
      <c r="O351" t="s">
        <v>27</v>
      </c>
      <c r="P351" t="s">
        <v>28</v>
      </c>
      <c r="Q351" s="24">
        <v>0.9</v>
      </c>
      <c r="R351" s="5">
        <f t="shared" si="30"/>
        <v>995.53357808219164</v>
      </c>
      <c r="S351" s="5">
        <f t="shared" si="31"/>
        <v>46.253766575342468</v>
      </c>
      <c r="T351" s="5">
        <f t="shared" si="32"/>
        <v>949.27981150684923</v>
      </c>
      <c r="U351" s="15">
        <f t="shared" si="33"/>
        <v>54</v>
      </c>
      <c r="V351" s="3">
        <f t="shared" si="34"/>
        <v>2918.1526199999998</v>
      </c>
      <c r="W351" s="3">
        <f t="shared" si="35"/>
        <v>350</v>
      </c>
    </row>
    <row r="352" spans="1:23" x14ac:dyDescent="0.2">
      <c r="A352" t="s">
        <v>457</v>
      </c>
      <c r="B352" t="s">
        <v>184</v>
      </c>
      <c r="C352" t="s">
        <v>36</v>
      </c>
      <c r="D352" t="s">
        <v>66</v>
      </c>
      <c r="E352" t="s">
        <v>49</v>
      </c>
      <c r="F352" s="7">
        <v>1104797</v>
      </c>
      <c r="G352" t="s">
        <v>1712</v>
      </c>
      <c r="H352" s="5">
        <v>49802</v>
      </c>
      <c r="I352" s="12">
        <v>45992</v>
      </c>
      <c r="J352" s="15">
        <v>30</v>
      </c>
      <c r="K352" s="15">
        <v>4</v>
      </c>
      <c r="L352" s="9">
        <v>0.13320000000000001</v>
      </c>
      <c r="M352" s="9">
        <v>6.0299999999999999E-2</v>
      </c>
      <c r="N352" s="15">
        <v>6</v>
      </c>
      <c r="O352" t="s">
        <v>27</v>
      </c>
      <c r="P352" t="s">
        <v>28</v>
      </c>
      <c r="Q352" s="24">
        <v>0.8</v>
      </c>
      <c r="R352" s="5">
        <f t="shared" si="30"/>
        <v>545.22956712328778</v>
      </c>
      <c r="S352" s="5">
        <f t="shared" si="31"/>
        <v>49.365379726027392</v>
      </c>
      <c r="T352" s="5">
        <f t="shared" si="32"/>
        <v>495.86418739726037</v>
      </c>
      <c r="U352" s="15">
        <f t="shared" si="33"/>
        <v>24</v>
      </c>
      <c r="V352" s="3">
        <f t="shared" si="34"/>
        <v>2904.4526400000009</v>
      </c>
      <c r="W352" s="3">
        <f t="shared" si="35"/>
        <v>351</v>
      </c>
    </row>
    <row r="353" spans="1:23" x14ac:dyDescent="0.2">
      <c r="A353" t="s">
        <v>61</v>
      </c>
      <c r="B353" t="s">
        <v>62</v>
      </c>
      <c r="C353" t="s">
        <v>31</v>
      </c>
      <c r="D353" t="s">
        <v>48</v>
      </c>
      <c r="E353" t="s">
        <v>25</v>
      </c>
      <c r="F353" s="7">
        <v>3350013</v>
      </c>
      <c r="G353" t="s">
        <v>827</v>
      </c>
      <c r="H353" s="5">
        <v>74469</v>
      </c>
      <c r="I353" s="12">
        <v>45728</v>
      </c>
      <c r="J353" s="15">
        <v>45</v>
      </c>
      <c r="K353" s="15">
        <v>7</v>
      </c>
      <c r="L353" s="9">
        <v>0.1144</v>
      </c>
      <c r="M353" s="9">
        <v>5.4399999999999997E-2</v>
      </c>
      <c r="N353" s="15">
        <v>7</v>
      </c>
      <c r="O353" t="s">
        <v>28</v>
      </c>
      <c r="P353" t="s">
        <v>28</v>
      </c>
      <c r="Q353" s="24">
        <v>0.65</v>
      </c>
      <c r="R353" s="5">
        <f t="shared" si="30"/>
        <v>1050.3189369863014</v>
      </c>
      <c r="S353" s="5">
        <f t="shared" si="31"/>
        <v>77.692589589041091</v>
      </c>
      <c r="T353" s="5">
        <f t="shared" si="32"/>
        <v>972.62634739726036</v>
      </c>
      <c r="U353" s="15">
        <f t="shared" si="33"/>
        <v>38</v>
      </c>
      <c r="V353" s="3">
        <f t="shared" si="34"/>
        <v>2904.2910000000006</v>
      </c>
      <c r="W353" s="3">
        <f t="shared" si="35"/>
        <v>352</v>
      </c>
    </row>
    <row r="354" spans="1:23" x14ac:dyDescent="0.2">
      <c r="A354" t="s">
        <v>21</v>
      </c>
      <c r="B354" t="s">
        <v>22</v>
      </c>
      <c r="C354" t="s">
        <v>23</v>
      </c>
      <c r="D354" t="s">
        <v>24</v>
      </c>
      <c r="E354" t="s">
        <v>25</v>
      </c>
      <c r="F354" s="7">
        <v>2280589</v>
      </c>
      <c r="G354" t="s">
        <v>126</v>
      </c>
      <c r="H354" s="5">
        <v>98223</v>
      </c>
      <c r="I354" s="12">
        <v>45837</v>
      </c>
      <c r="J354" s="15">
        <v>60</v>
      </c>
      <c r="K354" s="15">
        <v>4</v>
      </c>
      <c r="L354" s="9">
        <v>0.1047</v>
      </c>
      <c r="M354" s="9">
        <v>4.5600000000000002E-2</v>
      </c>
      <c r="N354" s="15">
        <v>7</v>
      </c>
      <c r="O354" t="s">
        <v>27</v>
      </c>
      <c r="P354" t="s">
        <v>28</v>
      </c>
      <c r="Q354" s="24">
        <v>0.5</v>
      </c>
      <c r="R354" s="5">
        <f t="shared" si="30"/>
        <v>1690.5120164383561</v>
      </c>
      <c r="S354" s="5">
        <f t="shared" si="31"/>
        <v>85.898031780821938</v>
      </c>
      <c r="T354" s="5">
        <f t="shared" si="32"/>
        <v>1604.6139846575343</v>
      </c>
      <c r="U354" s="15">
        <f t="shared" si="33"/>
        <v>53</v>
      </c>
      <c r="V354" s="3">
        <f t="shared" si="34"/>
        <v>2902.48965</v>
      </c>
      <c r="W354" s="3">
        <f t="shared" si="35"/>
        <v>353</v>
      </c>
    </row>
    <row r="355" spans="1:23" x14ac:dyDescent="0.2">
      <c r="A355" t="s">
        <v>189</v>
      </c>
      <c r="B355" t="s">
        <v>190</v>
      </c>
      <c r="C355" t="s">
        <v>36</v>
      </c>
      <c r="D355" t="s">
        <v>37</v>
      </c>
      <c r="E355" t="s">
        <v>49</v>
      </c>
      <c r="F355" s="7">
        <v>965613</v>
      </c>
      <c r="G355" t="s">
        <v>1122</v>
      </c>
      <c r="H355" s="5">
        <v>56342</v>
      </c>
      <c r="I355" s="12">
        <v>45735</v>
      </c>
      <c r="J355" s="15">
        <v>60</v>
      </c>
      <c r="K355" s="15">
        <v>3</v>
      </c>
      <c r="L355" s="9">
        <v>0.1109</v>
      </c>
      <c r="M355" s="9">
        <v>5.3699999999999998E-2</v>
      </c>
      <c r="N355" s="15">
        <v>8</v>
      </c>
      <c r="O355" t="s">
        <v>27</v>
      </c>
      <c r="P355" t="s">
        <v>28</v>
      </c>
      <c r="Q355" s="24">
        <v>0.9</v>
      </c>
      <c r="R355" s="5">
        <f t="shared" si="30"/>
        <v>1027.1223780821917</v>
      </c>
      <c r="S355" s="5">
        <f t="shared" si="31"/>
        <v>66.313762191780825</v>
      </c>
      <c r="T355" s="5">
        <f t="shared" si="32"/>
        <v>960.80861589041092</v>
      </c>
      <c r="U355" s="15">
        <f t="shared" si="33"/>
        <v>52</v>
      </c>
      <c r="V355" s="3">
        <f t="shared" si="34"/>
        <v>2900.4861600000004</v>
      </c>
      <c r="W355" s="3">
        <f t="shared" si="35"/>
        <v>354</v>
      </c>
    </row>
    <row r="356" spans="1:23" x14ac:dyDescent="0.2">
      <c r="A356" t="s">
        <v>223</v>
      </c>
      <c r="B356" t="s">
        <v>224</v>
      </c>
      <c r="C356" t="s">
        <v>36</v>
      </c>
      <c r="D356" t="s">
        <v>48</v>
      </c>
      <c r="E356" t="s">
        <v>25</v>
      </c>
      <c r="F356" s="7">
        <v>3916164</v>
      </c>
      <c r="G356" t="s">
        <v>683</v>
      </c>
      <c r="H356" s="5">
        <v>55458</v>
      </c>
      <c r="I356" s="12">
        <v>45968</v>
      </c>
      <c r="J356" s="15">
        <v>90</v>
      </c>
      <c r="K356" s="15">
        <v>5</v>
      </c>
      <c r="L356" s="9">
        <v>0.1119</v>
      </c>
      <c r="M356" s="9">
        <v>5.3900000000000003E-2</v>
      </c>
      <c r="N356" s="15">
        <v>7</v>
      </c>
      <c r="O356" t="s">
        <v>27</v>
      </c>
      <c r="P356" t="s">
        <v>28</v>
      </c>
      <c r="Q356" s="24">
        <v>0.9</v>
      </c>
      <c r="R356" s="5">
        <f t="shared" si="30"/>
        <v>1530.1849808219179</v>
      </c>
      <c r="S356" s="5">
        <f t="shared" si="31"/>
        <v>57.326858630136989</v>
      </c>
      <c r="T356" s="5">
        <f t="shared" si="32"/>
        <v>1472.8581221917809</v>
      </c>
      <c r="U356" s="15">
        <f t="shared" si="33"/>
        <v>83</v>
      </c>
      <c r="V356" s="3">
        <f t="shared" si="34"/>
        <v>2894.9076</v>
      </c>
      <c r="W356" s="3">
        <f t="shared" si="35"/>
        <v>355</v>
      </c>
    </row>
    <row r="357" spans="1:23" x14ac:dyDescent="0.2">
      <c r="A357" t="s">
        <v>203</v>
      </c>
      <c r="B357" t="s">
        <v>204</v>
      </c>
      <c r="C357" t="s">
        <v>23</v>
      </c>
      <c r="D357" t="s">
        <v>24</v>
      </c>
      <c r="E357" t="s">
        <v>25</v>
      </c>
      <c r="F357" s="7">
        <v>1716971</v>
      </c>
      <c r="G357" t="s">
        <v>295</v>
      </c>
      <c r="H357" s="5">
        <v>90966</v>
      </c>
      <c r="I357" s="12">
        <v>45923</v>
      </c>
      <c r="J357" s="15">
        <v>60</v>
      </c>
      <c r="K357" s="15">
        <v>7</v>
      </c>
      <c r="L357" s="9">
        <v>9.4600000000000004E-2</v>
      </c>
      <c r="M357" s="9">
        <v>4.58E-2</v>
      </c>
      <c r="N357" s="15">
        <v>5</v>
      </c>
      <c r="O357" t="s">
        <v>28</v>
      </c>
      <c r="P357" t="s">
        <v>28</v>
      </c>
      <c r="Q357" s="24">
        <v>0.65</v>
      </c>
      <c r="R357" s="5">
        <f t="shared" si="30"/>
        <v>1414.5836054794522</v>
      </c>
      <c r="S357" s="5">
        <f t="shared" si="31"/>
        <v>57.071819178082187</v>
      </c>
      <c r="T357" s="5">
        <f t="shared" si="32"/>
        <v>1357.51178630137</v>
      </c>
      <c r="U357" s="15">
        <f t="shared" si="33"/>
        <v>55</v>
      </c>
      <c r="V357" s="3">
        <f t="shared" si="34"/>
        <v>2885.4415200000003</v>
      </c>
      <c r="W357" s="3">
        <f t="shared" si="35"/>
        <v>356</v>
      </c>
    </row>
    <row r="358" spans="1:23" x14ac:dyDescent="0.2">
      <c r="A358" t="s">
        <v>82</v>
      </c>
      <c r="B358" t="s">
        <v>83</v>
      </c>
      <c r="C358" t="s">
        <v>23</v>
      </c>
      <c r="D358" t="s">
        <v>66</v>
      </c>
      <c r="E358" t="s">
        <v>49</v>
      </c>
      <c r="F358" s="7">
        <v>946643</v>
      </c>
      <c r="G358" t="s">
        <v>1333</v>
      </c>
      <c r="H358" s="5">
        <v>44011</v>
      </c>
      <c r="I358" s="12">
        <v>45744</v>
      </c>
      <c r="J358" s="15">
        <v>90</v>
      </c>
      <c r="K358" s="15">
        <v>10</v>
      </c>
      <c r="L358" s="9">
        <v>0.1648</v>
      </c>
      <c r="M358" s="9">
        <v>6.4000000000000001E-2</v>
      </c>
      <c r="N358" s="15">
        <v>10</v>
      </c>
      <c r="O358" t="s">
        <v>27</v>
      </c>
      <c r="P358" t="s">
        <v>28</v>
      </c>
      <c r="Q358" s="24">
        <v>0.65</v>
      </c>
      <c r="R358" s="5">
        <f t="shared" si="30"/>
        <v>1788.4141150684932</v>
      </c>
      <c r="S358" s="5">
        <f t="shared" si="31"/>
        <v>77.169972602739733</v>
      </c>
      <c r="T358" s="5">
        <f t="shared" si="32"/>
        <v>1711.2441424657534</v>
      </c>
      <c r="U358" s="15">
        <f t="shared" si="33"/>
        <v>80</v>
      </c>
      <c r="V358" s="3">
        <f t="shared" si="34"/>
        <v>2883.6007200000004</v>
      </c>
      <c r="W358" s="3">
        <f t="shared" si="35"/>
        <v>357</v>
      </c>
    </row>
    <row r="359" spans="1:23" x14ac:dyDescent="0.2">
      <c r="A359" t="s">
        <v>183</v>
      </c>
      <c r="B359" t="s">
        <v>184</v>
      </c>
      <c r="C359" t="s">
        <v>77</v>
      </c>
      <c r="D359" t="s">
        <v>32</v>
      </c>
      <c r="E359" t="s">
        <v>25</v>
      </c>
      <c r="F359" s="7">
        <v>6014522</v>
      </c>
      <c r="G359" t="s">
        <v>909</v>
      </c>
      <c r="H359" s="5">
        <v>64264</v>
      </c>
      <c r="I359" s="12">
        <v>45900</v>
      </c>
      <c r="J359" s="15">
        <v>60</v>
      </c>
      <c r="K359" s="15">
        <v>5</v>
      </c>
      <c r="L359" s="9">
        <v>0.12870000000000001</v>
      </c>
      <c r="M359" s="9">
        <v>5.9900000000000002E-2</v>
      </c>
      <c r="N359" s="15">
        <v>10</v>
      </c>
      <c r="O359" t="s">
        <v>28</v>
      </c>
      <c r="P359" t="s">
        <v>28</v>
      </c>
      <c r="Q359" s="24">
        <v>0.65</v>
      </c>
      <c r="R359" s="5">
        <f t="shared" si="30"/>
        <v>1359.5797479452056</v>
      </c>
      <c r="S359" s="5">
        <f t="shared" si="31"/>
        <v>105.46338630136987</v>
      </c>
      <c r="T359" s="5">
        <f t="shared" si="32"/>
        <v>1254.1163616438357</v>
      </c>
      <c r="U359" s="15">
        <f t="shared" si="33"/>
        <v>50</v>
      </c>
      <c r="V359" s="3">
        <f t="shared" si="34"/>
        <v>2873.8860800000002</v>
      </c>
      <c r="W359" s="3">
        <f t="shared" si="35"/>
        <v>358</v>
      </c>
    </row>
    <row r="360" spans="1:23" x14ac:dyDescent="0.2">
      <c r="A360" t="s">
        <v>120</v>
      </c>
      <c r="B360" t="s">
        <v>121</v>
      </c>
      <c r="C360" t="s">
        <v>31</v>
      </c>
      <c r="D360" t="s">
        <v>48</v>
      </c>
      <c r="E360" t="s">
        <v>56</v>
      </c>
      <c r="F360" s="7">
        <v>14943587</v>
      </c>
      <c r="G360" t="s">
        <v>1567</v>
      </c>
      <c r="H360" s="5">
        <v>91691</v>
      </c>
      <c r="I360" s="12">
        <v>45894</v>
      </c>
      <c r="J360" s="15">
        <v>30</v>
      </c>
      <c r="K360" s="15">
        <v>4</v>
      </c>
      <c r="L360" s="9">
        <v>0.1046</v>
      </c>
      <c r="M360" s="9">
        <v>5.6399999999999999E-2</v>
      </c>
      <c r="N360" s="15">
        <v>7</v>
      </c>
      <c r="O360" t="s">
        <v>27</v>
      </c>
      <c r="P360" t="s">
        <v>28</v>
      </c>
      <c r="Q360" s="24">
        <v>0.65</v>
      </c>
      <c r="R360" s="5">
        <f t="shared" si="30"/>
        <v>788.29139178082187</v>
      </c>
      <c r="S360" s="5">
        <f t="shared" si="31"/>
        <v>99.177004931506858</v>
      </c>
      <c r="T360" s="5">
        <f t="shared" si="32"/>
        <v>689.114386849315</v>
      </c>
      <c r="U360" s="15">
        <f t="shared" si="33"/>
        <v>23</v>
      </c>
      <c r="V360" s="3">
        <f t="shared" si="34"/>
        <v>2872.6790300000002</v>
      </c>
      <c r="W360" s="3">
        <f t="shared" si="35"/>
        <v>359</v>
      </c>
    </row>
    <row r="361" spans="1:23" x14ac:dyDescent="0.2">
      <c r="A361" t="s">
        <v>377</v>
      </c>
      <c r="B361" t="s">
        <v>378</v>
      </c>
      <c r="C361" t="s">
        <v>31</v>
      </c>
      <c r="D361" t="s">
        <v>48</v>
      </c>
      <c r="E361" t="s">
        <v>25</v>
      </c>
      <c r="F361" s="7">
        <v>3293043</v>
      </c>
      <c r="G361" t="s">
        <v>790</v>
      </c>
      <c r="H361" s="5">
        <v>58918</v>
      </c>
      <c r="I361" s="12">
        <v>45916</v>
      </c>
      <c r="J361" s="15">
        <v>60</v>
      </c>
      <c r="K361" s="15">
        <v>10</v>
      </c>
      <c r="L361" s="9">
        <v>0.13320000000000001</v>
      </c>
      <c r="M361" s="9">
        <v>5.8299999999999998E-2</v>
      </c>
      <c r="N361" s="15">
        <v>5</v>
      </c>
      <c r="O361" t="s">
        <v>28</v>
      </c>
      <c r="P361" t="s">
        <v>28</v>
      </c>
      <c r="Q361" s="24">
        <v>0.65</v>
      </c>
      <c r="R361" s="5">
        <f t="shared" si="30"/>
        <v>1290.0620712328769</v>
      </c>
      <c r="S361" s="5">
        <f t="shared" si="31"/>
        <v>47.0536904109589</v>
      </c>
      <c r="T361" s="5">
        <f t="shared" si="32"/>
        <v>1243.0083808219179</v>
      </c>
      <c r="U361" s="15">
        <f t="shared" si="33"/>
        <v>55</v>
      </c>
      <c r="V361" s="3">
        <f t="shared" si="34"/>
        <v>2868.4228300000009</v>
      </c>
      <c r="W361" s="3">
        <f t="shared" si="35"/>
        <v>360</v>
      </c>
    </row>
    <row r="362" spans="1:23" x14ac:dyDescent="0.2">
      <c r="A362" t="s">
        <v>711</v>
      </c>
      <c r="B362" t="s">
        <v>190</v>
      </c>
      <c r="C362" t="s">
        <v>77</v>
      </c>
      <c r="D362" t="s">
        <v>37</v>
      </c>
      <c r="E362" t="s">
        <v>49</v>
      </c>
      <c r="F362" s="7">
        <v>407422</v>
      </c>
      <c r="G362" t="s">
        <v>932</v>
      </c>
      <c r="H362" s="5">
        <v>108398</v>
      </c>
      <c r="I362" s="12">
        <v>45665</v>
      </c>
      <c r="J362" s="15">
        <v>45</v>
      </c>
      <c r="K362" s="15">
        <v>10</v>
      </c>
      <c r="L362" s="9">
        <v>0.121</v>
      </c>
      <c r="M362" s="9">
        <v>4.5400000000000003E-2</v>
      </c>
      <c r="N362" s="15">
        <v>10</v>
      </c>
      <c r="O362" t="s">
        <v>28</v>
      </c>
      <c r="P362" t="s">
        <v>28</v>
      </c>
      <c r="Q362" s="24">
        <v>0.35</v>
      </c>
      <c r="R362" s="5">
        <f t="shared" si="30"/>
        <v>1617.0605753424657</v>
      </c>
      <c r="S362" s="5">
        <f t="shared" si="31"/>
        <v>134.82929315068495</v>
      </c>
      <c r="T362" s="5">
        <f t="shared" si="32"/>
        <v>1482.2312821917808</v>
      </c>
      <c r="U362" s="15">
        <f t="shared" si="33"/>
        <v>35</v>
      </c>
      <c r="V362" s="3">
        <f t="shared" si="34"/>
        <v>2868.2110799999996</v>
      </c>
      <c r="W362" s="3">
        <f t="shared" si="35"/>
        <v>361</v>
      </c>
    </row>
    <row r="363" spans="1:23" x14ac:dyDescent="0.2">
      <c r="A363" t="s">
        <v>193</v>
      </c>
      <c r="B363" t="s">
        <v>194</v>
      </c>
      <c r="C363" t="s">
        <v>31</v>
      </c>
      <c r="D363" t="s">
        <v>66</v>
      </c>
      <c r="E363" t="s">
        <v>49</v>
      </c>
      <c r="F363" s="7">
        <v>764840</v>
      </c>
      <c r="G363" t="s">
        <v>1135</v>
      </c>
      <c r="H363" s="5">
        <v>40152</v>
      </c>
      <c r="I363" s="12">
        <v>45793</v>
      </c>
      <c r="J363" s="15">
        <v>60</v>
      </c>
      <c r="K363" s="15">
        <v>4</v>
      </c>
      <c r="L363" s="9">
        <v>0.16819999999999999</v>
      </c>
      <c r="M363" s="9">
        <v>5.8500000000000003E-2</v>
      </c>
      <c r="N363" s="15">
        <v>8</v>
      </c>
      <c r="O363" t="s">
        <v>27</v>
      </c>
      <c r="P363" t="s">
        <v>28</v>
      </c>
      <c r="Q363" s="24">
        <v>0.65</v>
      </c>
      <c r="R363" s="5">
        <f t="shared" si="30"/>
        <v>1110.1752986301369</v>
      </c>
      <c r="S363" s="5">
        <f t="shared" si="31"/>
        <v>51.482564383561652</v>
      </c>
      <c r="T363" s="5">
        <f t="shared" si="32"/>
        <v>1058.6927342465754</v>
      </c>
      <c r="U363" s="15">
        <f t="shared" si="33"/>
        <v>52</v>
      </c>
      <c r="V363" s="3">
        <f t="shared" si="34"/>
        <v>2863.0383599999996</v>
      </c>
      <c r="W363" s="3">
        <f t="shared" si="35"/>
        <v>362</v>
      </c>
    </row>
    <row r="364" spans="1:23" x14ac:dyDescent="0.2">
      <c r="A364" t="s">
        <v>166</v>
      </c>
      <c r="B364" t="s">
        <v>167</v>
      </c>
      <c r="C364" t="s">
        <v>41</v>
      </c>
      <c r="D364" t="s">
        <v>24</v>
      </c>
      <c r="E364" t="s">
        <v>25</v>
      </c>
      <c r="F364" s="7">
        <v>6222733</v>
      </c>
      <c r="G364" t="s">
        <v>1708</v>
      </c>
      <c r="H364" s="5">
        <v>61601</v>
      </c>
      <c r="I364" s="12">
        <v>45749</v>
      </c>
      <c r="J364" s="15">
        <v>60</v>
      </c>
      <c r="K364" s="15">
        <v>2</v>
      </c>
      <c r="L364" s="9">
        <v>0.13980000000000001</v>
      </c>
      <c r="M364" s="9">
        <v>4.6899999999999997E-2</v>
      </c>
      <c r="N364" s="15">
        <v>6</v>
      </c>
      <c r="O364" t="s">
        <v>28</v>
      </c>
      <c r="P364" t="s">
        <v>28</v>
      </c>
      <c r="Q364" s="24">
        <v>0.5</v>
      </c>
      <c r="R364" s="5">
        <f t="shared" si="30"/>
        <v>1415.6416109589043</v>
      </c>
      <c r="S364" s="5">
        <f t="shared" si="31"/>
        <v>47.491839452054784</v>
      </c>
      <c r="T364" s="5">
        <f t="shared" si="32"/>
        <v>1368.1497715068494</v>
      </c>
      <c r="U364" s="15">
        <f t="shared" si="33"/>
        <v>54</v>
      </c>
      <c r="V364" s="3">
        <f t="shared" si="34"/>
        <v>2861.3664500000004</v>
      </c>
      <c r="W364" s="3">
        <f t="shared" si="35"/>
        <v>363</v>
      </c>
    </row>
    <row r="365" spans="1:23" x14ac:dyDescent="0.2">
      <c r="A365" t="s">
        <v>278</v>
      </c>
      <c r="B365" t="s">
        <v>279</v>
      </c>
      <c r="C365" t="s">
        <v>23</v>
      </c>
      <c r="D365" t="s">
        <v>37</v>
      </c>
      <c r="E365" t="s">
        <v>56</v>
      </c>
      <c r="F365" s="7">
        <v>15898738</v>
      </c>
      <c r="G365" t="s">
        <v>1041</v>
      </c>
      <c r="H365" s="5">
        <v>96793</v>
      </c>
      <c r="I365" s="12">
        <v>45995</v>
      </c>
      <c r="J365" s="15">
        <v>90</v>
      </c>
      <c r="K365" s="15">
        <v>3</v>
      </c>
      <c r="L365" s="9">
        <v>0.1071</v>
      </c>
      <c r="M365" s="9">
        <v>4.82E-2</v>
      </c>
      <c r="N365" s="15">
        <v>6</v>
      </c>
      <c r="O365" t="s">
        <v>28</v>
      </c>
      <c r="P365" t="s">
        <v>28</v>
      </c>
      <c r="Q365" s="24">
        <v>0.5</v>
      </c>
      <c r="R365" s="5">
        <f t="shared" si="30"/>
        <v>2556.1307589041094</v>
      </c>
      <c r="S365" s="5">
        <f t="shared" si="31"/>
        <v>76.691878356164381</v>
      </c>
      <c r="T365" s="5">
        <f t="shared" si="32"/>
        <v>2479.4388805479448</v>
      </c>
      <c r="U365" s="15">
        <f t="shared" si="33"/>
        <v>84</v>
      </c>
      <c r="V365" s="3">
        <f t="shared" si="34"/>
        <v>2850.5538500000002</v>
      </c>
      <c r="W365" s="3">
        <f t="shared" si="35"/>
        <v>364</v>
      </c>
    </row>
    <row r="366" spans="1:23" x14ac:dyDescent="0.2">
      <c r="A366" t="s">
        <v>392</v>
      </c>
      <c r="B366" t="s">
        <v>393</v>
      </c>
      <c r="C366" t="s">
        <v>23</v>
      </c>
      <c r="D366" t="s">
        <v>32</v>
      </c>
      <c r="E366" t="s">
        <v>56</v>
      </c>
      <c r="F366" s="7">
        <v>13101534</v>
      </c>
      <c r="G366" t="s">
        <v>869</v>
      </c>
      <c r="H366" s="5">
        <v>89894</v>
      </c>
      <c r="I366" s="12">
        <v>45817</v>
      </c>
      <c r="J366" s="15">
        <v>90</v>
      </c>
      <c r="K366" s="15">
        <v>4</v>
      </c>
      <c r="L366" s="9">
        <v>8.9499999999999996E-2</v>
      </c>
      <c r="M366" s="9">
        <v>5.4300000000000001E-2</v>
      </c>
      <c r="N366" s="15">
        <v>5</v>
      </c>
      <c r="O366" t="s">
        <v>28</v>
      </c>
      <c r="P366" t="s">
        <v>28</v>
      </c>
      <c r="Q366" s="24">
        <v>0.9</v>
      </c>
      <c r="R366" s="5">
        <f t="shared" si="30"/>
        <v>1983.8251232876712</v>
      </c>
      <c r="S366" s="5">
        <f t="shared" si="31"/>
        <v>66.866358904109589</v>
      </c>
      <c r="T366" s="5">
        <f t="shared" si="32"/>
        <v>1916.9587643835616</v>
      </c>
      <c r="U366" s="15">
        <f t="shared" si="33"/>
        <v>85</v>
      </c>
      <c r="V366" s="3">
        <f t="shared" si="34"/>
        <v>2847.8419199999998</v>
      </c>
      <c r="W366" s="3">
        <f t="shared" si="35"/>
        <v>365</v>
      </c>
    </row>
    <row r="367" spans="1:23" x14ac:dyDescent="0.2">
      <c r="A367" t="s">
        <v>468</v>
      </c>
      <c r="B367" t="s">
        <v>412</v>
      </c>
      <c r="C367" t="s">
        <v>41</v>
      </c>
      <c r="D367" t="s">
        <v>48</v>
      </c>
      <c r="E367" t="s">
        <v>49</v>
      </c>
      <c r="F367" s="7">
        <v>1406086</v>
      </c>
      <c r="G367" t="s">
        <v>1516</v>
      </c>
      <c r="H367" s="5">
        <v>55710</v>
      </c>
      <c r="I367" s="12">
        <v>46003</v>
      </c>
      <c r="J367" s="15">
        <v>60</v>
      </c>
      <c r="K367" s="15">
        <v>4</v>
      </c>
      <c r="L367" s="9">
        <v>0.1201</v>
      </c>
      <c r="M367" s="9">
        <v>5.6300000000000003E-2</v>
      </c>
      <c r="N367" s="15">
        <v>7</v>
      </c>
      <c r="O367" t="s">
        <v>27</v>
      </c>
      <c r="P367" t="s">
        <v>28</v>
      </c>
      <c r="Q367" s="24">
        <v>0.8</v>
      </c>
      <c r="R367" s="5">
        <f t="shared" si="30"/>
        <v>1099.8527671232875</v>
      </c>
      <c r="S367" s="5">
        <f t="shared" si="31"/>
        <v>60.151536986301373</v>
      </c>
      <c r="T367" s="5">
        <f t="shared" si="32"/>
        <v>1039.7012301369862</v>
      </c>
      <c r="U367" s="15">
        <f t="shared" si="33"/>
        <v>53</v>
      </c>
      <c r="V367" s="3">
        <f t="shared" si="34"/>
        <v>2843.4384</v>
      </c>
      <c r="W367" s="3">
        <f t="shared" si="35"/>
        <v>366</v>
      </c>
    </row>
    <row r="368" spans="1:23" x14ac:dyDescent="0.2">
      <c r="A368" t="s">
        <v>448</v>
      </c>
      <c r="B368" t="s">
        <v>264</v>
      </c>
      <c r="C368" t="s">
        <v>77</v>
      </c>
      <c r="D368" t="s">
        <v>37</v>
      </c>
      <c r="E368" t="s">
        <v>25</v>
      </c>
      <c r="F368" s="7">
        <v>5041335</v>
      </c>
      <c r="G368" t="s">
        <v>1652</v>
      </c>
      <c r="H368" s="5">
        <v>48038</v>
      </c>
      <c r="I368" s="12">
        <v>46079</v>
      </c>
      <c r="J368" s="15">
        <v>60</v>
      </c>
      <c r="K368" s="15">
        <v>5</v>
      </c>
      <c r="L368" s="9">
        <v>0.1198</v>
      </c>
      <c r="M368" s="9">
        <v>4.5900000000000003E-2</v>
      </c>
      <c r="N368" s="15">
        <v>7</v>
      </c>
      <c r="O368" t="s">
        <v>27</v>
      </c>
      <c r="P368" t="s">
        <v>28</v>
      </c>
      <c r="Q368" s="24">
        <v>0.8</v>
      </c>
      <c r="R368" s="5">
        <f t="shared" si="30"/>
        <v>946.01957260273969</v>
      </c>
      <c r="S368" s="5">
        <f t="shared" si="31"/>
        <v>42.286601095890418</v>
      </c>
      <c r="T368" s="5">
        <f t="shared" si="32"/>
        <v>903.73297150684925</v>
      </c>
      <c r="U368" s="15">
        <f t="shared" si="33"/>
        <v>53</v>
      </c>
      <c r="V368" s="3">
        <f t="shared" si="34"/>
        <v>2840.0065599999998</v>
      </c>
      <c r="W368" s="3">
        <f t="shared" si="35"/>
        <v>367</v>
      </c>
    </row>
    <row r="369" spans="1:23" x14ac:dyDescent="0.2">
      <c r="A369" t="s">
        <v>51</v>
      </c>
      <c r="B369" t="s">
        <v>52</v>
      </c>
      <c r="C369" t="s">
        <v>41</v>
      </c>
      <c r="D369" t="s">
        <v>37</v>
      </c>
      <c r="E369" t="s">
        <v>49</v>
      </c>
      <c r="F369" s="7">
        <v>876116</v>
      </c>
      <c r="G369" t="s">
        <v>330</v>
      </c>
      <c r="H369" s="5">
        <v>71552</v>
      </c>
      <c r="I369" s="12">
        <v>46072</v>
      </c>
      <c r="J369" s="15">
        <v>90</v>
      </c>
      <c r="K369" s="15">
        <v>7</v>
      </c>
      <c r="L369" s="9">
        <v>0.1686</v>
      </c>
      <c r="M369" s="9">
        <v>5.5500000000000001E-2</v>
      </c>
      <c r="N369" s="15">
        <v>6</v>
      </c>
      <c r="O369" t="s">
        <v>27</v>
      </c>
      <c r="P369" t="s">
        <v>28</v>
      </c>
      <c r="Q369" s="24">
        <v>0.35</v>
      </c>
      <c r="R369" s="5">
        <f t="shared" si="30"/>
        <v>2974.6028712328766</v>
      </c>
      <c r="S369" s="5">
        <f t="shared" si="31"/>
        <v>65.278947945205474</v>
      </c>
      <c r="T369" s="5">
        <f t="shared" si="32"/>
        <v>2909.3239232876713</v>
      </c>
      <c r="U369" s="15">
        <f t="shared" si="33"/>
        <v>84</v>
      </c>
      <c r="V369" s="3">
        <f t="shared" si="34"/>
        <v>2832.3859200000002</v>
      </c>
      <c r="W369" s="3">
        <f t="shared" si="35"/>
        <v>368</v>
      </c>
    </row>
    <row r="370" spans="1:23" x14ac:dyDescent="0.2">
      <c r="A370" t="s">
        <v>223</v>
      </c>
      <c r="B370" t="s">
        <v>224</v>
      </c>
      <c r="C370" t="s">
        <v>36</v>
      </c>
      <c r="D370" t="s">
        <v>48</v>
      </c>
      <c r="E370" t="s">
        <v>25</v>
      </c>
      <c r="F370" s="7">
        <v>3916164</v>
      </c>
      <c r="G370" t="s">
        <v>447</v>
      </c>
      <c r="H370" s="5">
        <v>57603</v>
      </c>
      <c r="I370" s="12">
        <v>45726</v>
      </c>
      <c r="J370" s="15">
        <v>60</v>
      </c>
      <c r="K370" s="15">
        <v>5</v>
      </c>
      <c r="L370" s="9">
        <v>0.1119</v>
      </c>
      <c r="M370" s="9">
        <v>5.7299999999999997E-2</v>
      </c>
      <c r="N370" s="15">
        <v>7</v>
      </c>
      <c r="O370" t="s">
        <v>27</v>
      </c>
      <c r="P370" t="s">
        <v>28</v>
      </c>
      <c r="Q370" s="24">
        <v>0.9</v>
      </c>
      <c r="R370" s="5">
        <f t="shared" si="30"/>
        <v>1059.5795671232877</v>
      </c>
      <c r="S370" s="5">
        <f t="shared" si="31"/>
        <v>63.300173424657537</v>
      </c>
      <c r="T370" s="5">
        <f t="shared" si="32"/>
        <v>996.2793936986302</v>
      </c>
      <c r="U370" s="15">
        <f t="shared" si="33"/>
        <v>53</v>
      </c>
      <c r="V370" s="3">
        <f t="shared" si="34"/>
        <v>2830.6114200000002</v>
      </c>
      <c r="W370" s="3">
        <f t="shared" si="35"/>
        <v>369</v>
      </c>
    </row>
    <row r="371" spans="1:23" x14ac:dyDescent="0.2">
      <c r="A371" t="s">
        <v>156</v>
      </c>
      <c r="B371" t="s">
        <v>157</v>
      </c>
      <c r="C371" t="s">
        <v>23</v>
      </c>
      <c r="D371" t="s">
        <v>66</v>
      </c>
      <c r="E371" t="s">
        <v>49</v>
      </c>
      <c r="F371" s="7">
        <v>981924</v>
      </c>
      <c r="G371" t="s">
        <v>406</v>
      </c>
      <c r="H371" s="5">
        <v>63996</v>
      </c>
      <c r="I371" s="12">
        <v>45840</v>
      </c>
      <c r="J371" s="15">
        <v>90</v>
      </c>
      <c r="K371" s="15">
        <v>4</v>
      </c>
      <c r="L371" s="9">
        <v>0.17169999999999999</v>
      </c>
      <c r="M371" s="9">
        <v>4.5600000000000002E-2</v>
      </c>
      <c r="N371" s="15">
        <v>7</v>
      </c>
      <c r="O371" t="s">
        <v>27</v>
      </c>
      <c r="P371" t="s">
        <v>28</v>
      </c>
      <c r="Q371" s="24">
        <v>0.35</v>
      </c>
      <c r="R371" s="5">
        <f t="shared" si="30"/>
        <v>2709.3977753424656</v>
      </c>
      <c r="S371" s="5">
        <f t="shared" si="31"/>
        <v>55.96581698630137</v>
      </c>
      <c r="T371" s="5">
        <f t="shared" si="32"/>
        <v>2653.4319583561642</v>
      </c>
      <c r="U371" s="15">
        <f t="shared" si="33"/>
        <v>83</v>
      </c>
      <c r="V371" s="3">
        <f t="shared" si="34"/>
        <v>2824.4634599999995</v>
      </c>
      <c r="W371" s="3">
        <f t="shared" si="35"/>
        <v>370</v>
      </c>
    </row>
    <row r="372" spans="1:23" x14ac:dyDescent="0.2">
      <c r="A372" t="s">
        <v>252</v>
      </c>
      <c r="B372" t="s">
        <v>89</v>
      </c>
      <c r="C372" t="s">
        <v>31</v>
      </c>
      <c r="D372" t="s">
        <v>24</v>
      </c>
      <c r="E372" t="s">
        <v>49</v>
      </c>
      <c r="F372" s="7">
        <v>971327</v>
      </c>
      <c r="G372" t="s">
        <v>682</v>
      </c>
      <c r="H372" s="5">
        <v>34103</v>
      </c>
      <c r="I372" s="12">
        <v>46033</v>
      </c>
      <c r="J372" s="15">
        <v>30</v>
      </c>
      <c r="K372" s="15">
        <v>3</v>
      </c>
      <c r="L372" s="9">
        <v>0.15229999999999999</v>
      </c>
      <c r="M372" s="9">
        <v>6.0699999999999997E-2</v>
      </c>
      <c r="N372" s="15">
        <v>8</v>
      </c>
      <c r="O372" t="s">
        <v>27</v>
      </c>
      <c r="P372" t="s">
        <v>28</v>
      </c>
      <c r="Q372" s="24">
        <v>0.9</v>
      </c>
      <c r="R372" s="5">
        <f t="shared" si="30"/>
        <v>426.89481369863006</v>
      </c>
      <c r="S372" s="5">
        <f t="shared" si="31"/>
        <v>45.371004931506846</v>
      </c>
      <c r="T372" s="5">
        <f t="shared" si="32"/>
        <v>381.52380876712323</v>
      </c>
      <c r="U372" s="15">
        <f t="shared" si="33"/>
        <v>22</v>
      </c>
      <c r="V372" s="3">
        <f t="shared" si="34"/>
        <v>2811.4513199999997</v>
      </c>
      <c r="W372" s="3">
        <f t="shared" si="35"/>
        <v>371</v>
      </c>
    </row>
    <row r="373" spans="1:23" x14ac:dyDescent="0.2">
      <c r="A373" t="s">
        <v>120</v>
      </c>
      <c r="B373" t="s">
        <v>121</v>
      </c>
      <c r="C373" t="s">
        <v>31</v>
      </c>
      <c r="D373" t="s">
        <v>48</v>
      </c>
      <c r="E373" t="s">
        <v>56</v>
      </c>
      <c r="F373" s="7">
        <v>14943587</v>
      </c>
      <c r="G373" t="s">
        <v>525</v>
      </c>
      <c r="H373" s="5">
        <v>79300</v>
      </c>
      <c r="I373" s="12">
        <v>45942</v>
      </c>
      <c r="J373" s="15">
        <v>30</v>
      </c>
      <c r="K373" s="15">
        <v>4</v>
      </c>
      <c r="L373" s="9">
        <v>0.1046</v>
      </c>
      <c r="M373" s="9">
        <v>5.0200000000000002E-2</v>
      </c>
      <c r="N373" s="15">
        <v>6</v>
      </c>
      <c r="O373" t="s">
        <v>28</v>
      </c>
      <c r="P373" t="s">
        <v>28</v>
      </c>
      <c r="Q373" s="24">
        <v>0.65</v>
      </c>
      <c r="R373" s="5">
        <f t="shared" si="30"/>
        <v>681.76273972602746</v>
      </c>
      <c r="S373" s="5">
        <f t="shared" si="31"/>
        <v>65.438794520547944</v>
      </c>
      <c r="T373" s="5">
        <f t="shared" si="32"/>
        <v>616.3239452054795</v>
      </c>
      <c r="U373" s="15">
        <f t="shared" si="33"/>
        <v>24</v>
      </c>
      <c r="V373" s="3">
        <f t="shared" si="34"/>
        <v>2804.0480000000002</v>
      </c>
      <c r="W373" s="3">
        <f t="shared" si="35"/>
        <v>372</v>
      </c>
    </row>
    <row r="374" spans="1:23" x14ac:dyDescent="0.2">
      <c r="A374" t="s">
        <v>94</v>
      </c>
      <c r="B374" t="s">
        <v>95</v>
      </c>
      <c r="C374" t="s">
        <v>41</v>
      </c>
      <c r="D374" t="s">
        <v>66</v>
      </c>
      <c r="E374" t="s">
        <v>25</v>
      </c>
      <c r="F374" s="7">
        <v>2406772</v>
      </c>
      <c r="G374" t="s">
        <v>802</v>
      </c>
      <c r="H374" s="5">
        <v>86044</v>
      </c>
      <c r="I374" s="12">
        <v>45886</v>
      </c>
      <c r="J374" s="15">
        <v>45</v>
      </c>
      <c r="K374" s="15">
        <v>7</v>
      </c>
      <c r="L374" s="9">
        <v>0.1091</v>
      </c>
      <c r="M374" s="9">
        <v>5.8999999999999997E-2</v>
      </c>
      <c r="N374" s="15">
        <v>6</v>
      </c>
      <c r="O374" t="s">
        <v>28</v>
      </c>
      <c r="P374" t="s">
        <v>28</v>
      </c>
      <c r="Q374" s="24">
        <v>0.65</v>
      </c>
      <c r="R374" s="5">
        <f t="shared" si="30"/>
        <v>1157.3507342465753</v>
      </c>
      <c r="S374" s="5">
        <f t="shared" si="31"/>
        <v>83.450893150684919</v>
      </c>
      <c r="T374" s="5">
        <f t="shared" si="32"/>
        <v>1073.8998410958902</v>
      </c>
      <c r="U374" s="15">
        <f t="shared" si="33"/>
        <v>39</v>
      </c>
      <c r="V374" s="3">
        <f t="shared" si="34"/>
        <v>2802.0228600000005</v>
      </c>
      <c r="W374" s="3">
        <f t="shared" si="35"/>
        <v>373</v>
      </c>
    </row>
    <row r="375" spans="1:23" x14ac:dyDescent="0.2">
      <c r="A375" t="s">
        <v>230</v>
      </c>
      <c r="B375" t="s">
        <v>231</v>
      </c>
      <c r="C375" t="s">
        <v>31</v>
      </c>
      <c r="D375" t="s">
        <v>37</v>
      </c>
      <c r="E375" t="s">
        <v>25</v>
      </c>
      <c r="F375" s="7">
        <v>6782855</v>
      </c>
      <c r="G375" t="s">
        <v>1779</v>
      </c>
      <c r="H375" s="5">
        <v>48007</v>
      </c>
      <c r="I375" s="12">
        <v>45737</v>
      </c>
      <c r="J375" s="15">
        <v>60</v>
      </c>
      <c r="K375" s="15">
        <v>4</v>
      </c>
      <c r="L375" s="9">
        <v>0.1188</v>
      </c>
      <c r="M375" s="9">
        <v>4.5900000000000003E-2</v>
      </c>
      <c r="N375" s="15">
        <v>6</v>
      </c>
      <c r="O375" t="s">
        <v>28</v>
      </c>
      <c r="P375" t="s">
        <v>28</v>
      </c>
      <c r="Q375" s="24">
        <v>0.8</v>
      </c>
      <c r="R375" s="5">
        <f t="shared" si="30"/>
        <v>937.51752328767122</v>
      </c>
      <c r="S375" s="5">
        <f t="shared" si="31"/>
        <v>36.222267945205481</v>
      </c>
      <c r="T375" s="5">
        <f t="shared" si="32"/>
        <v>901.29525534246579</v>
      </c>
      <c r="U375" s="15">
        <f t="shared" si="33"/>
        <v>54</v>
      </c>
      <c r="V375" s="3">
        <f t="shared" si="34"/>
        <v>2799.7682399999999</v>
      </c>
      <c r="W375" s="3">
        <f t="shared" si="35"/>
        <v>374</v>
      </c>
    </row>
    <row r="376" spans="1:23" x14ac:dyDescent="0.2">
      <c r="A376" t="s">
        <v>457</v>
      </c>
      <c r="B376" t="s">
        <v>184</v>
      </c>
      <c r="C376" t="s">
        <v>36</v>
      </c>
      <c r="D376" t="s">
        <v>66</v>
      </c>
      <c r="E376" t="s">
        <v>49</v>
      </c>
      <c r="F376" s="7">
        <v>1104797</v>
      </c>
      <c r="G376" t="s">
        <v>1789</v>
      </c>
      <c r="H376" s="5">
        <v>64931</v>
      </c>
      <c r="I376" s="12">
        <v>45826</v>
      </c>
      <c r="J376" s="15">
        <v>45</v>
      </c>
      <c r="K376" s="15">
        <v>7</v>
      </c>
      <c r="L376" s="9">
        <v>0.13320000000000001</v>
      </c>
      <c r="M376" s="9">
        <v>4.7100000000000003E-2</v>
      </c>
      <c r="N376" s="15">
        <v>6</v>
      </c>
      <c r="O376" t="s">
        <v>27</v>
      </c>
      <c r="P376" t="s">
        <v>28</v>
      </c>
      <c r="Q376" s="24">
        <v>0.5</v>
      </c>
      <c r="R376" s="5">
        <f t="shared" si="30"/>
        <v>1066.2915452054797</v>
      </c>
      <c r="S376" s="5">
        <f t="shared" si="31"/>
        <v>50.272604383561642</v>
      </c>
      <c r="T376" s="5">
        <f t="shared" si="32"/>
        <v>1016.018940821918</v>
      </c>
      <c r="U376" s="15">
        <f t="shared" si="33"/>
        <v>39</v>
      </c>
      <c r="V376" s="3">
        <f t="shared" si="34"/>
        <v>2795.2795500000002</v>
      </c>
      <c r="W376" s="3">
        <f t="shared" si="35"/>
        <v>375</v>
      </c>
    </row>
    <row r="377" spans="1:23" x14ac:dyDescent="0.2">
      <c r="A377" t="s">
        <v>513</v>
      </c>
      <c r="B377" t="s">
        <v>245</v>
      </c>
      <c r="C377" t="s">
        <v>36</v>
      </c>
      <c r="D377" t="s">
        <v>66</v>
      </c>
      <c r="E377" t="s">
        <v>25</v>
      </c>
      <c r="F377" s="7">
        <v>1884403</v>
      </c>
      <c r="G377" t="s">
        <v>1306</v>
      </c>
      <c r="H377" s="5">
        <v>62082</v>
      </c>
      <c r="I377" s="12">
        <v>45986</v>
      </c>
      <c r="J377" s="15">
        <v>45</v>
      </c>
      <c r="K377" s="15">
        <v>10</v>
      </c>
      <c r="L377" s="9">
        <v>0.1231</v>
      </c>
      <c r="M377" s="9">
        <v>5.3900000000000003E-2</v>
      </c>
      <c r="N377" s="15">
        <v>5</v>
      </c>
      <c r="O377" t="s">
        <v>28</v>
      </c>
      <c r="P377" t="s">
        <v>28</v>
      </c>
      <c r="Q377" s="24">
        <v>0.65</v>
      </c>
      <c r="R377" s="5">
        <f t="shared" si="30"/>
        <v>942.20065479452057</v>
      </c>
      <c r="S377" s="5">
        <f t="shared" si="31"/>
        <v>45.838627397260275</v>
      </c>
      <c r="T377" s="5">
        <f t="shared" si="32"/>
        <v>896.36202739726025</v>
      </c>
      <c r="U377" s="15">
        <f t="shared" si="33"/>
        <v>40</v>
      </c>
      <c r="V377" s="3">
        <f t="shared" si="34"/>
        <v>2792.4483599999999</v>
      </c>
      <c r="W377" s="3">
        <f t="shared" si="35"/>
        <v>376</v>
      </c>
    </row>
    <row r="378" spans="1:23" x14ac:dyDescent="0.2">
      <c r="A378" t="s">
        <v>145</v>
      </c>
      <c r="B378" t="s">
        <v>146</v>
      </c>
      <c r="C378" t="s">
        <v>23</v>
      </c>
      <c r="D378" t="s">
        <v>48</v>
      </c>
      <c r="E378" t="s">
        <v>25</v>
      </c>
      <c r="F378" s="7">
        <v>5790128</v>
      </c>
      <c r="G378" t="s">
        <v>951</v>
      </c>
      <c r="H378" s="5">
        <v>66817</v>
      </c>
      <c r="I378" s="12">
        <v>45971</v>
      </c>
      <c r="J378" s="15">
        <v>45</v>
      </c>
      <c r="K378" s="15">
        <v>4</v>
      </c>
      <c r="L378" s="9">
        <v>9.5799999999999996E-2</v>
      </c>
      <c r="M378" s="9">
        <v>4.9399999999999999E-2</v>
      </c>
      <c r="N378" s="15">
        <v>7</v>
      </c>
      <c r="O378" t="s">
        <v>27</v>
      </c>
      <c r="P378" t="s">
        <v>28</v>
      </c>
      <c r="Q378" s="24">
        <v>0.9</v>
      </c>
      <c r="R378" s="5">
        <f t="shared" si="30"/>
        <v>789.17284109589036</v>
      </c>
      <c r="S378" s="5">
        <f t="shared" si="31"/>
        <v>63.302242739726026</v>
      </c>
      <c r="T378" s="5">
        <f t="shared" si="32"/>
        <v>725.87059835616435</v>
      </c>
      <c r="U378" s="15">
        <f t="shared" si="33"/>
        <v>38</v>
      </c>
      <c r="V378" s="3">
        <f t="shared" si="34"/>
        <v>2790.27792</v>
      </c>
      <c r="W378" s="3">
        <f t="shared" si="35"/>
        <v>377</v>
      </c>
    </row>
    <row r="379" spans="1:23" x14ac:dyDescent="0.2">
      <c r="A379" t="s">
        <v>105</v>
      </c>
      <c r="B379" t="s">
        <v>106</v>
      </c>
      <c r="C379" t="s">
        <v>41</v>
      </c>
      <c r="D379" t="s">
        <v>66</v>
      </c>
      <c r="E379" t="s">
        <v>49</v>
      </c>
      <c r="F379" s="7">
        <v>1373788</v>
      </c>
      <c r="G379" t="s">
        <v>1677</v>
      </c>
      <c r="H379" s="5">
        <v>42957</v>
      </c>
      <c r="I379" s="12">
        <v>45660</v>
      </c>
      <c r="J379" s="15">
        <v>90</v>
      </c>
      <c r="K379" s="15">
        <v>5</v>
      </c>
      <c r="L379" s="9">
        <v>0.17660000000000001</v>
      </c>
      <c r="M379" s="9">
        <v>4.6800000000000001E-2</v>
      </c>
      <c r="N379" s="15">
        <v>6</v>
      </c>
      <c r="O379" t="s">
        <v>28</v>
      </c>
      <c r="P379" t="s">
        <v>28</v>
      </c>
      <c r="Q379" s="24">
        <v>0.5</v>
      </c>
      <c r="R379" s="5">
        <f t="shared" si="30"/>
        <v>1870.5713917808218</v>
      </c>
      <c r="S379" s="5">
        <f t="shared" si="31"/>
        <v>33.04746739726027</v>
      </c>
      <c r="T379" s="5">
        <f t="shared" si="32"/>
        <v>1837.5239243835615</v>
      </c>
      <c r="U379" s="15">
        <f t="shared" si="33"/>
        <v>84</v>
      </c>
      <c r="V379" s="3">
        <f t="shared" si="34"/>
        <v>2787.9092999999998</v>
      </c>
      <c r="W379" s="3">
        <f t="shared" si="35"/>
        <v>378</v>
      </c>
    </row>
    <row r="380" spans="1:23" x14ac:dyDescent="0.2">
      <c r="A380" t="s">
        <v>297</v>
      </c>
      <c r="B380" t="s">
        <v>298</v>
      </c>
      <c r="C380" t="s">
        <v>36</v>
      </c>
      <c r="D380" t="s">
        <v>24</v>
      </c>
      <c r="E380" t="s">
        <v>49</v>
      </c>
      <c r="F380" s="7">
        <v>1249897</v>
      </c>
      <c r="G380" t="s">
        <v>299</v>
      </c>
      <c r="H380" s="5">
        <v>51221</v>
      </c>
      <c r="I380" s="12">
        <v>46075</v>
      </c>
      <c r="J380" s="15">
        <v>60</v>
      </c>
      <c r="K380" s="15">
        <v>7</v>
      </c>
      <c r="L380" s="9">
        <v>0.1452</v>
      </c>
      <c r="M380" s="9">
        <v>6.1600000000000002E-2</v>
      </c>
      <c r="N380" s="15">
        <v>10</v>
      </c>
      <c r="O380" t="s">
        <v>27</v>
      </c>
      <c r="P380" t="s">
        <v>28</v>
      </c>
      <c r="Q380" s="24">
        <v>0.65</v>
      </c>
      <c r="R380" s="5">
        <f t="shared" si="30"/>
        <v>1222.5680876712329</v>
      </c>
      <c r="S380" s="5">
        <f t="shared" si="31"/>
        <v>86.44420821917808</v>
      </c>
      <c r="T380" s="5">
        <f t="shared" si="32"/>
        <v>1136.1238794520548</v>
      </c>
      <c r="U380" s="15">
        <f t="shared" si="33"/>
        <v>50</v>
      </c>
      <c r="V380" s="3">
        <f t="shared" si="34"/>
        <v>2783.3491399999998</v>
      </c>
      <c r="W380" s="3">
        <f t="shared" si="35"/>
        <v>379</v>
      </c>
    </row>
    <row r="381" spans="1:23" x14ac:dyDescent="0.2">
      <c r="A381" t="s">
        <v>334</v>
      </c>
      <c r="B381" t="s">
        <v>335</v>
      </c>
      <c r="C381" t="s">
        <v>23</v>
      </c>
      <c r="D381" t="s">
        <v>66</v>
      </c>
      <c r="E381" t="s">
        <v>49</v>
      </c>
      <c r="F381" s="7">
        <v>1475965</v>
      </c>
      <c r="G381" t="s">
        <v>968</v>
      </c>
      <c r="H381" s="5">
        <v>33596</v>
      </c>
      <c r="I381" s="12">
        <v>45669</v>
      </c>
      <c r="J381" s="15">
        <v>45</v>
      </c>
      <c r="K381" s="15">
        <v>10</v>
      </c>
      <c r="L381" s="9">
        <v>0.14000000000000001</v>
      </c>
      <c r="M381" s="9">
        <v>4.8000000000000001E-2</v>
      </c>
      <c r="N381" s="15">
        <v>6</v>
      </c>
      <c r="O381" t="s">
        <v>27</v>
      </c>
      <c r="P381" t="s">
        <v>28</v>
      </c>
      <c r="Q381" s="24">
        <v>0.9</v>
      </c>
      <c r="R381" s="5">
        <f t="shared" si="30"/>
        <v>579.87616438356167</v>
      </c>
      <c r="S381" s="5">
        <f t="shared" si="31"/>
        <v>26.508624657534241</v>
      </c>
      <c r="T381" s="5">
        <f t="shared" si="32"/>
        <v>553.36753972602742</v>
      </c>
      <c r="U381" s="15">
        <f t="shared" si="33"/>
        <v>39</v>
      </c>
      <c r="V381" s="3">
        <f t="shared" si="34"/>
        <v>2781.7488000000003</v>
      </c>
      <c r="W381" s="3">
        <f t="shared" si="35"/>
        <v>380</v>
      </c>
    </row>
    <row r="382" spans="1:23" x14ac:dyDescent="0.2">
      <c r="A382" t="s">
        <v>85</v>
      </c>
      <c r="B382" t="s">
        <v>86</v>
      </c>
      <c r="C382" t="s">
        <v>36</v>
      </c>
      <c r="D382" t="s">
        <v>37</v>
      </c>
      <c r="E382" t="s">
        <v>25</v>
      </c>
      <c r="F382" s="7">
        <v>1954421</v>
      </c>
      <c r="G382" t="s">
        <v>1215</v>
      </c>
      <c r="H382" s="5">
        <v>39470</v>
      </c>
      <c r="I382" s="12">
        <v>45662</v>
      </c>
      <c r="J382" s="15">
        <v>60</v>
      </c>
      <c r="K382" s="15">
        <v>7</v>
      </c>
      <c r="L382" s="9">
        <v>0.1237</v>
      </c>
      <c r="M382" s="9">
        <v>4.5600000000000002E-2</v>
      </c>
      <c r="N382" s="15">
        <v>6</v>
      </c>
      <c r="O382" t="s">
        <v>27</v>
      </c>
      <c r="P382" t="s">
        <v>28</v>
      </c>
      <c r="Q382" s="24">
        <v>0.9</v>
      </c>
      <c r="R382" s="5">
        <f t="shared" si="30"/>
        <v>802.59271232876711</v>
      </c>
      <c r="S382" s="5">
        <f t="shared" si="31"/>
        <v>29.586279452054793</v>
      </c>
      <c r="T382" s="5">
        <f t="shared" si="32"/>
        <v>773.00643287671232</v>
      </c>
      <c r="U382" s="15">
        <f t="shared" si="33"/>
        <v>54</v>
      </c>
      <c r="V382" s="3">
        <f t="shared" si="34"/>
        <v>2774.3463000000002</v>
      </c>
      <c r="W382" s="3">
        <f t="shared" si="35"/>
        <v>381</v>
      </c>
    </row>
    <row r="383" spans="1:23" x14ac:dyDescent="0.2">
      <c r="A383" t="s">
        <v>582</v>
      </c>
      <c r="B383" t="s">
        <v>76</v>
      </c>
      <c r="C383" t="s">
        <v>36</v>
      </c>
      <c r="D383" t="s">
        <v>37</v>
      </c>
      <c r="E383" t="s">
        <v>49</v>
      </c>
      <c r="F383" s="7">
        <v>1336236</v>
      </c>
      <c r="G383" t="s">
        <v>657</v>
      </c>
      <c r="H383" s="5">
        <v>41563</v>
      </c>
      <c r="I383" s="12">
        <v>45758</v>
      </c>
      <c r="J383" s="15">
        <v>90</v>
      </c>
      <c r="K383" s="15">
        <v>10</v>
      </c>
      <c r="L383" s="9">
        <v>0.14249999999999999</v>
      </c>
      <c r="M383" s="9">
        <v>5.9200000000000003E-2</v>
      </c>
      <c r="N383" s="15">
        <v>7</v>
      </c>
      <c r="O383" t="s">
        <v>27</v>
      </c>
      <c r="P383" t="s">
        <v>28</v>
      </c>
      <c r="Q383" s="24">
        <v>0.8</v>
      </c>
      <c r="R383" s="5">
        <f t="shared" si="30"/>
        <v>1460.3985616438354</v>
      </c>
      <c r="S383" s="5">
        <f t="shared" si="31"/>
        <v>47.188238904109596</v>
      </c>
      <c r="T383" s="5">
        <f t="shared" si="32"/>
        <v>1413.2103227397258</v>
      </c>
      <c r="U383" s="15">
        <f t="shared" si="33"/>
        <v>83</v>
      </c>
      <c r="V383" s="3">
        <f t="shared" si="34"/>
        <v>2769.7583199999995</v>
      </c>
      <c r="W383" s="3">
        <f t="shared" si="35"/>
        <v>382</v>
      </c>
    </row>
    <row r="384" spans="1:23" x14ac:dyDescent="0.2">
      <c r="A384" t="s">
        <v>477</v>
      </c>
      <c r="B384" t="s">
        <v>274</v>
      </c>
      <c r="C384" t="s">
        <v>31</v>
      </c>
      <c r="D384" t="s">
        <v>32</v>
      </c>
      <c r="E384" t="s">
        <v>25</v>
      </c>
      <c r="F384" s="7">
        <v>6247387</v>
      </c>
      <c r="G384" t="s">
        <v>974</v>
      </c>
      <c r="H384" s="5">
        <v>82165</v>
      </c>
      <c r="I384" s="12">
        <v>45952</v>
      </c>
      <c r="J384" s="15">
        <v>45</v>
      </c>
      <c r="K384" s="15">
        <v>3</v>
      </c>
      <c r="L384" s="9">
        <v>0.12909999999999999</v>
      </c>
      <c r="M384" s="9">
        <v>6.1800000000000001E-2</v>
      </c>
      <c r="N384" s="15">
        <v>6</v>
      </c>
      <c r="O384" t="s">
        <v>28</v>
      </c>
      <c r="P384" t="s">
        <v>28</v>
      </c>
      <c r="Q384" s="24">
        <v>0.5</v>
      </c>
      <c r="R384" s="5">
        <f t="shared" si="30"/>
        <v>1307.7741575342463</v>
      </c>
      <c r="S384" s="5">
        <f t="shared" si="31"/>
        <v>83.470635616438358</v>
      </c>
      <c r="T384" s="5">
        <f t="shared" si="32"/>
        <v>1224.303521917808</v>
      </c>
      <c r="U384" s="15">
        <f t="shared" si="33"/>
        <v>39</v>
      </c>
      <c r="V384" s="3">
        <f t="shared" si="34"/>
        <v>2764.8522499999999</v>
      </c>
      <c r="W384" s="3">
        <f t="shared" si="35"/>
        <v>383</v>
      </c>
    </row>
    <row r="385" spans="1:23" x14ac:dyDescent="0.2">
      <c r="A385" t="s">
        <v>230</v>
      </c>
      <c r="B385" t="s">
        <v>231</v>
      </c>
      <c r="C385" t="s">
        <v>31</v>
      </c>
      <c r="D385" t="s">
        <v>37</v>
      </c>
      <c r="E385" t="s">
        <v>25</v>
      </c>
      <c r="F385" s="7">
        <v>6782855</v>
      </c>
      <c r="G385" t="s">
        <v>1455</v>
      </c>
      <c r="H385" s="5">
        <v>56932</v>
      </c>
      <c r="I385" s="12">
        <v>45788</v>
      </c>
      <c r="J385" s="15">
        <v>90</v>
      </c>
      <c r="K385" s="15">
        <v>5</v>
      </c>
      <c r="L385" s="9">
        <v>0.1188</v>
      </c>
      <c r="M385" s="9">
        <v>6.4899999999999999E-2</v>
      </c>
      <c r="N385" s="15">
        <v>10</v>
      </c>
      <c r="O385" t="s">
        <v>27</v>
      </c>
      <c r="P385" t="s">
        <v>28</v>
      </c>
      <c r="Q385" s="24">
        <v>0.9</v>
      </c>
      <c r="R385" s="5">
        <f t="shared" si="30"/>
        <v>1667.7176547945205</v>
      </c>
      <c r="S385" s="5">
        <f t="shared" si="31"/>
        <v>101.22977534246574</v>
      </c>
      <c r="T385" s="5">
        <f t="shared" si="32"/>
        <v>1566.4878794520548</v>
      </c>
      <c r="U385" s="15">
        <f t="shared" si="33"/>
        <v>80</v>
      </c>
      <c r="V385" s="3">
        <f t="shared" si="34"/>
        <v>2761.7713200000003</v>
      </c>
      <c r="W385" s="3">
        <f t="shared" si="35"/>
        <v>384</v>
      </c>
    </row>
    <row r="386" spans="1:23" x14ac:dyDescent="0.2">
      <c r="A386" t="s">
        <v>103</v>
      </c>
      <c r="B386" t="s">
        <v>62</v>
      </c>
      <c r="C386" t="s">
        <v>31</v>
      </c>
      <c r="D386" t="s">
        <v>37</v>
      </c>
      <c r="E386" t="s">
        <v>25</v>
      </c>
      <c r="F386" s="7">
        <v>3948313</v>
      </c>
      <c r="G386" t="s">
        <v>104</v>
      </c>
      <c r="H386" s="5">
        <v>105375</v>
      </c>
      <c r="I386" s="12">
        <v>45977</v>
      </c>
      <c r="J386" s="15">
        <v>90</v>
      </c>
      <c r="K386" s="15">
        <v>2</v>
      </c>
      <c r="L386" s="9">
        <v>0.1154</v>
      </c>
      <c r="M386" s="9">
        <v>6.3E-2</v>
      </c>
      <c r="N386" s="15">
        <v>7</v>
      </c>
      <c r="O386" t="s">
        <v>27</v>
      </c>
      <c r="P386" t="s">
        <v>28</v>
      </c>
      <c r="Q386" s="24">
        <v>0.5</v>
      </c>
      <c r="R386" s="5">
        <f t="shared" ref="R386:R449" si="36">H386*L386*(J386/365)</f>
        <v>2998.4239726027395</v>
      </c>
      <c r="S386" s="5">
        <f t="shared" ref="S386:S449" si="37">H386*M386*(N386/365)</f>
        <v>127.31609589041096</v>
      </c>
      <c r="T386" s="5">
        <f t="shared" ref="T386:T449" si="38">R386-S386</f>
        <v>2871.1078767123286</v>
      </c>
      <c r="U386" s="15">
        <f t="shared" ref="U386:U449" si="39">J386-N386</f>
        <v>83</v>
      </c>
      <c r="V386" s="3">
        <f t="shared" ref="V386:V449" si="40">Q386*(L386-M386)*H386</f>
        <v>2760.8250000000003</v>
      </c>
      <c r="W386" s="3">
        <f t="shared" ref="W386:W449" si="41">RANK(V386,$V$2:$V$1501)</f>
        <v>385</v>
      </c>
    </row>
    <row r="387" spans="1:23" x14ac:dyDescent="0.2">
      <c r="A387" t="s">
        <v>217</v>
      </c>
      <c r="B387" t="s">
        <v>218</v>
      </c>
      <c r="C387" t="s">
        <v>23</v>
      </c>
      <c r="D387" t="s">
        <v>48</v>
      </c>
      <c r="E387" t="s">
        <v>49</v>
      </c>
      <c r="F387" s="7">
        <v>1120197</v>
      </c>
      <c r="G387" t="s">
        <v>219</v>
      </c>
      <c r="H387" s="5">
        <v>43252</v>
      </c>
      <c r="I387" s="12">
        <v>45666</v>
      </c>
      <c r="J387" s="15">
        <v>60</v>
      </c>
      <c r="K387" s="15">
        <v>7</v>
      </c>
      <c r="L387" s="9">
        <v>0.1338</v>
      </c>
      <c r="M387" s="9">
        <v>5.4100000000000002E-2</v>
      </c>
      <c r="N387" s="15">
        <v>5</v>
      </c>
      <c r="O387" t="s">
        <v>27</v>
      </c>
      <c r="P387" t="s">
        <v>28</v>
      </c>
      <c r="Q387" s="24">
        <v>0.8</v>
      </c>
      <c r="R387" s="5">
        <f t="shared" si="36"/>
        <v>951.30700273972604</v>
      </c>
      <c r="S387" s="5">
        <f t="shared" si="37"/>
        <v>32.053879452054794</v>
      </c>
      <c r="T387" s="5">
        <f t="shared" si="38"/>
        <v>919.2531232876712</v>
      </c>
      <c r="U387" s="15">
        <f t="shared" si="39"/>
        <v>55</v>
      </c>
      <c r="V387" s="3">
        <f t="shared" si="40"/>
        <v>2757.7475199999999</v>
      </c>
      <c r="W387" s="3">
        <f t="shared" si="41"/>
        <v>386</v>
      </c>
    </row>
    <row r="388" spans="1:23" x14ac:dyDescent="0.2">
      <c r="A388" t="s">
        <v>252</v>
      </c>
      <c r="B388" t="s">
        <v>89</v>
      </c>
      <c r="C388" t="s">
        <v>31</v>
      </c>
      <c r="D388" t="s">
        <v>24</v>
      </c>
      <c r="E388" t="s">
        <v>49</v>
      </c>
      <c r="F388" s="7">
        <v>971327</v>
      </c>
      <c r="G388" t="s">
        <v>1010</v>
      </c>
      <c r="H388" s="5">
        <v>59349</v>
      </c>
      <c r="I388" s="12">
        <v>45891</v>
      </c>
      <c r="J388" s="15">
        <v>60</v>
      </c>
      <c r="K388" s="15">
        <v>7</v>
      </c>
      <c r="L388" s="9">
        <v>0.15229999999999999</v>
      </c>
      <c r="M388" s="9">
        <v>5.9400000000000001E-2</v>
      </c>
      <c r="N388" s="15">
        <v>5</v>
      </c>
      <c r="O388" t="s">
        <v>27</v>
      </c>
      <c r="P388" t="s">
        <v>28</v>
      </c>
      <c r="Q388" s="24">
        <v>0.5</v>
      </c>
      <c r="R388" s="5">
        <f t="shared" si="36"/>
        <v>1485.8387999999998</v>
      </c>
      <c r="S388" s="5">
        <f t="shared" si="37"/>
        <v>48.292200000000001</v>
      </c>
      <c r="T388" s="5">
        <f t="shared" si="38"/>
        <v>1437.5465999999997</v>
      </c>
      <c r="U388" s="15">
        <f t="shared" si="39"/>
        <v>55</v>
      </c>
      <c r="V388" s="3">
        <f t="shared" si="40"/>
        <v>2756.7610499999996</v>
      </c>
      <c r="W388" s="3">
        <f t="shared" si="41"/>
        <v>387</v>
      </c>
    </row>
    <row r="389" spans="1:23" x14ac:dyDescent="0.2">
      <c r="A389" t="s">
        <v>271</v>
      </c>
      <c r="B389" t="s">
        <v>128</v>
      </c>
      <c r="C389" t="s">
        <v>36</v>
      </c>
      <c r="D389" t="s">
        <v>37</v>
      </c>
      <c r="E389" t="s">
        <v>49</v>
      </c>
      <c r="F389" s="7">
        <v>879139</v>
      </c>
      <c r="G389" t="s">
        <v>959</v>
      </c>
      <c r="H389" s="5">
        <v>36241</v>
      </c>
      <c r="I389" s="12">
        <v>45828</v>
      </c>
      <c r="J389" s="15">
        <v>60</v>
      </c>
      <c r="K389" s="15">
        <v>4</v>
      </c>
      <c r="L389" s="9">
        <v>0.14199999999999999</v>
      </c>
      <c r="M389" s="9">
        <v>5.7500000000000002E-2</v>
      </c>
      <c r="N389" s="15">
        <v>5</v>
      </c>
      <c r="O389" t="s">
        <v>27</v>
      </c>
      <c r="P389" t="s">
        <v>28</v>
      </c>
      <c r="Q389" s="24">
        <v>0.9</v>
      </c>
      <c r="R389" s="5">
        <f t="shared" si="36"/>
        <v>845.95430136986295</v>
      </c>
      <c r="S389" s="5">
        <f t="shared" si="37"/>
        <v>28.545993150684932</v>
      </c>
      <c r="T389" s="5">
        <f t="shared" si="38"/>
        <v>817.40830821917802</v>
      </c>
      <c r="U389" s="15">
        <f t="shared" si="39"/>
        <v>55</v>
      </c>
      <c r="V389" s="3">
        <f t="shared" si="40"/>
        <v>2756.1280499999998</v>
      </c>
      <c r="W389" s="3">
        <f t="shared" si="41"/>
        <v>388</v>
      </c>
    </row>
    <row r="390" spans="1:23" x14ac:dyDescent="0.2">
      <c r="A390" t="s">
        <v>582</v>
      </c>
      <c r="B390" t="s">
        <v>76</v>
      </c>
      <c r="C390" t="s">
        <v>36</v>
      </c>
      <c r="D390" t="s">
        <v>37</v>
      </c>
      <c r="E390" t="s">
        <v>49</v>
      </c>
      <c r="F390" s="7">
        <v>1336236</v>
      </c>
      <c r="G390" t="s">
        <v>701</v>
      </c>
      <c r="H390" s="5">
        <v>46671</v>
      </c>
      <c r="I390" s="12">
        <v>45855</v>
      </c>
      <c r="J390" s="15">
        <v>45</v>
      </c>
      <c r="K390" s="15">
        <v>10</v>
      </c>
      <c r="L390" s="9">
        <v>0.14249999999999999</v>
      </c>
      <c r="M390" s="9">
        <v>5.1900000000000002E-2</v>
      </c>
      <c r="N390" s="15">
        <v>8</v>
      </c>
      <c r="O390" t="s">
        <v>27</v>
      </c>
      <c r="P390" t="s">
        <v>28</v>
      </c>
      <c r="Q390" s="24">
        <v>0.65</v>
      </c>
      <c r="R390" s="5">
        <f t="shared" si="36"/>
        <v>819.93914383561628</v>
      </c>
      <c r="S390" s="5">
        <f t="shared" si="37"/>
        <v>53.08986082191781</v>
      </c>
      <c r="T390" s="5">
        <f t="shared" si="38"/>
        <v>766.84928301369848</v>
      </c>
      <c r="U390" s="15">
        <f t="shared" si="39"/>
        <v>37</v>
      </c>
      <c r="V390" s="3">
        <f t="shared" si="40"/>
        <v>2748.4551899999997</v>
      </c>
      <c r="W390" s="3">
        <f t="shared" si="41"/>
        <v>389</v>
      </c>
    </row>
    <row r="391" spans="1:23" x14ac:dyDescent="0.2">
      <c r="A391" t="s">
        <v>311</v>
      </c>
      <c r="B391" t="s">
        <v>312</v>
      </c>
      <c r="C391" t="s">
        <v>23</v>
      </c>
      <c r="D391" t="s">
        <v>32</v>
      </c>
      <c r="E391" t="s">
        <v>25</v>
      </c>
      <c r="F391" s="7">
        <v>3726894</v>
      </c>
      <c r="G391" t="s">
        <v>313</v>
      </c>
      <c r="H391" s="5">
        <v>80875</v>
      </c>
      <c r="I391" s="12">
        <v>46006</v>
      </c>
      <c r="J391" s="15">
        <v>60</v>
      </c>
      <c r="K391" s="15">
        <v>3</v>
      </c>
      <c r="L391" s="9">
        <v>9.1899999999999996E-2</v>
      </c>
      <c r="M391" s="9">
        <v>5.4199999999999998E-2</v>
      </c>
      <c r="N391" s="15">
        <v>10</v>
      </c>
      <c r="O391" t="s">
        <v>27</v>
      </c>
      <c r="P391" t="s">
        <v>28</v>
      </c>
      <c r="Q391" s="24">
        <v>0.9</v>
      </c>
      <c r="R391" s="5">
        <f t="shared" si="36"/>
        <v>1221.7664383561641</v>
      </c>
      <c r="S391" s="5">
        <f t="shared" si="37"/>
        <v>120.09383561643835</v>
      </c>
      <c r="T391" s="5">
        <f t="shared" si="38"/>
        <v>1101.6726027397258</v>
      </c>
      <c r="U391" s="15">
        <f t="shared" si="39"/>
        <v>50</v>
      </c>
      <c r="V391" s="3">
        <f t="shared" si="40"/>
        <v>2744.0887500000003</v>
      </c>
      <c r="W391" s="3">
        <f t="shared" si="41"/>
        <v>390</v>
      </c>
    </row>
    <row r="392" spans="1:23" x14ac:dyDescent="0.2">
      <c r="A392" t="s">
        <v>334</v>
      </c>
      <c r="B392" t="s">
        <v>335</v>
      </c>
      <c r="C392" t="s">
        <v>23</v>
      </c>
      <c r="D392" t="s">
        <v>66</v>
      </c>
      <c r="E392" t="s">
        <v>49</v>
      </c>
      <c r="F392" s="7">
        <v>1475965</v>
      </c>
      <c r="G392" t="s">
        <v>1664</v>
      </c>
      <c r="H392" s="5">
        <v>38112</v>
      </c>
      <c r="I392" s="12">
        <v>45844</v>
      </c>
      <c r="J392" s="15">
        <v>45</v>
      </c>
      <c r="K392" s="15">
        <v>4</v>
      </c>
      <c r="L392" s="9">
        <v>0.14000000000000001</v>
      </c>
      <c r="M392" s="9">
        <v>5.0200000000000002E-2</v>
      </c>
      <c r="N392" s="15">
        <v>8</v>
      </c>
      <c r="O392" t="s">
        <v>27</v>
      </c>
      <c r="P392" t="s">
        <v>28</v>
      </c>
      <c r="Q392" s="24">
        <v>0.8</v>
      </c>
      <c r="R392" s="5">
        <f t="shared" si="36"/>
        <v>657.82356164383566</v>
      </c>
      <c r="S392" s="5">
        <f t="shared" si="37"/>
        <v>41.933641643835621</v>
      </c>
      <c r="T392" s="5">
        <f t="shared" si="38"/>
        <v>615.88992000000007</v>
      </c>
      <c r="U392" s="15">
        <f t="shared" si="39"/>
        <v>37</v>
      </c>
      <c r="V392" s="3">
        <f t="shared" si="40"/>
        <v>2737.9660800000006</v>
      </c>
      <c r="W392" s="3">
        <f t="shared" si="41"/>
        <v>391</v>
      </c>
    </row>
    <row r="393" spans="1:23" x14ac:dyDescent="0.2">
      <c r="A393" t="s">
        <v>179</v>
      </c>
      <c r="B393" t="s">
        <v>180</v>
      </c>
      <c r="C393" t="s">
        <v>36</v>
      </c>
      <c r="D393" t="s">
        <v>48</v>
      </c>
      <c r="E393" t="s">
        <v>25</v>
      </c>
      <c r="F393" s="7">
        <v>6074867</v>
      </c>
      <c r="G393" t="s">
        <v>929</v>
      </c>
      <c r="H393" s="5">
        <v>106337</v>
      </c>
      <c r="I393" s="12">
        <v>45931</v>
      </c>
      <c r="J393" s="15">
        <v>90</v>
      </c>
      <c r="K393" s="15">
        <v>3</v>
      </c>
      <c r="L393" s="9">
        <v>9.4299999999999995E-2</v>
      </c>
      <c r="M393" s="9">
        <v>5.4800000000000001E-2</v>
      </c>
      <c r="N393" s="15">
        <v>5</v>
      </c>
      <c r="O393" t="s">
        <v>27</v>
      </c>
      <c r="P393" t="s">
        <v>28</v>
      </c>
      <c r="Q393" s="24">
        <v>0.65</v>
      </c>
      <c r="R393" s="5">
        <f t="shared" si="36"/>
        <v>2472.5537506849309</v>
      </c>
      <c r="S393" s="5">
        <f t="shared" si="37"/>
        <v>79.825583561643839</v>
      </c>
      <c r="T393" s="5">
        <f t="shared" si="38"/>
        <v>2392.7281671232872</v>
      </c>
      <c r="U393" s="15">
        <f t="shared" si="39"/>
        <v>85</v>
      </c>
      <c r="V393" s="3">
        <f t="shared" si="40"/>
        <v>2730.2024749999996</v>
      </c>
      <c r="W393" s="3">
        <f t="shared" si="41"/>
        <v>392</v>
      </c>
    </row>
    <row r="394" spans="1:23" x14ac:dyDescent="0.2">
      <c r="A394" t="s">
        <v>889</v>
      </c>
      <c r="B394" t="s">
        <v>286</v>
      </c>
      <c r="C394" t="s">
        <v>23</v>
      </c>
      <c r="D394" t="s">
        <v>66</v>
      </c>
      <c r="E394" t="s">
        <v>49</v>
      </c>
      <c r="F394" s="7">
        <v>1374525</v>
      </c>
      <c r="G394" t="s">
        <v>1095</v>
      </c>
      <c r="H394" s="5">
        <v>66558</v>
      </c>
      <c r="I394" s="12">
        <v>45832</v>
      </c>
      <c r="J394" s="15">
        <v>90</v>
      </c>
      <c r="K394" s="15">
        <v>4</v>
      </c>
      <c r="L394" s="9">
        <v>0.13320000000000001</v>
      </c>
      <c r="M394" s="9">
        <v>5.1299999999999998E-2</v>
      </c>
      <c r="N394" s="15">
        <v>8</v>
      </c>
      <c r="O394" t="s">
        <v>27</v>
      </c>
      <c r="P394" t="s">
        <v>28</v>
      </c>
      <c r="Q394" s="24">
        <v>0.5</v>
      </c>
      <c r="R394" s="5">
        <f t="shared" si="36"/>
        <v>2186.0200109589041</v>
      </c>
      <c r="S394" s="5">
        <f t="shared" si="37"/>
        <v>74.836721095890411</v>
      </c>
      <c r="T394" s="5">
        <f t="shared" si="38"/>
        <v>2111.1832898630137</v>
      </c>
      <c r="U394" s="15">
        <f t="shared" si="39"/>
        <v>82</v>
      </c>
      <c r="V394" s="3">
        <f t="shared" si="40"/>
        <v>2725.5501000000004</v>
      </c>
      <c r="W394" s="3">
        <f t="shared" si="41"/>
        <v>393</v>
      </c>
    </row>
    <row r="395" spans="1:23" x14ac:dyDescent="0.2">
      <c r="A395" t="s">
        <v>273</v>
      </c>
      <c r="B395" t="s">
        <v>274</v>
      </c>
      <c r="C395" t="s">
        <v>41</v>
      </c>
      <c r="D395" t="s">
        <v>37</v>
      </c>
      <c r="E395" t="s">
        <v>56</v>
      </c>
      <c r="F395" s="7">
        <v>12001432</v>
      </c>
      <c r="G395" t="s">
        <v>966</v>
      </c>
      <c r="H395" s="5">
        <v>105038</v>
      </c>
      <c r="I395" s="12">
        <v>46072</v>
      </c>
      <c r="J395" s="15">
        <v>60</v>
      </c>
      <c r="K395" s="15">
        <v>7</v>
      </c>
      <c r="L395" s="9">
        <v>9.1800000000000007E-2</v>
      </c>
      <c r="M395" s="9">
        <v>6.3E-2</v>
      </c>
      <c r="N395" s="15">
        <v>8</v>
      </c>
      <c r="O395" t="s">
        <v>27</v>
      </c>
      <c r="P395" t="s">
        <v>28</v>
      </c>
      <c r="Q395" s="24">
        <v>0.9</v>
      </c>
      <c r="R395" s="5">
        <f t="shared" si="36"/>
        <v>1585.0665863013699</v>
      </c>
      <c r="S395" s="5">
        <f t="shared" si="37"/>
        <v>145.03877260273973</v>
      </c>
      <c r="T395" s="5">
        <f t="shared" si="38"/>
        <v>1440.0278136986301</v>
      </c>
      <c r="U395" s="15">
        <f t="shared" si="39"/>
        <v>52</v>
      </c>
      <c r="V395" s="3">
        <f t="shared" si="40"/>
        <v>2722.5849600000006</v>
      </c>
      <c r="W395" s="3">
        <f t="shared" si="41"/>
        <v>394</v>
      </c>
    </row>
    <row r="396" spans="1:23" x14ac:dyDescent="0.2">
      <c r="A396" t="s">
        <v>58</v>
      </c>
      <c r="B396" t="s">
        <v>59</v>
      </c>
      <c r="C396" t="s">
        <v>23</v>
      </c>
      <c r="D396" t="s">
        <v>24</v>
      </c>
      <c r="E396" t="s">
        <v>25</v>
      </c>
      <c r="F396" s="7">
        <v>4269919</v>
      </c>
      <c r="G396" t="s">
        <v>1733</v>
      </c>
      <c r="H396" s="5">
        <v>58727</v>
      </c>
      <c r="I396" s="12">
        <v>45774</v>
      </c>
      <c r="J396" s="15">
        <v>60</v>
      </c>
      <c r="K396" s="15">
        <v>7</v>
      </c>
      <c r="L396" s="9">
        <v>0.1212</v>
      </c>
      <c r="M396" s="9">
        <v>6.3299999999999995E-2</v>
      </c>
      <c r="N396" s="15">
        <v>5</v>
      </c>
      <c r="O396" t="s">
        <v>27</v>
      </c>
      <c r="P396" t="s">
        <v>28</v>
      </c>
      <c r="Q396" s="24">
        <v>0.8</v>
      </c>
      <c r="R396" s="5">
        <f t="shared" si="36"/>
        <v>1170.0349150684931</v>
      </c>
      <c r="S396" s="5">
        <f t="shared" si="37"/>
        <v>50.923549315068485</v>
      </c>
      <c r="T396" s="5">
        <f t="shared" si="38"/>
        <v>1119.1113657534247</v>
      </c>
      <c r="U396" s="15">
        <f t="shared" si="39"/>
        <v>55</v>
      </c>
      <c r="V396" s="3">
        <f t="shared" si="40"/>
        <v>2720.2346400000006</v>
      </c>
      <c r="W396" s="3">
        <f t="shared" si="41"/>
        <v>395</v>
      </c>
    </row>
    <row r="397" spans="1:23" x14ac:dyDescent="0.2">
      <c r="A397" t="s">
        <v>438</v>
      </c>
      <c r="B397" t="s">
        <v>439</v>
      </c>
      <c r="C397" t="s">
        <v>41</v>
      </c>
      <c r="D397" t="s">
        <v>48</v>
      </c>
      <c r="E397" t="s">
        <v>25</v>
      </c>
      <c r="F397" s="7">
        <v>2438415</v>
      </c>
      <c r="G397" t="s">
        <v>918</v>
      </c>
      <c r="H397" s="5">
        <v>71433</v>
      </c>
      <c r="I397" s="12">
        <v>46055</v>
      </c>
      <c r="J397" s="15">
        <v>90</v>
      </c>
      <c r="K397" s="15">
        <v>4</v>
      </c>
      <c r="L397" s="9">
        <v>0.13650000000000001</v>
      </c>
      <c r="M397" s="9">
        <v>6.0400000000000002E-2</v>
      </c>
      <c r="N397" s="15">
        <v>7</v>
      </c>
      <c r="O397" t="s">
        <v>27</v>
      </c>
      <c r="P397" t="s">
        <v>28</v>
      </c>
      <c r="Q397" s="24">
        <v>0.5</v>
      </c>
      <c r="R397" s="5">
        <f t="shared" si="36"/>
        <v>2404.2586438356166</v>
      </c>
      <c r="S397" s="5">
        <f t="shared" si="37"/>
        <v>82.744855890410975</v>
      </c>
      <c r="T397" s="5">
        <f t="shared" si="38"/>
        <v>2321.5137879452054</v>
      </c>
      <c r="U397" s="15">
        <f t="shared" si="39"/>
        <v>83</v>
      </c>
      <c r="V397" s="3">
        <f t="shared" si="40"/>
        <v>2718.02565</v>
      </c>
      <c r="W397" s="3">
        <f t="shared" si="41"/>
        <v>396</v>
      </c>
    </row>
    <row r="398" spans="1:23" x14ac:dyDescent="0.2">
      <c r="A398" t="s">
        <v>530</v>
      </c>
      <c r="B398" t="s">
        <v>531</v>
      </c>
      <c r="C398" t="s">
        <v>36</v>
      </c>
      <c r="D398" t="s">
        <v>37</v>
      </c>
      <c r="E398" t="s">
        <v>49</v>
      </c>
      <c r="F398" s="7">
        <v>701545</v>
      </c>
      <c r="G398" t="s">
        <v>532</v>
      </c>
      <c r="H398" s="5">
        <v>62165</v>
      </c>
      <c r="I398" s="12">
        <v>45675</v>
      </c>
      <c r="J398" s="15">
        <v>60</v>
      </c>
      <c r="K398" s="15">
        <v>3</v>
      </c>
      <c r="L398" s="9">
        <v>0.17699999999999999</v>
      </c>
      <c r="M398" s="9">
        <v>5.21E-2</v>
      </c>
      <c r="N398" s="15">
        <v>6</v>
      </c>
      <c r="O398" t="s">
        <v>27</v>
      </c>
      <c r="P398" t="s">
        <v>28</v>
      </c>
      <c r="Q398" s="24">
        <v>0.35</v>
      </c>
      <c r="R398" s="5">
        <f t="shared" si="36"/>
        <v>1808.7460273972601</v>
      </c>
      <c r="S398" s="5">
        <f t="shared" si="37"/>
        <v>53.240490410958898</v>
      </c>
      <c r="T398" s="5">
        <f t="shared" si="38"/>
        <v>1755.5055369863012</v>
      </c>
      <c r="U398" s="15">
        <f t="shared" si="39"/>
        <v>54</v>
      </c>
      <c r="V398" s="3">
        <f t="shared" si="40"/>
        <v>2717.5429749999994</v>
      </c>
      <c r="W398" s="3">
        <f t="shared" si="41"/>
        <v>397</v>
      </c>
    </row>
    <row r="399" spans="1:23" x14ac:dyDescent="0.2">
      <c r="A399" t="s">
        <v>103</v>
      </c>
      <c r="B399" t="s">
        <v>62</v>
      </c>
      <c r="C399" t="s">
        <v>31</v>
      </c>
      <c r="D399" t="s">
        <v>37</v>
      </c>
      <c r="E399" t="s">
        <v>25</v>
      </c>
      <c r="F399" s="7">
        <v>3948313</v>
      </c>
      <c r="G399" t="s">
        <v>1687</v>
      </c>
      <c r="H399" s="5">
        <v>67372</v>
      </c>
      <c r="I399" s="12">
        <v>45915</v>
      </c>
      <c r="J399" s="15">
        <v>60</v>
      </c>
      <c r="K399" s="15">
        <v>4</v>
      </c>
      <c r="L399" s="9">
        <v>0.1154</v>
      </c>
      <c r="M399" s="9">
        <v>5.3499999999999999E-2</v>
      </c>
      <c r="N399" s="15">
        <v>5</v>
      </c>
      <c r="O399" t="s">
        <v>27</v>
      </c>
      <c r="P399" t="s">
        <v>28</v>
      </c>
      <c r="Q399" s="24">
        <v>0.65</v>
      </c>
      <c r="R399" s="5">
        <f t="shared" si="36"/>
        <v>1278.037610958904</v>
      </c>
      <c r="S399" s="5">
        <f t="shared" si="37"/>
        <v>49.375369863013695</v>
      </c>
      <c r="T399" s="5">
        <f t="shared" si="38"/>
        <v>1228.6622410958903</v>
      </c>
      <c r="U399" s="15">
        <f t="shared" si="39"/>
        <v>55</v>
      </c>
      <c r="V399" s="3">
        <f t="shared" si="40"/>
        <v>2710.7124200000003</v>
      </c>
      <c r="W399" s="3">
        <f t="shared" si="41"/>
        <v>398</v>
      </c>
    </row>
    <row r="400" spans="1:23" x14ac:dyDescent="0.2">
      <c r="A400" t="s">
        <v>85</v>
      </c>
      <c r="B400" t="s">
        <v>86</v>
      </c>
      <c r="C400" t="s">
        <v>36</v>
      </c>
      <c r="D400" t="s">
        <v>37</v>
      </c>
      <c r="E400" t="s">
        <v>25</v>
      </c>
      <c r="F400" s="7">
        <v>1954421</v>
      </c>
      <c r="G400" t="s">
        <v>789</v>
      </c>
      <c r="H400" s="5">
        <v>44605</v>
      </c>
      <c r="I400" s="12">
        <v>45953</v>
      </c>
      <c r="J400" s="15">
        <v>60</v>
      </c>
      <c r="K400" s="15">
        <v>3</v>
      </c>
      <c r="L400" s="9">
        <v>0.1237</v>
      </c>
      <c r="M400" s="9">
        <v>5.62E-2</v>
      </c>
      <c r="N400" s="15">
        <v>10</v>
      </c>
      <c r="O400" t="s">
        <v>27</v>
      </c>
      <c r="P400" t="s">
        <v>28</v>
      </c>
      <c r="Q400" s="24">
        <v>0.9</v>
      </c>
      <c r="R400" s="5">
        <f t="shared" si="36"/>
        <v>907.00906849315061</v>
      </c>
      <c r="S400" s="5">
        <f t="shared" si="37"/>
        <v>68.679479452054792</v>
      </c>
      <c r="T400" s="5">
        <f t="shared" si="38"/>
        <v>838.3295890410958</v>
      </c>
      <c r="U400" s="15">
        <f t="shared" si="39"/>
        <v>50</v>
      </c>
      <c r="V400" s="3">
        <f t="shared" si="40"/>
        <v>2709.7537500000003</v>
      </c>
      <c r="W400" s="3">
        <f t="shared" si="41"/>
        <v>399</v>
      </c>
    </row>
    <row r="401" spans="1:23" x14ac:dyDescent="0.2">
      <c r="A401" t="s">
        <v>247</v>
      </c>
      <c r="B401" t="s">
        <v>47</v>
      </c>
      <c r="C401" t="s">
        <v>31</v>
      </c>
      <c r="D401" t="s">
        <v>48</v>
      </c>
      <c r="E401" t="s">
        <v>49</v>
      </c>
      <c r="F401" s="7">
        <v>1089809</v>
      </c>
      <c r="G401" t="s">
        <v>1443</v>
      </c>
      <c r="H401" s="5">
        <v>32103</v>
      </c>
      <c r="I401" s="12">
        <v>45878</v>
      </c>
      <c r="J401" s="15">
        <v>60</v>
      </c>
      <c r="K401" s="15">
        <v>7</v>
      </c>
      <c r="L401" s="9">
        <v>0.16689999999999999</v>
      </c>
      <c r="M401" s="9">
        <v>6.1400000000000003E-2</v>
      </c>
      <c r="N401" s="15">
        <v>10</v>
      </c>
      <c r="O401" t="s">
        <v>27</v>
      </c>
      <c r="P401" t="s">
        <v>28</v>
      </c>
      <c r="Q401" s="24">
        <v>0.8</v>
      </c>
      <c r="R401" s="5">
        <f t="shared" si="36"/>
        <v>880.76559452054778</v>
      </c>
      <c r="S401" s="5">
        <f t="shared" si="37"/>
        <v>54.003402739726027</v>
      </c>
      <c r="T401" s="5">
        <f t="shared" si="38"/>
        <v>826.76219178082169</v>
      </c>
      <c r="U401" s="15">
        <f t="shared" si="39"/>
        <v>50</v>
      </c>
      <c r="V401" s="3">
        <f t="shared" si="40"/>
        <v>2709.4931999999994</v>
      </c>
      <c r="W401" s="3">
        <f t="shared" si="41"/>
        <v>400</v>
      </c>
    </row>
    <row r="402" spans="1:23" x14ac:dyDescent="0.2">
      <c r="A402" t="s">
        <v>448</v>
      </c>
      <c r="B402" t="s">
        <v>264</v>
      </c>
      <c r="C402" t="s">
        <v>77</v>
      </c>
      <c r="D402" t="s">
        <v>37</v>
      </c>
      <c r="E402" t="s">
        <v>25</v>
      </c>
      <c r="F402" s="7">
        <v>5041335</v>
      </c>
      <c r="G402" t="s">
        <v>1129</v>
      </c>
      <c r="H402" s="5">
        <v>89660</v>
      </c>
      <c r="I402" s="12">
        <v>45790</v>
      </c>
      <c r="J402" s="15">
        <v>45</v>
      </c>
      <c r="K402" s="15">
        <v>4</v>
      </c>
      <c r="L402" s="9">
        <v>0.1198</v>
      </c>
      <c r="M402" s="9">
        <v>5.9499999999999997E-2</v>
      </c>
      <c r="N402" s="15">
        <v>10</v>
      </c>
      <c r="O402" t="s">
        <v>28</v>
      </c>
      <c r="P402" t="s">
        <v>28</v>
      </c>
      <c r="Q402" s="24">
        <v>0.5</v>
      </c>
      <c r="R402" s="5">
        <f t="shared" si="36"/>
        <v>1324.265917808219</v>
      </c>
      <c r="S402" s="5">
        <f t="shared" si="37"/>
        <v>146.15808219178081</v>
      </c>
      <c r="T402" s="5">
        <f t="shared" si="38"/>
        <v>1178.1078356164383</v>
      </c>
      <c r="U402" s="15">
        <f t="shared" si="39"/>
        <v>35</v>
      </c>
      <c r="V402" s="3">
        <f t="shared" si="40"/>
        <v>2703.2490000000003</v>
      </c>
      <c r="W402" s="3">
        <f t="shared" si="41"/>
        <v>401</v>
      </c>
    </row>
    <row r="403" spans="1:23" x14ac:dyDescent="0.2">
      <c r="A403" t="s">
        <v>351</v>
      </c>
      <c r="B403" t="s">
        <v>352</v>
      </c>
      <c r="C403" t="s">
        <v>36</v>
      </c>
      <c r="D403" t="s">
        <v>24</v>
      </c>
      <c r="E403" t="s">
        <v>49</v>
      </c>
      <c r="F403" s="7">
        <v>1439833</v>
      </c>
      <c r="G403" t="s">
        <v>1093</v>
      </c>
      <c r="H403" s="5">
        <v>26107</v>
      </c>
      <c r="I403" s="12">
        <v>45699</v>
      </c>
      <c r="J403" s="15">
        <v>60</v>
      </c>
      <c r="K403" s="15">
        <v>5</v>
      </c>
      <c r="L403" s="9">
        <v>0.17630000000000001</v>
      </c>
      <c r="M403" s="9">
        <v>4.6899999999999997E-2</v>
      </c>
      <c r="N403" s="15">
        <v>10</v>
      </c>
      <c r="O403" t="s">
        <v>27</v>
      </c>
      <c r="P403" t="s">
        <v>28</v>
      </c>
      <c r="Q403" s="24">
        <v>0.8</v>
      </c>
      <c r="R403" s="5">
        <f t="shared" si="36"/>
        <v>756.60231780821914</v>
      </c>
      <c r="S403" s="5">
        <f t="shared" si="37"/>
        <v>33.54570684931506</v>
      </c>
      <c r="T403" s="5">
        <f t="shared" si="38"/>
        <v>723.05661095890412</v>
      </c>
      <c r="U403" s="15">
        <f t="shared" si="39"/>
        <v>50</v>
      </c>
      <c r="V403" s="3">
        <f t="shared" si="40"/>
        <v>2702.5966400000002</v>
      </c>
      <c r="W403" s="3">
        <f t="shared" si="41"/>
        <v>402</v>
      </c>
    </row>
    <row r="404" spans="1:23" x14ac:dyDescent="0.2">
      <c r="A404" t="s">
        <v>351</v>
      </c>
      <c r="B404" t="s">
        <v>352</v>
      </c>
      <c r="C404" t="s">
        <v>36</v>
      </c>
      <c r="D404" t="s">
        <v>24</v>
      </c>
      <c r="E404" t="s">
        <v>49</v>
      </c>
      <c r="F404" s="7">
        <v>1439833</v>
      </c>
      <c r="G404" t="s">
        <v>605</v>
      </c>
      <c r="H404" s="5">
        <v>34099</v>
      </c>
      <c r="I404" s="12">
        <v>45864</v>
      </c>
      <c r="J404" s="15">
        <v>60</v>
      </c>
      <c r="K404" s="15">
        <v>3</v>
      </c>
      <c r="L404" s="9">
        <v>0.17630000000000001</v>
      </c>
      <c r="M404" s="9">
        <v>5.4800000000000001E-2</v>
      </c>
      <c r="N404" s="15">
        <v>5</v>
      </c>
      <c r="O404" t="s">
        <v>28</v>
      </c>
      <c r="P404" t="s">
        <v>28</v>
      </c>
      <c r="Q404" s="24">
        <v>0.65</v>
      </c>
      <c r="R404" s="5">
        <f t="shared" si="36"/>
        <v>988.21704657534258</v>
      </c>
      <c r="S404" s="5">
        <f t="shared" si="37"/>
        <v>25.597605479452053</v>
      </c>
      <c r="T404" s="5">
        <f t="shared" si="38"/>
        <v>962.61944109589058</v>
      </c>
      <c r="U404" s="15">
        <f t="shared" si="39"/>
        <v>55</v>
      </c>
      <c r="V404" s="3">
        <f t="shared" si="40"/>
        <v>2692.9685250000002</v>
      </c>
      <c r="W404" s="3">
        <f t="shared" si="41"/>
        <v>403</v>
      </c>
    </row>
    <row r="405" spans="1:23" x14ac:dyDescent="0.2">
      <c r="A405" t="s">
        <v>228</v>
      </c>
      <c r="B405" t="s">
        <v>62</v>
      </c>
      <c r="C405" t="s">
        <v>23</v>
      </c>
      <c r="D405" t="s">
        <v>66</v>
      </c>
      <c r="E405" t="s">
        <v>49</v>
      </c>
      <c r="F405" s="7">
        <v>1218251</v>
      </c>
      <c r="G405" t="s">
        <v>1008</v>
      </c>
      <c r="H405" s="5">
        <v>60033</v>
      </c>
      <c r="I405" s="12">
        <v>45875</v>
      </c>
      <c r="J405" s="15">
        <v>60</v>
      </c>
      <c r="K405" s="15">
        <v>3</v>
      </c>
      <c r="L405" s="9">
        <v>0.1227</v>
      </c>
      <c r="M405" s="9">
        <v>5.3800000000000001E-2</v>
      </c>
      <c r="N405" s="15">
        <v>5</v>
      </c>
      <c r="O405" t="s">
        <v>28</v>
      </c>
      <c r="P405" t="s">
        <v>28</v>
      </c>
      <c r="Q405" s="24">
        <v>0.65</v>
      </c>
      <c r="R405" s="5">
        <f t="shared" si="36"/>
        <v>1210.8573863013698</v>
      </c>
      <c r="S405" s="5">
        <f t="shared" si="37"/>
        <v>44.243498630136983</v>
      </c>
      <c r="T405" s="5">
        <f t="shared" si="38"/>
        <v>1166.6138876712328</v>
      </c>
      <c r="U405" s="15">
        <f t="shared" si="39"/>
        <v>55</v>
      </c>
      <c r="V405" s="3">
        <f t="shared" si="40"/>
        <v>2688.5779050000001</v>
      </c>
      <c r="W405" s="3">
        <f t="shared" si="41"/>
        <v>404</v>
      </c>
    </row>
    <row r="406" spans="1:23" x14ac:dyDescent="0.2">
      <c r="A406" t="s">
        <v>468</v>
      </c>
      <c r="B406" t="s">
        <v>412</v>
      </c>
      <c r="C406" t="s">
        <v>41</v>
      </c>
      <c r="D406" t="s">
        <v>48</v>
      </c>
      <c r="E406" t="s">
        <v>49</v>
      </c>
      <c r="F406" s="7">
        <v>1406086</v>
      </c>
      <c r="G406" t="s">
        <v>1251</v>
      </c>
      <c r="H406" s="5">
        <v>108059</v>
      </c>
      <c r="I406" s="12">
        <v>46068</v>
      </c>
      <c r="J406" s="15">
        <v>60</v>
      </c>
      <c r="K406" s="15">
        <v>3</v>
      </c>
      <c r="L406" s="9">
        <v>0.1201</v>
      </c>
      <c r="M406" s="9">
        <v>4.9099999999999998E-2</v>
      </c>
      <c r="N406" s="15">
        <v>5</v>
      </c>
      <c r="O406" t="s">
        <v>27</v>
      </c>
      <c r="P406" t="s">
        <v>28</v>
      </c>
      <c r="Q406" s="24">
        <v>0.35</v>
      </c>
      <c r="R406" s="5">
        <f t="shared" si="36"/>
        <v>2133.3511068493149</v>
      </c>
      <c r="S406" s="5">
        <f t="shared" si="37"/>
        <v>72.680779452054793</v>
      </c>
      <c r="T406" s="5">
        <f t="shared" si="38"/>
        <v>2060.6703273972603</v>
      </c>
      <c r="U406" s="15">
        <f t="shared" si="39"/>
        <v>55</v>
      </c>
      <c r="V406" s="3">
        <f t="shared" si="40"/>
        <v>2685.2661499999999</v>
      </c>
      <c r="W406" s="3">
        <f t="shared" si="41"/>
        <v>405</v>
      </c>
    </row>
    <row r="407" spans="1:23" x14ac:dyDescent="0.2">
      <c r="A407" t="s">
        <v>438</v>
      </c>
      <c r="B407" t="s">
        <v>439</v>
      </c>
      <c r="C407" t="s">
        <v>41</v>
      </c>
      <c r="D407" t="s">
        <v>48</v>
      </c>
      <c r="E407" t="s">
        <v>25</v>
      </c>
      <c r="F407" s="7">
        <v>2438415</v>
      </c>
      <c r="G407" t="s">
        <v>1747</v>
      </c>
      <c r="H407" s="5">
        <v>51329</v>
      </c>
      <c r="I407" s="12">
        <v>46060</v>
      </c>
      <c r="J407" s="15">
        <v>90</v>
      </c>
      <c r="K407" s="15">
        <v>3</v>
      </c>
      <c r="L407" s="9">
        <v>0.13650000000000001</v>
      </c>
      <c r="M407" s="9">
        <v>5.6399999999999999E-2</v>
      </c>
      <c r="N407" s="15">
        <v>6</v>
      </c>
      <c r="O407" t="s">
        <v>27</v>
      </c>
      <c r="P407" t="s">
        <v>28</v>
      </c>
      <c r="Q407" s="24">
        <v>0.65</v>
      </c>
      <c r="R407" s="5">
        <f t="shared" si="36"/>
        <v>1727.6075753424657</v>
      </c>
      <c r="S407" s="5">
        <f t="shared" si="37"/>
        <v>47.588311232876706</v>
      </c>
      <c r="T407" s="5">
        <f t="shared" si="38"/>
        <v>1680.0192641095889</v>
      </c>
      <c r="U407" s="15">
        <f t="shared" si="39"/>
        <v>84</v>
      </c>
      <c r="V407" s="3">
        <f t="shared" si="40"/>
        <v>2672.4443850000002</v>
      </c>
      <c r="W407" s="3">
        <f t="shared" si="41"/>
        <v>406</v>
      </c>
    </row>
    <row r="408" spans="1:23" x14ac:dyDescent="0.2">
      <c r="A408" t="s">
        <v>259</v>
      </c>
      <c r="B408" t="s">
        <v>260</v>
      </c>
      <c r="C408" t="s">
        <v>77</v>
      </c>
      <c r="D408" t="s">
        <v>37</v>
      </c>
      <c r="E408" t="s">
        <v>56</v>
      </c>
      <c r="F408" s="7">
        <v>20068674</v>
      </c>
      <c r="G408" t="s">
        <v>545</v>
      </c>
      <c r="H408" s="5">
        <v>69261</v>
      </c>
      <c r="I408" s="12">
        <v>46060</v>
      </c>
      <c r="J408" s="15">
        <v>60</v>
      </c>
      <c r="K408" s="15">
        <v>5</v>
      </c>
      <c r="L408" s="9">
        <v>0.1062</v>
      </c>
      <c r="M408" s="9">
        <v>5.8000000000000003E-2</v>
      </c>
      <c r="N408" s="15">
        <v>6</v>
      </c>
      <c r="O408" t="s">
        <v>27</v>
      </c>
      <c r="P408" t="s">
        <v>28</v>
      </c>
      <c r="Q408" s="24">
        <v>0.8</v>
      </c>
      <c r="R408" s="5">
        <f t="shared" si="36"/>
        <v>1209.1262794520549</v>
      </c>
      <c r="S408" s="5">
        <f t="shared" si="37"/>
        <v>66.035145205479452</v>
      </c>
      <c r="T408" s="5">
        <f t="shared" si="38"/>
        <v>1143.0911342465754</v>
      </c>
      <c r="U408" s="15">
        <f t="shared" si="39"/>
        <v>54</v>
      </c>
      <c r="V408" s="3">
        <f t="shared" si="40"/>
        <v>2670.7041600000002</v>
      </c>
      <c r="W408" s="3">
        <f t="shared" si="41"/>
        <v>407</v>
      </c>
    </row>
    <row r="409" spans="1:23" x14ac:dyDescent="0.2">
      <c r="A409" t="s">
        <v>889</v>
      </c>
      <c r="B409" t="s">
        <v>286</v>
      </c>
      <c r="C409" t="s">
        <v>23</v>
      </c>
      <c r="D409" t="s">
        <v>66</v>
      </c>
      <c r="E409" t="s">
        <v>49</v>
      </c>
      <c r="F409" s="7">
        <v>1374525</v>
      </c>
      <c r="G409" t="s">
        <v>890</v>
      </c>
      <c r="H409" s="5">
        <v>60394</v>
      </c>
      <c r="I409" s="12">
        <v>45673</v>
      </c>
      <c r="J409" s="15">
        <v>90</v>
      </c>
      <c r="K409" s="15">
        <v>2</v>
      </c>
      <c r="L409" s="9">
        <v>0.13320000000000001</v>
      </c>
      <c r="M409" s="9">
        <v>4.4999999999999998E-2</v>
      </c>
      <c r="N409" s="15">
        <v>10</v>
      </c>
      <c r="O409" t="s">
        <v>27</v>
      </c>
      <c r="P409" t="s">
        <v>28</v>
      </c>
      <c r="Q409" s="24">
        <v>0.5</v>
      </c>
      <c r="R409" s="5">
        <f t="shared" si="36"/>
        <v>1983.5706082191782</v>
      </c>
      <c r="S409" s="5">
        <f t="shared" si="37"/>
        <v>74.458356164383559</v>
      </c>
      <c r="T409" s="5">
        <f t="shared" si="38"/>
        <v>1909.1122520547947</v>
      </c>
      <c r="U409" s="15">
        <f t="shared" si="39"/>
        <v>80</v>
      </c>
      <c r="V409" s="3">
        <f t="shared" si="40"/>
        <v>2663.3754000000004</v>
      </c>
      <c r="W409" s="3">
        <f t="shared" si="41"/>
        <v>408</v>
      </c>
    </row>
    <row r="410" spans="1:23" x14ac:dyDescent="0.2">
      <c r="A410" t="s">
        <v>716</v>
      </c>
      <c r="B410" t="s">
        <v>717</v>
      </c>
      <c r="C410" t="s">
        <v>31</v>
      </c>
      <c r="D410" t="s">
        <v>37</v>
      </c>
      <c r="E410" t="s">
        <v>49</v>
      </c>
      <c r="F410" s="7">
        <v>1439462</v>
      </c>
      <c r="G410" t="s">
        <v>1474</v>
      </c>
      <c r="H410" s="5">
        <v>106929</v>
      </c>
      <c r="I410" s="12">
        <v>46010</v>
      </c>
      <c r="J410" s="15">
        <v>60</v>
      </c>
      <c r="K410" s="15">
        <v>3</v>
      </c>
      <c r="L410" s="9">
        <v>0.17130000000000001</v>
      </c>
      <c r="M410" s="9">
        <v>4.6800000000000001E-2</v>
      </c>
      <c r="N410" s="15">
        <v>7</v>
      </c>
      <c r="O410" t="s">
        <v>27</v>
      </c>
      <c r="P410" t="s">
        <v>28</v>
      </c>
      <c r="Q410" s="24">
        <v>0.2</v>
      </c>
      <c r="R410" s="5">
        <f t="shared" si="36"/>
        <v>3011.003457534247</v>
      </c>
      <c r="S410" s="5">
        <f t="shared" si="37"/>
        <v>95.972439452054815</v>
      </c>
      <c r="T410" s="5">
        <f t="shared" si="38"/>
        <v>2915.0310180821921</v>
      </c>
      <c r="U410" s="15">
        <f t="shared" si="39"/>
        <v>53</v>
      </c>
      <c r="V410" s="3">
        <f t="shared" si="40"/>
        <v>2662.5321000000004</v>
      </c>
      <c r="W410" s="3">
        <f t="shared" si="41"/>
        <v>409</v>
      </c>
    </row>
    <row r="411" spans="1:23" x14ac:dyDescent="0.2">
      <c r="A411" t="s">
        <v>716</v>
      </c>
      <c r="B411" t="s">
        <v>717</v>
      </c>
      <c r="C411" t="s">
        <v>31</v>
      </c>
      <c r="D411" t="s">
        <v>37</v>
      </c>
      <c r="E411" t="s">
        <v>49</v>
      </c>
      <c r="F411" s="7">
        <v>1439462</v>
      </c>
      <c r="G411" t="s">
        <v>1234</v>
      </c>
      <c r="H411" s="5">
        <v>69373</v>
      </c>
      <c r="I411" s="12">
        <v>45808</v>
      </c>
      <c r="J411" s="15">
        <v>45</v>
      </c>
      <c r="K411" s="15">
        <v>4</v>
      </c>
      <c r="L411" s="9">
        <v>0.17130000000000001</v>
      </c>
      <c r="M411" s="9">
        <v>6.1800000000000001E-2</v>
      </c>
      <c r="N411" s="15">
        <v>6</v>
      </c>
      <c r="O411" t="s">
        <v>27</v>
      </c>
      <c r="P411" t="s">
        <v>28</v>
      </c>
      <c r="Q411" s="24">
        <v>0.35</v>
      </c>
      <c r="R411" s="5">
        <f t="shared" si="36"/>
        <v>1465.1007410958903</v>
      </c>
      <c r="S411" s="5">
        <f t="shared" si="37"/>
        <v>70.475365479452051</v>
      </c>
      <c r="T411" s="5">
        <f t="shared" si="38"/>
        <v>1394.6253756164383</v>
      </c>
      <c r="U411" s="15">
        <f t="shared" si="39"/>
        <v>39</v>
      </c>
      <c r="V411" s="3">
        <f t="shared" si="40"/>
        <v>2658.7202250000005</v>
      </c>
      <c r="W411" s="3">
        <f t="shared" si="41"/>
        <v>410</v>
      </c>
    </row>
    <row r="412" spans="1:23" x14ac:dyDescent="0.2">
      <c r="A412" t="s">
        <v>457</v>
      </c>
      <c r="B412" t="s">
        <v>184</v>
      </c>
      <c r="C412" t="s">
        <v>36</v>
      </c>
      <c r="D412" t="s">
        <v>66</v>
      </c>
      <c r="E412" t="s">
        <v>49</v>
      </c>
      <c r="F412" s="7">
        <v>1104797</v>
      </c>
      <c r="G412" t="s">
        <v>458</v>
      </c>
      <c r="H412" s="5">
        <v>48025</v>
      </c>
      <c r="I412" s="12">
        <v>45939</v>
      </c>
      <c r="J412" s="15">
        <v>45</v>
      </c>
      <c r="K412" s="15">
        <v>4</v>
      </c>
      <c r="L412" s="9">
        <v>0.13320000000000001</v>
      </c>
      <c r="M412" s="9">
        <v>4.8399999999999999E-2</v>
      </c>
      <c r="N412" s="15">
        <v>8</v>
      </c>
      <c r="O412" t="s">
        <v>27</v>
      </c>
      <c r="P412" t="s">
        <v>28</v>
      </c>
      <c r="Q412" s="24">
        <v>0.65</v>
      </c>
      <c r="R412" s="5">
        <f t="shared" si="36"/>
        <v>788.66260273972603</v>
      </c>
      <c r="S412" s="5">
        <f t="shared" si="37"/>
        <v>50.945972602739722</v>
      </c>
      <c r="T412" s="5">
        <f t="shared" si="38"/>
        <v>737.71663013698628</v>
      </c>
      <c r="U412" s="15">
        <f t="shared" si="39"/>
        <v>37</v>
      </c>
      <c r="V412" s="3">
        <f t="shared" si="40"/>
        <v>2647.1380000000004</v>
      </c>
      <c r="W412" s="3">
        <f t="shared" si="41"/>
        <v>411</v>
      </c>
    </row>
    <row r="413" spans="1:23" x14ac:dyDescent="0.2">
      <c r="A413" t="s">
        <v>648</v>
      </c>
      <c r="B413" t="s">
        <v>204</v>
      </c>
      <c r="C413" t="s">
        <v>36</v>
      </c>
      <c r="D413" t="s">
        <v>37</v>
      </c>
      <c r="E413" t="s">
        <v>49</v>
      </c>
      <c r="F413" s="7">
        <v>1076320</v>
      </c>
      <c r="G413" t="s">
        <v>649</v>
      </c>
      <c r="H413" s="5">
        <v>35306</v>
      </c>
      <c r="I413" s="12">
        <v>45950</v>
      </c>
      <c r="J413" s="15">
        <v>60</v>
      </c>
      <c r="K413" s="15">
        <v>10</v>
      </c>
      <c r="L413" s="9">
        <v>0.15140000000000001</v>
      </c>
      <c r="M413" s="9">
        <v>5.7700000000000001E-2</v>
      </c>
      <c r="N413" s="15">
        <v>5</v>
      </c>
      <c r="O413" t="s">
        <v>27</v>
      </c>
      <c r="P413" t="s">
        <v>28</v>
      </c>
      <c r="Q413" s="24">
        <v>0.8</v>
      </c>
      <c r="R413" s="5">
        <f t="shared" si="36"/>
        <v>878.68412054794521</v>
      </c>
      <c r="S413" s="5">
        <f t="shared" si="37"/>
        <v>27.906249315068493</v>
      </c>
      <c r="T413" s="5">
        <f t="shared" si="38"/>
        <v>850.77787123287669</v>
      </c>
      <c r="U413" s="15">
        <f t="shared" si="39"/>
        <v>55</v>
      </c>
      <c r="V413" s="3">
        <f t="shared" si="40"/>
        <v>2646.5377600000006</v>
      </c>
      <c r="W413" s="3">
        <f t="shared" si="41"/>
        <v>412</v>
      </c>
    </row>
    <row r="414" spans="1:23" x14ac:dyDescent="0.2">
      <c r="A414" t="s">
        <v>133</v>
      </c>
      <c r="B414" t="s">
        <v>134</v>
      </c>
      <c r="C414" t="s">
        <v>36</v>
      </c>
      <c r="D414" t="s">
        <v>24</v>
      </c>
      <c r="E414" t="s">
        <v>25</v>
      </c>
      <c r="F414" s="7">
        <v>6056843</v>
      </c>
      <c r="G414" t="s">
        <v>612</v>
      </c>
      <c r="H414" s="5">
        <v>36697</v>
      </c>
      <c r="I414" s="12">
        <v>45669</v>
      </c>
      <c r="J414" s="15">
        <v>45</v>
      </c>
      <c r="K414" s="15">
        <v>5</v>
      </c>
      <c r="L414" s="9">
        <v>0.12520000000000001</v>
      </c>
      <c r="M414" s="9">
        <v>4.5400000000000003E-2</v>
      </c>
      <c r="N414" s="15">
        <v>6</v>
      </c>
      <c r="O414" t="s">
        <v>27</v>
      </c>
      <c r="P414" t="s">
        <v>28</v>
      </c>
      <c r="Q414" s="24">
        <v>0.9</v>
      </c>
      <c r="R414" s="5">
        <f t="shared" si="36"/>
        <v>566.44081643835614</v>
      </c>
      <c r="S414" s="5">
        <f t="shared" si="37"/>
        <v>27.387021369863014</v>
      </c>
      <c r="T414" s="5">
        <f t="shared" si="38"/>
        <v>539.05379506849317</v>
      </c>
      <c r="U414" s="15">
        <f t="shared" si="39"/>
        <v>39</v>
      </c>
      <c r="V414" s="3">
        <f t="shared" si="40"/>
        <v>2635.5785400000004</v>
      </c>
      <c r="W414" s="3">
        <f t="shared" si="41"/>
        <v>413</v>
      </c>
    </row>
    <row r="415" spans="1:23" x14ac:dyDescent="0.2">
      <c r="A415" t="s">
        <v>127</v>
      </c>
      <c r="B415" t="s">
        <v>128</v>
      </c>
      <c r="C415" t="s">
        <v>31</v>
      </c>
      <c r="D415" t="s">
        <v>66</v>
      </c>
      <c r="E415" t="s">
        <v>49</v>
      </c>
      <c r="F415" s="7">
        <v>261628</v>
      </c>
      <c r="G415" t="s">
        <v>1276</v>
      </c>
      <c r="H415" s="5">
        <v>46843</v>
      </c>
      <c r="I415" s="12">
        <v>45819</v>
      </c>
      <c r="J415" s="15">
        <v>90</v>
      </c>
      <c r="K415" s="15">
        <v>5</v>
      </c>
      <c r="L415" s="9">
        <v>0.17249999999999999</v>
      </c>
      <c r="M415" s="9">
        <v>6.0100000000000001E-2</v>
      </c>
      <c r="N415" s="15">
        <v>10</v>
      </c>
      <c r="O415" t="s">
        <v>27</v>
      </c>
      <c r="P415" t="s">
        <v>28</v>
      </c>
      <c r="Q415" s="24">
        <v>0.5</v>
      </c>
      <c r="R415" s="5">
        <f t="shared" si="36"/>
        <v>1992.4317123287669</v>
      </c>
      <c r="S415" s="5">
        <f t="shared" si="37"/>
        <v>77.13052876712328</v>
      </c>
      <c r="T415" s="5">
        <f t="shared" si="38"/>
        <v>1915.3011835616437</v>
      </c>
      <c r="U415" s="15">
        <f t="shared" si="39"/>
        <v>80</v>
      </c>
      <c r="V415" s="3">
        <f t="shared" si="40"/>
        <v>2632.5765999999999</v>
      </c>
      <c r="W415" s="3">
        <f t="shared" si="41"/>
        <v>414</v>
      </c>
    </row>
    <row r="416" spans="1:23" x14ac:dyDescent="0.2">
      <c r="A416" t="s">
        <v>289</v>
      </c>
      <c r="B416" t="s">
        <v>204</v>
      </c>
      <c r="C416" t="s">
        <v>31</v>
      </c>
      <c r="D416" t="s">
        <v>32</v>
      </c>
      <c r="E416" t="s">
        <v>49</v>
      </c>
      <c r="F416" s="7">
        <v>782629</v>
      </c>
      <c r="G416" t="s">
        <v>863</v>
      </c>
      <c r="H416" s="5">
        <v>61183</v>
      </c>
      <c r="I416" s="12">
        <v>46019</v>
      </c>
      <c r="J416" s="15">
        <v>60</v>
      </c>
      <c r="K416" s="15">
        <v>3</v>
      </c>
      <c r="L416" s="9">
        <v>0.14219999999999999</v>
      </c>
      <c r="M416" s="9">
        <v>5.6399999999999999E-2</v>
      </c>
      <c r="N416" s="15">
        <v>8</v>
      </c>
      <c r="O416" t="s">
        <v>28</v>
      </c>
      <c r="P416" t="s">
        <v>28</v>
      </c>
      <c r="Q416" s="24">
        <v>0.5</v>
      </c>
      <c r="R416" s="5">
        <f t="shared" si="36"/>
        <v>1430.1735780821916</v>
      </c>
      <c r="S416" s="5">
        <f t="shared" si="37"/>
        <v>75.632245479452052</v>
      </c>
      <c r="T416" s="5">
        <f t="shared" si="38"/>
        <v>1354.5413326027397</v>
      </c>
      <c r="U416" s="15">
        <f t="shared" si="39"/>
        <v>52</v>
      </c>
      <c r="V416" s="3">
        <f t="shared" si="40"/>
        <v>2624.7506999999996</v>
      </c>
      <c r="W416" s="3">
        <f t="shared" si="41"/>
        <v>415</v>
      </c>
    </row>
    <row r="417" spans="1:23" x14ac:dyDescent="0.2">
      <c r="A417" t="s">
        <v>377</v>
      </c>
      <c r="B417" t="s">
        <v>378</v>
      </c>
      <c r="C417" t="s">
        <v>31</v>
      </c>
      <c r="D417" t="s">
        <v>48</v>
      </c>
      <c r="E417" t="s">
        <v>25</v>
      </c>
      <c r="F417" s="7">
        <v>3293043</v>
      </c>
      <c r="G417" t="s">
        <v>1386</v>
      </c>
      <c r="H417" s="5">
        <v>105232</v>
      </c>
      <c r="I417" s="12">
        <v>45857</v>
      </c>
      <c r="J417" s="15">
        <v>60</v>
      </c>
      <c r="K417" s="15">
        <v>2</v>
      </c>
      <c r="L417" s="9">
        <v>0.13320000000000001</v>
      </c>
      <c r="M417" s="9">
        <v>6.2199999999999998E-2</v>
      </c>
      <c r="N417" s="15">
        <v>6</v>
      </c>
      <c r="O417" t="s">
        <v>27</v>
      </c>
      <c r="P417" t="s">
        <v>28</v>
      </c>
      <c r="Q417" s="24">
        <v>0.35</v>
      </c>
      <c r="R417" s="5">
        <f t="shared" si="36"/>
        <v>2304.1483397260272</v>
      </c>
      <c r="S417" s="5">
        <f t="shared" si="37"/>
        <v>107.59611616438356</v>
      </c>
      <c r="T417" s="5">
        <f t="shared" si="38"/>
        <v>2196.5522235616436</v>
      </c>
      <c r="U417" s="15">
        <f t="shared" si="39"/>
        <v>54</v>
      </c>
      <c r="V417" s="3">
        <f t="shared" si="40"/>
        <v>2615.0152000000003</v>
      </c>
      <c r="W417" s="3">
        <f t="shared" si="41"/>
        <v>416</v>
      </c>
    </row>
    <row r="418" spans="1:23" x14ac:dyDescent="0.2">
      <c r="A418" t="s">
        <v>407</v>
      </c>
      <c r="B418" t="s">
        <v>218</v>
      </c>
      <c r="C418" t="s">
        <v>41</v>
      </c>
      <c r="D418" t="s">
        <v>32</v>
      </c>
      <c r="E418" t="s">
        <v>25</v>
      </c>
      <c r="F418" s="7">
        <v>1514188</v>
      </c>
      <c r="G418" t="s">
        <v>935</v>
      </c>
      <c r="H418" s="5">
        <v>108721</v>
      </c>
      <c r="I418" s="12">
        <v>46049</v>
      </c>
      <c r="J418" s="15">
        <v>60</v>
      </c>
      <c r="K418" s="15">
        <v>4</v>
      </c>
      <c r="L418" s="9">
        <v>0.11600000000000001</v>
      </c>
      <c r="M418" s="9">
        <v>4.7399999999999998E-2</v>
      </c>
      <c r="N418" s="15">
        <v>10</v>
      </c>
      <c r="O418" t="s">
        <v>27</v>
      </c>
      <c r="P418" t="s">
        <v>28</v>
      </c>
      <c r="Q418" s="24">
        <v>0.35</v>
      </c>
      <c r="R418" s="5">
        <f t="shared" si="36"/>
        <v>2073.1456438356163</v>
      </c>
      <c r="S418" s="5">
        <f t="shared" si="37"/>
        <v>141.18836712328766</v>
      </c>
      <c r="T418" s="5">
        <f t="shared" si="38"/>
        <v>1931.9572767123286</v>
      </c>
      <c r="U418" s="15">
        <f t="shared" si="39"/>
        <v>50</v>
      </c>
      <c r="V418" s="3">
        <f t="shared" si="40"/>
        <v>2610.3912100000002</v>
      </c>
      <c r="W418" s="3">
        <f t="shared" si="41"/>
        <v>417</v>
      </c>
    </row>
    <row r="419" spans="1:23" x14ac:dyDescent="0.2">
      <c r="A419" t="s">
        <v>386</v>
      </c>
      <c r="B419" t="s">
        <v>387</v>
      </c>
      <c r="C419" t="s">
        <v>31</v>
      </c>
      <c r="D419" t="s">
        <v>37</v>
      </c>
      <c r="E419" t="s">
        <v>25</v>
      </c>
      <c r="F419" s="7">
        <v>5617789</v>
      </c>
      <c r="G419" t="s">
        <v>441</v>
      </c>
      <c r="H419" s="5">
        <v>106633</v>
      </c>
      <c r="I419" s="12">
        <v>45989</v>
      </c>
      <c r="J419" s="15">
        <v>60</v>
      </c>
      <c r="K419" s="15">
        <v>4</v>
      </c>
      <c r="L419" s="9">
        <v>9.5100000000000004E-2</v>
      </c>
      <c r="M419" s="9">
        <v>4.6300000000000001E-2</v>
      </c>
      <c r="N419" s="15">
        <v>5</v>
      </c>
      <c r="O419" t="s">
        <v>27</v>
      </c>
      <c r="P419" t="s">
        <v>28</v>
      </c>
      <c r="Q419" s="24">
        <v>0.5</v>
      </c>
      <c r="R419" s="5">
        <f t="shared" si="36"/>
        <v>1666.9805424657534</v>
      </c>
      <c r="S419" s="5">
        <f t="shared" si="37"/>
        <v>67.631615068493147</v>
      </c>
      <c r="T419" s="5">
        <f t="shared" si="38"/>
        <v>1599.3489273972602</v>
      </c>
      <c r="U419" s="15">
        <f t="shared" si="39"/>
        <v>55</v>
      </c>
      <c r="V419" s="3">
        <f t="shared" si="40"/>
        <v>2601.8452000000002</v>
      </c>
      <c r="W419" s="3">
        <f t="shared" si="41"/>
        <v>418</v>
      </c>
    </row>
    <row r="420" spans="1:23" x14ac:dyDescent="0.2">
      <c r="A420" t="s">
        <v>85</v>
      </c>
      <c r="B420" t="s">
        <v>86</v>
      </c>
      <c r="C420" t="s">
        <v>36</v>
      </c>
      <c r="D420" t="s">
        <v>37</v>
      </c>
      <c r="E420" t="s">
        <v>25</v>
      </c>
      <c r="F420" s="7">
        <v>1954421</v>
      </c>
      <c r="G420" t="s">
        <v>589</v>
      </c>
      <c r="H420" s="5">
        <v>88609</v>
      </c>
      <c r="I420" s="12">
        <v>45810</v>
      </c>
      <c r="J420" s="15">
        <v>45</v>
      </c>
      <c r="K420" s="15">
        <v>7</v>
      </c>
      <c r="L420" s="9">
        <v>0.1237</v>
      </c>
      <c r="M420" s="9">
        <v>6.5000000000000002E-2</v>
      </c>
      <c r="N420" s="15">
        <v>7</v>
      </c>
      <c r="O420" t="s">
        <v>27</v>
      </c>
      <c r="P420" t="s">
        <v>28</v>
      </c>
      <c r="Q420" s="24">
        <v>0.5</v>
      </c>
      <c r="R420" s="5">
        <f t="shared" si="36"/>
        <v>1351.3479410958905</v>
      </c>
      <c r="S420" s="5">
        <f t="shared" si="37"/>
        <v>110.45779452054795</v>
      </c>
      <c r="T420" s="5">
        <f t="shared" si="38"/>
        <v>1240.8901465753427</v>
      </c>
      <c r="U420" s="15">
        <f t="shared" si="39"/>
        <v>38</v>
      </c>
      <c r="V420" s="3">
        <f t="shared" si="40"/>
        <v>2600.6741500000003</v>
      </c>
      <c r="W420" s="3">
        <f t="shared" si="41"/>
        <v>419</v>
      </c>
    </row>
    <row r="421" spans="1:23" x14ac:dyDescent="0.2">
      <c r="A421" t="s">
        <v>377</v>
      </c>
      <c r="B421" t="s">
        <v>378</v>
      </c>
      <c r="C421" t="s">
        <v>31</v>
      </c>
      <c r="D421" t="s">
        <v>48</v>
      </c>
      <c r="E421" t="s">
        <v>25</v>
      </c>
      <c r="F421" s="7">
        <v>3293043</v>
      </c>
      <c r="G421" t="s">
        <v>1319</v>
      </c>
      <c r="H421" s="5">
        <v>96616</v>
      </c>
      <c r="I421" s="12">
        <v>45819</v>
      </c>
      <c r="J421" s="15">
        <v>45</v>
      </c>
      <c r="K421" s="15">
        <v>4</v>
      </c>
      <c r="L421" s="9">
        <v>0.13320000000000001</v>
      </c>
      <c r="M421" s="9">
        <v>5.6300000000000003E-2</v>
      </c>
      <c r="N421" s="15">
        <v>10</v>
      </c>
      <c r="O421" t="s">
        <v>27</v>
      </c>
      <c r="P421" t="s">
        <v>28</v>
      </c>
      <c r="Q421" s="24">
        <v>0.35</v>
      </c>
      <c r="R421" s="5">
        <f t="shared" si="36"/>
        <v>1586.620010958904</v>
      </c>
      <c r="S421" s="5">
        <f t="shared" si="37"/>
        <v>149.02687123287672</v>
      </c>
      <c r="T421" s="5">
        <f t="shared" si="38"/>
        <v>1437.5931397260274</v>
      </c>
      <c r="U421" s="15">
        <f t="shared" si="39"/>
        <v>35</v>
      </c>
      <c r="V421" s="3">
        <f t="shared" si="40"/>
        <v>2600.4196400000001</v>
      </c>
      <c r="W421" s="3">
        <f t="shared" si="41"/>
        <v>420</v>
      </c>
    </row>
    <row r="422" spans="1:23" x14ac:dyDescent="0.2">
      <c r="A422" t="s">
        <v>293</v>
      </c>
      <c r="B422" t="s">
        <v>231</v>
      </c>
      <c r="C422" t="s">
        <v>36</v>
      </c>
      <c r="D422" t="s">
        <v>32</v>
      </c>
      <c r="E422" t="s">
        <v>25</v>
      </c>
      <c r="F422" s="7">
        <v>3723173</v>
      </c>
      <c r="G422" t="s">
        <v>812</v>
      </c>
      <c r="H422" s="5">
        <v>103587</v>
      </c>
      <c r="I422" s="12">
        <v>45760</v>
      </c>
      <c r="J422" s="15">
        <v>60</v>
      </c>
      <c r="K422" s="15">
        <v>5</v>
      </c>
      <c r="L422" s="9">
        <v>0.1069</v>
      </c>
      <c r="M422" s="9">
        <v>5.67E-2</v>
      </c>
      <c r="N422" s="15">
        <v>10</v>
      </c>
      <c r="O422" t="s">
        <v>28</v>
      </c>
      <c r="P422" t="s">
        <v>28</v>
      </c>
      <c r="Q422" s="24">
        <v>0.5</v>
      </c>
      <c r="R422" s="5">
        <f t="shared" si="36"/>
        <v>1820.2931999999996</v>
      </c>
      <c r="S422" s="5">
        <f t="shared" si="37"/>
        <v>160.91459999999998</v>
      </c>
      <c r="T422" s="5">
        <f t="shared" si="38"/>
        <v>1659.3785999999996</v>
      </c>
      <c r="U422" s="15">
        <f t="shared" si="39"/>
        <v>50</v>
      </c>
      <c r="V422" s="3">
        <f t="shared" si="40"/>
        <v>2600.0336999999995</v>
      </c>
      <c r="W422" s="3">
        <f t="shared" si="41"/>
        <v>421</v>
      </c>
    </row>
    <row r="423" spans="1:23" x14ac:dyDescent="0.2">
      <c r="A423" t="s">
        <v>247</v>
      </c>
      <c r="B423" t="s">
        <v>47</v>
      </c>
      <c r="C423" t="s">
        <v>31</v>
      </c>
      <c r="D423" t="s">
        <v>48</v>
      </c>
      <c r="E423" t="s">
        <v>49</v>
      </c>
      <c r="F423" s="7">
        <v>1089809</v>
      </c>
      <c r="G423" t="s">
        <v>1617</v>
      </c>
      <c r="H423" s="5">
        <v>63842</v>
      </c>
      <c r="I423" s="12">
        <v>45941</v>
      </c>
      <c r="J423" s="15">
        <v>90</v>
      </c>
      <c r="K423" s="15">
        <v>3</v>
      </c>
      <c r="L423" s="9">
        <v>0.16689999999999999</v>
      </c>
      <c r="M423" s="9">
        <v>5.0799999999999998E-2</v>
      </c>
      <c r="N423" s="15">
        <v>6</v>
      </c>
      <c r="O423" t="s">
        <v>27</v>
      </c>
      <c r="P423" t="s">
        <v>28</v>
      </c>
      <c r="Q423" s="24">
        <v>0.35</v>
      </c>
      <c r="R423" s="5">
        <f t="shared" si="36"/>
        <v>2627.3169369863012</v>
      </c>
      <c r="S423" s="5">
        <f t="shared" si="37"/>
        <v>53.312442739726023</v>
      </c>
      <c r="T423" s="5">
        <f t="shared" si="38"/>
        <v>2574.0044942465752</v>
      </c>
      <c r="U423" s="15">
        <f t="shared" si="39"/>
        <v>84</v>
      </c>
      <c r="V423" s="3">
        <f t="shared" si="40"/>
        <v>2594.21967</v>
      </c>
      <c r="W423" s="3">
        <f t="shared" si="41"/>
        <v>422</v>
      </c>
    </row>
    <row r="424" spans="1:23" x14ac:dyDescent="0.2">
      <c r="A424" t="s">
        <v>278</v>
      </c>
      <c r="B424" t="s">
        <v>279</v>
      </c>
      <c r="C424" t="s">
        <v>23</v>
      </c>
      <c r="D424" t="s">
        <v>37</v>
      </c>
      <c r="E424" t="s">
        <v>56</v>
      </c>
      <c r="F424" s="7">
        <v>15898738</v>
      </c>
      <c r="G424" t="s">
        <v>1657</v>
      </c>
      <c r="H424" s="5">
        <v>60005</v>
      </c>
      <c r="I424" s="12">
        <v>45733</v>
      </c>
      <c r="J424" s="15">
        <v>60</v>
      </c>
      <c r="K424" s="15">
        <v>10</v>
      </c>
      <c r="L424" s="9">
        <v>0.1071</v>
      </c>
      <c r="M424" s="9">
        <v>5.3100000000000001E-2</v>
      </c>
      <c r="N424" s="15">
        <v>5</v>
      </c>
      <c r="O424" t="s">
        <v>28</v>
      </c>
      <c r="P424" t="s">
        <v>28</v>
      </c>
      <c r="Q424" s="24">
        <v>0.8</v>
      </c>
      <c r="R424" s="5">
        <f t="shared" si="36"/>
        <v>1056.4167945205479</v>
      </c>
      <c r="S424" s="5">
        <f t="shared" si="37"/>
        <v>43.647472602739725</v>
      </c>
      <c r="T424" s="5">
        <f t="shared" si="38"/>
        <v>1012.7693219178082</v>
      </c>
      <c r="U424" s="15">
        <f t="shared" si="39"/>
        <v>55</v>
      </c>
      <c r="V424" s="3">
        <f t="shared" si="40"/>
        <v>2592.2160000000003</v>
      </c>
      <c r="W424" s="3">
        <f t="shared" si="41"/>
        <v>423</v>
      </c>
    </row>
    <row r="425" spans="1:23" x14ac:dyDescent="0.2">
      <c r="A425" t="s">
        <v>228</v>
      </c>
      <c r="B425" t="s">
        <v>62</v>
      </c>
      <c r="C425" t="s">
        <v>23</v>
      </c>
      <c r="D425" t="s">
        <v>66</v>
      </c>
      <c r="E425" t="s">
        <v>49</v>
      </c>
      <c r="F425" s="7">
        <v>1218251</v>
      </c>
      <c r="G425" t="s">
        <v>1521</v>
      </c>
      <c r="H425" s="5">
        <v>65026</v>
      </c>
      <c r="I425" s="12">
        <v>45994</v>
      </c>
      <c r="J425" s="15">
        <v>60</v>
      </c>
      <c r="K425" s="15">
        <v>3</v>
      </c>
      <c r="L425" s="9">
        <v>0.1227</v>
      </c>
      <c r="M425" s="9">
        <v>6.1400000000000003E-2</v>
      </c>
      <c r="N425" s="15">
        <v>10</v>
      </c>
      <c r="O425" t="s">
        <v>27</v>
      </c>
      <c r="P425" t="s">
        <v>28</v>
      </c>
      <c r="Q425" s="24">
        <v>0.65</v>
      </c>
      <c r="R425" s="5">
        <f t="shared" si="36"/>
        <v>1311.565512328767</v>
      </c>
      <c r="S425" s="5">
        <f t="shared" si="37"/>
        <v>109.38620273972603</v>
      </c>
      <c r="T425" s="5">
        <f t="shared" si="38"/>
        <v>1202.1793095890409</v>
      </c>
      <c r="U425" s="15">
        <f t="shared" si="39"/>
        <v>50</v>
      </c>
      <c r="V425" s="3">
        <f t="shared" si="40"/>
        <v>2590.9609700000001</v>
      </c>
      <c r="W425" s="3">
        <f t="shared" si="41"/>
        <v>424</v>
      </c>
    </row>
    <row r="426" spans="1:23" x14ac:dyDescent="0.2">
      <c r="A426" t="s">
        <v>297</v>
      </c>
      <c r="B426" t="s">
        <v>298</v>
      </c>
      <c r="C426" t="s">
        <v>36</v>
      </c>
      <c r="D426" t="s">
        <v>24</v>
      </c>
      <c r="E426" t="s">
        <v>49</v>
      </c>
      <c r="F426" s="7">
        <v>1249897</v>
      </c>
      <c r="G426" t="s">
        <v>811</v>
      </c>
      <c r="H426" s="5">
        <v>82517</v>
      </c>
      <c r="I426" s="12">
        <v>46013</v>
      </c>
      <c r="J426" s="15">
        <v>45</v>
      </c>
      <c r="K426" s="15">
        <v>7</v>
      </c>
      <c r="L426" s="9">
        <v>0.1452</v>
      </c>
      <c r="M426" s="9">
        <v>5.5500000000000001E-2</v>
      </c>
      <c r="N426" s="15">
        <v>7</v>
      </c>
      <c r="O426" t="s">
        <v>27</v>
      </c>
      <c r="P426" t="s">
        <v>28</v>
      </c>
      <c r="Q426" s="24">
        <v>0.35</v>
      </c>
      <c r="R426" s="5">
        <f t="shared" si="36"/>
        <v>1477.1673369863013</v>
      </c>
      <c r="S426" s="5">
        <f t="shared" si="37"/>
        <v>87.829738356164398</v>
      </c>
      <c r="T426" s="5">
        <f t="shared" si="38"/>
        <v>1389.3375986301369</v>
      </c>
      <c r="U426" s="15">
        <f t="shared" si="39"/>
        <v>38</v>
      </c>
      <c r="V426" s="3">
        <f t="shared" si="40"/>
        <v>2590.6212150000001</v>
      </c>
      <c r="W426" s="3">
        <f t="shared" si="41"/>
        <v>425</v>
      </c>
    </row>
    <row r="427" spans="1:23" x14ac:dyDescent="0.2">
      <c r="A427" t="s">
        <v>371</v>
      </c>
      <c r="B427" t="s">
        <v>372</v>
      </c>
      <c r="C427" t="s">
        <v>41</v>
      </c>
      <c r="D427" t="s">
        <v>48</v>
      </c>
      <c r="E427" t="s">
        <v>49</v>
      </c>
      <c r="F427" s="7">
        <v>1208247</v>
      </c>
      <c r="G427" t="s">
        <v>691</v>
      </c>
      <c r="H427" s="5">
        <v>59349</v>
      </c>
      <c r="I427" s="12">
        <v>45924</v>
      </c>
      <c r="J427" s="15">
        <v>60</v>
      </c>
      <c r="K427" s="15">
        <v>5</v>
      </c>
      <c r="L427" s="9">
        <v>0.1111</v>
      </c>
      <c r="M427" s="9">
        <v>6.2600000000000003E-2</v>
      </c>
      <c r="N427" s="15">
        <v>5</v>
      </c>
      <c r="O427" t="s">
        <v>27</v>
      </c>
      <c r="P427" t="s">
        <v>28</v>
      </c>
      <c r="Q427" s="24">
        <v>0.9</v>
      </c>
      <c r="R427" s="5">
        <f t="shared" si="36"/>
        <v>1083.8916000000002</v>
      </c>
      <c r="S427" s="5">
        <f t="shared" si="37"/>
        <v>50.893799999999999</v>
      </c>
      <c r="T427" s="5">
        <f t="shared" si="38"/>
        <v>1032.9978000000001</v>
      </c>
      <c r="U427" s="15">
        <f t="shared" si="39"/>
        <v>55</v>
      </c>
      <c r="V427" s="3">
        <f t="shared" si="40"/>
        <v>2590.58385</v>
      </c>
      <c r="W427" s="3">
        <f t="shared" si="41"/>
        <v>426</v>
      </c>
    </row>
    <row r="428" spans="1:23" x14ac:dyDescent="0.2">
      <c r="A428" t="s">
        <v>407</v>
      </c>
      <c r="B428" t="s">
        <v>218</v>
      </c>
      <c r="C428" t="s">
        <v>41</v>
      </c>
      <c r="D428" t="s">
        <v>32</v>
      </c>
      <c r="E428" t="s">
        <v>25</v>
      </c>
      <c r="F428" s="7">
        <v>1514188</v>
      </c>
      <c r="G428" t="s">
        <v>1364</v>
      </c>
      <c r="H428" s="5">
        <v>47585</v>
      </c>
      <c r="I428" s="12">
        <v>45891</v>
      </c>
      <c r="J428" s="15">
        <v>45</v>
      </c>
      <c r="K428" s="15">
        <v>2</v>
      </c>
      <c r="L428" s="9">
        <v>0.11600000000000001</v>
      </c>
      <c r="M428" s="9">
        <v>4.82E-2</v>
      </c>
      <c r="N428" s="15">
        <v>6</v>
      </c>
      <c r="O428" t="s">
        <v>27</v>
      </c>
      <c r="P428" t="s">
        <v>28</v>
      </c>
      <c r="Q428" s="24">
        <v>0.8</v>
      </c>
      <c r="R428" s="5">
        <f t="shared" si="36"/>
        <v>680.53068493150693</v>
      </c>
      <c r="S428" s="5">
        <f t="shared" si="37"/>
        <v>37.702964383561643</v>
      </c>
      <c r="T428" s="5">
        <f t="shared" si="38"/>
        <v>642.82772054794532</v>
      </c>
      <c r="U428" s="15">
        <f t="shared" si="39"/>
        <v>39</v>
      </c>
      <c r="V428" s="3">
        <f t="shared" si="40"/>
        <v>2581.0104000000001</v>
      </c>
      <c r="W428" s="3">
        <f t="shared" si="41"/>
        <v>427</v>
      </c>
    </row>
    <row r="429" spans="1:23" x14ac:dyDescent="0.2">
      <c r="A429" t="s">
        <v>169</v>
      </c>
      <c r="B429" t="s">
        <v>170</v>
      </c>
      <c r="C429" t="s">
        <v>31</v>
      </c>
      <c r="D429" t="s">
        <v>37</v>
      </c>
      <c r="E429" t="s">
        <v>25</v>
      </c>
      <c r="F429" s="7">
        <v>4193232</v>
      </c>
      <c r="G429" t="s">
        <v>171</v>
      </c>
      <c r="H429" s="5">
        <v>60331</v>
      </c>
      <c r="I429" s="12">
        <v>45955</v>
      </c>
      <c r="J429" s="15">
        <v>60</v>
      </c>
      <c r="K429" s="15">
        <v>2</v>
      </c>
      <c r="L429" s="9">
        <v>0.1235</v>
      </c>
      <c r="M429" s="9">
        <v>5.79E-2</v>
      </c>
      <c r="N429" s="15">
        <v>5</v>
      </c>
      <c r="O429" t="s">
        <v>27</v>
      </c>
      <c r="P429" t="s">
        <v>28</v>
      </c>
      <c r="Q429" s="24">
        <v>0.65</v>
      </c>
      <c r="R429" s="5">
        <f t="shared" si="36"/>
        <v>1224.8019452054793</v>
      </c>
      <c r="S429" s="5">
        <f t="shared" si="37"/>
        <v>47.851573972602743</v>
      </c>
      <c r="T429" s="5">
        <f t="shared" si="38"/>
        <v>1176.9503712328767</v>
      </c>
      <c r="U429" s="15">
        <f t="shared" si="39"/>
        <v>55</v>
      </c>
      <c r="V429" s="3">
        <f t="shared" si="40"/>
        <v>2572.5138399999996</v>
      </c>
      <c r="W429" s="3">
        <f t="shared" si="41"/>
        <v>428</v>
      </c>
    </row>
    <row r="430" spans="1:23" x14ac:dyDescent="0.2">
      <c r="A430" t="s">
        <v>68</v>
      </c>
      <c r="B430" t="s">
        <v>69</v>
      </c>
      <c r="C430" t="s">
        <v>36</v>
      </c>
      <c r="D430" t="s">
        <v>37</v>
      </c>
      <c r="E430" t="s">
        <v>25</v>
      </c>
      <c r="F430" s="7">
        <v>3469396</v>
      </c>
      <c r="G430" t="s">
        <v>444</v>
      </c>
      <c r="H430" s="5">
        <v>108650</v>
      </c>
      <c r="I430" s="12">
        <v>45800</v>
      </c>
      <c r="J430" s="15">
        <v>60</v>
      </c>
      <c r="K430" s="15">
        <v>3</v>
      </c>
      <c r="L430" s="9">
        <v>0.1216</v>
      </c>
      <c r="M430" s="9">
        <v>5.3999999999999999E-2</v>
      </c>
      <c r="N430" s="15">
        <v>8</v>
      </c>
      <c r="O430" t="s">
        <v>27</v>
      </c>
      <c r="P430" t="s">
        <v>28</v>
      </c>
      <c r="Q430" s="24">
        <v>0.35</v>
      </c>
      <c r="R430" s="5">
        <f t="shared" si="36"/>
        <v>2171.8093150684931</v>
      </c>
      <c r="S430" s="5">
        <f t="shared" si="37"/>
        <v>128.59397260273974</v>
      </c>
      <c r="T430" s="5">
        <f t="shared" si="38"/>
        <v>2043.2153424657533</v>
      </c>
      <c r="U430" s="15">
        <f t="shared" si="39"/>
        <v>52</v>
      </c>
      <c r="V430" s="3">
        <f t="shared" si="40"/>
        <v>2570.6589999999997</v>
      </c>
      <c r="W430" s="3">
        <f t="shared" si="41"/>
        <v>429</v>
      </c>
    </row>
    <row r="431" spans="1:23" x14ac:dyDescent="0.2">
      <c r="A431" t="s">
        <v>711</v>
      </c>
      <c r="B431" t="s">
        <v>190</v>
      </c>
      <c r="C431" t="s">
        <v>77</v>
      </c>
      <c r="D431" t="s">
        <v>37</v>
      </c>
      <c r="E431" t="s">
        <v>49</v>
      </c>
      <c r="F431" s="7">
        <v>407422</v>
      </c>
      <c r="G431" t="s">
        <v>1292</v>
      </c>
      <c r="H431" s="5">
        <v>98998</v>
      </c>
      <c r="I431" s="12">
        <v>46075</v>
      </c>
      <c r="J431" s="15">
        <v>60</v>
      </c>
      <c r="K431" s="15">
        <v>3</v>
      </c>
      <c r="L431" s="9">
        <v>0.121</v>
      </c>
      <c r="M431" s="9">
        <v>4.7100000000000003E-2</v>
      </c>
      <c r="N431" s="15">
        <v>5</v>
      </c>
      <c r="O431" t="s">
        <v>27</v>
      </c>
      <c r="P431" t="s">
        <v>28</v>
      </c>
      <c r="Q431" s="24">
        <v>0.35</v>
      </c>
      <c r="R431" s="5">
        <f t="shared" si="36"/>
        <v>1969.110904109589</v>
      </c>
      <c r="S431" s="5">
        <f t="shared" si="37"/>
        <v>63.874052054794518</v>
      </c>
      <c r="T431" s="5">
        <f t="shared" si="38"/>
        <v>1905.2368520547946</v>
      </c>
      <c r="U431" s="15">
        <f t="shared" si="39"/>
        <v>55</v>
      </c>
      <c r="V431" s="3">
        <f t="shared" si="40"/>
        <v>2560.5832699999996</v>
      </c>
      <c r="W431" s="3">
        <f t="shared" si="41"/>
        <v>430</v>
      </c>
    </row>
    <row r="432" spans="1:23" x14ac:dyDescent="0.2">
      <c r="A432" t="s">
        <v>268</v>
      </c>
      <c r="B432" t="s">
        <v>269</v>
      </c>
      <c r="C432" t="s">
        <v>36</v>
      </c>
      <c r="D432" t="s">
        <v>37</v>
      </c>
      <c r="E432" t="s">
        <v>25</v>
      </c>
      <c r="F432" s="7">
        <v>1810544</v>
      </c>
      <c r="G432" t="s">
        <v>1320</v>
      </c>
      <c r="H432" s="5">
        <v>68836</v>
      </c>
      <c r="I432" s="12">
        <v>45866</v>
      </c>
      <c r="J432" s="15">
        <v>60</v>
      </c>
      <c r="K432" s="15">
        <v>7</v>
      </c>
      <c r="L432" s="9">
        <v>9.6299999999999997E-2</v>
      </c>
      <c r="M432" s="9">
        <v>4.99E-2</v>
      </c>
      <c r="N432" s="15">
        <v>7</v>
      </c>
      <c r="O432" t="s">
        <v>28</v>
      </c>
      <c r="P432" t="s">
        <v>28</v>
      </c>
      <c r="Q432" s="24">
        <v>0.8</v>
      </c>
      <c r="R432" s="5">
        <f t="shared" si="36"/>
        <v>1089.6833095890411</v>
      </c>
      <c r="S432" s="5">
        <f t="shared" si="37"/>
        <v>65.875109041095897</v>
      </c>
      <c r="T432" s="5">
        <f t="shared" si="38"/>
        <v>1023.8082005479451</v>
      </c>
      <c r="U432" s="15">
        <f t="shared" si="39"/>
        <v>53</v>
      </c>
      <c r="V432" s="3">
        <f t="shared" si="40"/>
        <v>2555.1923200000001</v>
      </c>
      <c r="W432" s="3">
        <f t="shared" si="41"/>
        <v>431</v>
      </c>
    </row>
    <row r="433" spans="1:23" x14ac:dyDescent="0.2">
      <c r="A433" t="s">
        <v>109</v>
      </c>
      <c r="B433" t="s">
        <v>110</v>
      </c>
      <c r="C433" t="s">
        <v>41</v>
      </c>
      <c r="D433" t="s">
        <v>37</v>
      </c>
      <c r="E433" t="s">
        <v>49</v>
      </c>
      <c r="F433" s="7">
        <v>1383695</v>
      </c>
      <c r="G433" t="s">
        <v>1349</v>
      </c>
      <c r="H433" s="5">
        <v>25508</v>
      </c>
      <c r="I433" s="12">
        <v>45734</v>
      </c>
      <c r="J433" s="15">
        <v>60</v>
      </c>
      <c r="K433" s="15">
        <v>7</v>
      </c>
      <c r="L433" s="9">
        <v>0.16850000000000001</v>
      </c>
      <c r="M433" s="9">
        <v>5.7200000000000001E-2</v>
      </c>
      <c r="N433" s="15">
        <v>6</v>
      </c>
      <c r="O433" t="s">
        <v>27</v>
      </c>
      <c r="P433" t="s">
        <v>28</v>
      </c>
      <c r="Q433" s="24">
        <v>0.9</v>
      </c>
      <c r="R433" s="5">
        <f t="shared" si="36"/>
        <v>706.5366575342465</v>
      </c>
      <c r="S433" s="5">
        <f t="shared" si="37"/>
        <v>23.984508493150685</v>
      </c>
      <c r="T433" s="5">
        <f t="shared" si="38"/>
        <v>682.55214904109584</v>
      </c>
      <c r="U433" s="15">
        <f t="shared" si="39"/>
        <v>54</v>
      </c>
      <c r="V433" s="3">
        <f t="shared" si="40"/>
        <v>2555.1363600000004</v>
      </c>
      <c r="W433" s="3">
        <f t="shared" si="41"/>
        <v>432</v>
      </c>
    </row>
    <row r="434" spans="1:23" x14ac:dyDescent="0.2">
      <c r="A434" t="s">
        <v>549</v>
      </c>
      <c r="B434" t="s">
        <v>161</v>
      </c>
      <c r="C434" t="s">
        <v>77</v>
      </c>
      <c r="D434" t="s">
        <v>48</v>
      </c>
      <c r="E434" t="s">
        <v>56</v>
      </c>
      <c r="F434" s="7">
        <v>15837870</v>
      </c>
      <c r="G434" t="s">
        <v>1315</v>
      </c>
      <c r="H434" s="5">
        <v>82544</v>
      </c>
      <c r="I434" s="12">
        <v>45768</v>
      </c>
      <c r="J434" s="15">
        <v>60</v>
      </c>
      <c r="K434" s="15">
        <v>10</v>
      </c>
      <c r="L434" s="9">
        <v>0.1089</v>
      </c>
      <c r="M434" s="9">
        <v>4.7E-2</v>
      </c>
      <c r="N434" s="15">
        <v>5</v>
      </c>
      <c r="O434" t="s">
        <v>28</v>
      </c>
      <c r="P434" t="s">
        <v>28</v>
      </c>
      <c r="Q434" s="24">
        <v>0.5</v>
      </c>
      <c r="R434" s="5">
        <f t="shared" si="36"/>
        <v>1477.6506739726028</v>
      </c>
      <c r="S434" s="5">
        <f t="shared" si="37"/>
        <v>53.144767123287671</v>
      </c>
      <c r="T434" s="5">
        <f t="shared" si="38"/>
        <v>1424.5059068493151</v>
      </c>
      <c r="U434" s="15">
        <f t="shared" si="39"/>
        <v>55</v>
      </c>
      <c r="V434" s="3">
        <f t="shared" si="40"/>
        <v>2554.7367999999997</v>
      </c>
      <c r="W434" s="3">
        <f t="shared" si="41"/>
        <v>433</v>
      </c>
    </row>
    <row r="435" spans="1:23" x14ac:dyDescent="0.2">
      <c r="A435" t="s">
        <v>654</v>
      </c>
      <c r="B435" t="s">
        <v>110</v>
      </c>
      <c r="C435" t="s">
        <v>23</v>
      </c>
      <c r="D435" t="s">
        <v>66</v>
      </c>
      <c r="E435" t="s">
        <v>25</v>
      </c>
      <c r="F435" s="7">
        <v>6809493</v>
      </c>
      <c r="G435" t="s">
        <v>1783</v>
      </c>
      <c r="H435" s="5">
        <v>46757</v>
      </c>
      <c r="I435" s="12">
        <v>45731</v>
      </c>
      <c r="J435" s="15">
        <v>60</v>
      </c>
      <c r="K435" s="15">
        <v>2</v>
      </c>
      <c r="L435" s="9">
        <v>0.121</v>
      </c>
      <c r="M435" s="9">
        <v>6.0699999999999997E-2</v>
      </c>
      <c r="N435" s="15">
        <v>7</v>
      </c>
      <c r="O435" t="s">
        <v>28</v>
      </c>
      <c r="P435" t="s">
        <v>28</v>
      </c>
      <c r="Q435" s="24">
        <v>0.9</v>
      </c>
      <c r="R435" s="5">
        <f t="shared" si="36"/>
        <v>930.0159452054794</v>
      </c>
      <c r="S435" s="5">
        <f t="shared" si="37"/>
        <v>54.430272054794521</v>
      </c>
      <c r="T435" s="5">
        <f t="shared" si="38"/>
        <v>875.5856731506849</v>
      </c>
      <c r="U435" s="15">
        <f t="shared" si="39"/>
        <v>53</v>
      </c>
      <c r="V435" s="3">
        <f t="shared" si="40"/>
        <v>2537.5023900000001</v>
      </c>
      <c r="W435" s="3">
        <f t="shared" si="41"/>
        <v>434</v>
      </c>
    </row>
    <row r="436" spans="1:23" x14ac:dyDescent="0.2">
      <c r="A436" t="s">
        <v>79</v>
      </c>
      <c r="B436" t="s">
        <v>80</v>
      </c>
      <c r="C436" t="s">
        <v>31</v>
      </c>
      <c r="D436" t="s">
        <v>32</v>
      </c>
      <c r="E436" t="s">
        <v>25</v>
      </c>
      <c r="F436" s="7">
        <v>1969242</v>
      </c>
      <c r="G436" t="s">
        <v>727</v>
      </c>
      <c r="H436" s="5">
        <v>77951</v>
      </c>
      <c r="I436" s="12">
        <v>45786</v>
      </c>
      <c r="J436" s="15">
        <v>45</v>
      </c>
      <c r="K436" s="15">
        <v>2</v>
      </c>
      <c r="L436" s="9">
        <v>0.10150000000000001</v>
      </c>
      <c r="M436" s="9">
        <v>6.1100000000000002E-2</v>
      </c>
      <c r="N436" s="15">
        <v>7</v>
      </c>
      <c r="O436" t="s">
        <v>27</v>
      </c>
      <c r="P436" t="s">
        <v>28</v>
      </c>
      <c r="Q436" s="24">
        <v>0.8</v>
      </c>
      <c r="R436" s="5">
        <f t="shared" si="36"/>
        <v>975.45532191780831</v>
      </c>
      <c r="S436" s="5">
        <f t="shared" si="37"/>
        <v>91.341486849315075</v>
      </c>
      <c r="T436" s="5">
        <f t="shared" si="38"/>
        <v>884.11383506849324</v>
      </c>
      <c r="U436" s="15">
        <f t="shared" si="39"/>
        <v>38</v>
      </c>
      <c r="V436" s="3">
        <f t="shared" si="40"/>
        <v>2519.3763200000008</v>
      </c>
      <c r="W436" s="3">
        <f t="shared" si="41"/>
        <v>435</v>
      </c>
    </row>
    <row r="437" spans="1:23" x14ac:dyDescent="0.2">
      <c r="A437" t="s">
        <v>303</v>
      </c>
      <c r="B437" t="s">
        <v>304</v>
      </c>
      <c r="C437" t="s">
        <v>36</v>
      </c>
      <c r="D437" t="s">
        <v>66</v>
      </c>
      <c r="E437" t="s">
        <v>56</v>
      </c>
      <c r="F437" s="7">
        <v>11641644</v>
      </c>
      <c r="G437" t="s">
        <v>1132</v>
      </c>
      <c r="H437" s="5">
        <v>81899</v>
      </c>
      <c r="I437" s="12">
        <v>46002</v>
      </c>
      <c r="J437" s="15">
        <v>60</v>
      </c>
      <c r="K437" s="15">
        <v>3</v>
      </c>
      <c r="L437" s="9">
        <v>9.0399999999999994E-2</v>
      </c>
      <c r="M437" s="9">
        <v>5.1999999999999998E-2</v>
      </c>
      <c r="N437" s="15">
        <v>7</v>
      </c>
      <c r="O437" t="s">
        <v>27</v>
      </c>
      <c r="P437" t="s">
        <v>28</v>
      </c>
      <c r="Q437" s="24">
        <v>0.8</v>
      </c>
      <c r="R437" s="5">
        <f t="shared" si="36"/>
        <v>1217.0415780821916</v>
      </c>
      <c r="S437" s="5">
        <f t="shared" si="37"/>
        <v>81.674619178082182</v>
      </c>
      <c r="T437" s="5">
        <f t="shared" si="38"/>
        <v>1135.3669589041094</v>
      </c>
      <c r="U437" s="15">
        <f t="shared" si="39"/>
        <v>53</v>
      </c>
      <c r="V437" s="3">
        <f t="shared" si="40"/>
        <v>2515.9372799999996</v>
      </c>
      <c r="W437" s="3">
        <f t="shared" si="41"/>
        <v>436</v>
      </c>
    </row>
    <row r="438" spans="1:23" x14ac:dyDescent="0.2">
      <c r="A438" t="s">
        <v>58</v>
      </c>
      <c r="B438" t="s">
        <v>59</v>
      </c>
      <c r="C438" t="s">
        <v>23</v>
      </c>
      <c r="D438" t="s">
        <v>24</v>
      </c>
      <c r="E438" t="s">
        <v>25</v>
      </c>
      <c r="F438" s="7">
        <v>4269919</v>
      </c>
      <c r="G438" t="s">
        <v>621</v>
      </c>
      <c r="H438" s="5">
        <v>46619</v>
      </c>
      <c r="I438" s="12">
        <v>45818</v>
      </c>
      <c r="J438" s="15">
        <v>60</v>
      </c>
      <c r="K438" s="15">
        <v>2</v>
      </c>
      <c r="L438" s="9">
        <v>0.1212</v>
      </c>
      <c r="M438" s="9">
        <v>6.13E-2</v>
      </c>
      <c r="N438" s="15">
        <v>5</v>
      </c>
      <c r="O438" t="s">
        <v>27</v>
      </c>
      <c r="P438" t="s">
        <v>28</v>
      </c>
      <c r="Q438" s="24">
        <v>0.9</v>
      </c>
      <c r="R438" s="5">
        <f t="shared" si="36"/>
        <v>928.80374794520549</v>
      </c>
      <c r="S438" s="5">
        <f t="shared" si="37"/>
        <v>39.147187671232878</v>
      </c>
      <c r="T438" s="5">
        <f t="shared" si="38"/>
        <v>889.65656027397256</v>
      </c>
      <c r="U438" s="15">
        <f t="shared" si="39"/>
        <v>55</v>
      </c>
      <c r="V438" s="3">
        <f t="shared" si="40"/>
        <v>2513.23029</v>
      </c>
      <c r="W438" s="3">
        <f t="shared" si="41"/>
        <v>437</v>
      </c>
    </row>
    <row r="439" spans="1:23" x14ac:dyDescent="0.2">
      <c r="A439" t="s">
        <v>341</v>
      </c>
      <c r="B439" t="s">
        <v>342</v>
      </c>
      <c r="C439" t="s">
        <v>77</v>
      </c>
      <c r="D439" t="s">
        <v>48</v>
      </c>
      <c r="E439" t="s">
        <v>49</v>
      </c>
      <c r="F439" s="7">
        <v>927954</v>
      </c>
      <c r="G439" t="s">
        <v>1159</v>
      </c>
      <c r="H439" s="5">
        <v>47822</v>
      </c>
      <c r="I439" s="12">
        <v>45802</v>
      </c>
      <c r="J439" s="15">
        <v>60</v>
      </c>
      <c r="K439" s="15">
        <v>10</v>
      </c>
      <c r="L439" s="9">
        <v>0.1181</v>
      </c>
      <c r="M439" s="9">
        <v>5.2600000000000001E-2</v>
      </c>
      <c r="N439" s="15">
        <v>7</v>
      </c>
      <c r="O439" t="s">
        <v>27</v>
      </c>
      <c r="P439" t="s">
        <v>28</v>
      </c>
      <c r="Q439" s="24">
        <v>0.8</v>
      </c>
      <c r="R439" s="5">
        <f t="shared" si="36"/>
        <v>928.40189589041086</v>
      </c>
      <c r="S439" s="5">
        <f t="shared" si="37"/>
        <v>48.241261369863011</v>
      </c>
      <c r="T439" s="5">
        <f t="shared" si="38"/>
        <v>880.16063452054789</v>
      </c>
      <c r="U439" s="15">
        <f t="shared" si="39"/>
        <v>53</v>
      </c>
      <c r="V439" s="3">
        <f t="shared" si="40"/>
        <v>2505.8728000000001</v>
      </c>
      <c r="W439" s="3">
        <f t="shared" si="41"/>
        <v>438</v>
      </c>
    </row>
    <row r="440" spans="1:23" x14ac:dyDescent="0.2">
      <c r="A440" t="s">
        <v>278</v>
      </c>
      <c r="B440" t="s">
        <v>279</v>
      </c>
      <c r="C440" t="s">
        <v>23</v>
      </c>
      <c r="D440" t="s">
        <v>37</v>
      </c>
      <c r="E440" t="s">
        <v>56</v>
      </c>
      <c r="F440" s="7">
        <v>15898738</v>
      </c>
      <c r="G440" t="s">
        <v>998</v>
      </c>
      <c r="H440" s="5">
        <v>85224</v>
      </c>
      <c r="I440" s="12">
        <v>45893</v>
      </c>
      <c r="J440" s="15">
        <v>60</v>
      </c>
      <c r="K440" s="15">
        <v>7</v>
      </c>
      <c r="L440" s="9">
        <v>0.1071</v>
      </c>
      <c r="M440" s="9">
        <v>6.1899999999999997E-2</v>
      </c>
      <c r="N440" s="15">
        <v>10</v>
      </c>
      <c r="O440" t="s">
        <v>27</v>
      </c>
      <c r="P440" t="s">
        <v>28</v>
      </c>
      <c r="Q440" s="24">
        <v>0.65</v>
      </c>
      <c r="R440" s="5">
        <f t="shared" si="36"/>
        <v>1500.4093808219179</v>
      </c>
      <c r="S440" s="5">
        <f t="shared" si="37"/>
        <v>144.53056438356163</v>
      </c>
      <c r="T440" s="5">
        <f t="shared" si="38"/>
        <v>1355.8788164383564</v>
      </c>
      <c r="U440" s="15">
        <f t="shared" si="39"/>
        <v>50</v>
      </c>
      <c r="V440" s="3">
        <f t="shared" si="40"/>
        <v>2503.8811200000005</v>
      </c>
      <c r="W440" s="3">
        <f t="shared" si="41"/>
        <v>439</v>
      </c>
    </row>
    <row r="441" spans="1:23" x14ac:dyDescent="0.2">
      <c r="A441" t="s">
        <v>174</v>
      </c>
      <c r="B441" t="s">
        <v>175</v>
      </c>
      <c r="C441" t="s">
        <v>41</v>
      </c>
      <c r="D441" t="s">
        <v>37</v>
      </c>
      <c r="E441" t="s">
        <v>49</v>
      </c>
      <c r="F441" s="7">
        <v>1267987</v>
      </c>
      <c r="G441" t="s">
        <v>1773</v>
      </c>
      <c r="H441" s="5">
        <v>61166</v>
      </c>
      <c r="I441" s="12">
        <v>45759</v>
      </c>
      <c r="J441" s="15">
        <v>30</v>
      </c>
      <c r="K441" s="15">
        <v>10</v>
      </c>
      <c r="L441" s="9">
        <v>0.125</v>
      </c>
      <c r="M441" s="9">
        <v>6.2100000000000002E-2</v>
      </c>
      <c r="N441" s="15">
        <v>6</v>
      </c>
      <c r="O441" t="s">
        <v>27</v>
      </c>
      <c r="P441" t="s">
        <v>28</v>
      </c>
      <c r="Q441" s="24">
        <v>0.65</v>
      </c>
      <c r="R441" s="5">
        <f t="shared" si="36"/>
        <v>628.41780821917803</v>
      </c>
      <c r="S441" s="5">
        <f t="shared" si="37"/>
        <v>62.439593424657531</v>
      </c>
      <c r="T441" s="5">
        <f t="shared" si="38"/>
        <v>565.97821479452045</v>
      </c>
      <c r="U441" s="15">
        <f t="shared" si="39"/>
        <v>24</v>
      </c>
      <c r="V441" s="3">
        <f t="shared" si="40"/>
        <v>2500.7719099999999</v>
      </c>
      <c r="W441" s="3">
        <f t="shared" si="41"/>
        <v>440</v>
      </c>
    </row>
    <row r="442" spans="1:23" x14ac:dyDescent="0.2">
      <c r="A442" t="s">
        <v>448</v>
      </c>
      <c r="B442" t="s">
        <v>264</v>
      </c>
      <c r="C442" t="s">
        <v>77</v>
      </c>
      <c r="D442" t="s">
        <v>37</v>
      </c>
      <c r="E442" t="s">
        <v>25</v>
      </c>
      <c r="F442" s="7">
        <v>5041335</v>
      </c>
      <c r="G442" t="s">
        <v>449</v>
      </c>
      <c r="H442" s="5">
        <v>53049</v>
      </c>
      <c r="I442" s="12">
        <v>45963</v>
      </c>
      <c r="J442" s="15">
        <v>45</v>
      </c>
      <c r="K442" s="15">
        <v>4</v>
      </c>
      <c r="L442" s="9">
        <v>0.1198</v>
      </c>
      <c r="M442" s="9">
        <v>4.7300000000000002E-2</v>
      </c>
      <c r="N442" s="15">
        <v>7</v>
      </c>
      <c r="O442" t="s">
        <v>27</v>
      </c>
      <c r="P442" t="s">
        <v>28</v>
      </c>
      <c r="Q442" s="24">
        <v>0.65</v>
      </c>
      <c r="R442" s="5">
        <f t="shared" si="36"/>
        <v>783.52646301369862</v>
      </c>
      <c r="S442" s="5">
        <f t="shared" si="37"/>
        <v>48.121983287671242</v>
      </c>
      <c r="T442" s="5">
        <f t="shared" si="38"/>
        <v>735.40447972602738</v>
      </c>
      <c r="U442" s="15">
        <f t="shared" si="39"/>
        <v>38</v>
      </c>
      <c r="V442" s="3">
        <f t="shared" si="40"/>
        <v>2499.9341250000002</v>
      </c>
      <c r="W442" s="3">
        <f t="shared" si="41"/>
        <v>441</v>
      </c>
    </row>
    <row r="443" spans="1:23" x14ac:dyDescent="0.2">
      <c r="A443" t="s">
        <v>513</v>
      </c>
      <c r="B443" t="s">
        <v>245</v>
      </c>
      <c r="C443" t="s">
        <v>36</v>
      </c>
      <c r="D443" t="s">
        <v>66</v>
      </c>
      <c r="E443" t="s">
        <v>25</v>
      </c>
      <c r="F443" s="7">
        <v>1884403</v>
      </c>
      <c r="G443" t="s">
        <v>690</v>
      </c>
      <c r="H443" s="5">
        <v>40681</v>
      </c>
      <c r="I443" s="12">
        <v>46063</v>
      </c>
      <c r="J443" s="15">
        <v>60</v>
      </c>
      <c r="K443" s="15">
        <v>3</v>
      </c>
      <c r="L443" s="9">
        <v>0.1231</v>
      </c>
      <c r="M443" s="9">
        <v>4.6300000000000001E-2</v>
      </c>
      <c r="N443" s="15">
        <v>7</v>
      </c>
      <c r="O443" t="s">
        <v>28</v>
      </c>
      <c r="P443" t="s">
        <v>28</v>
      </c>
      <c r="Q443" s="24">
        <v>0.8</v>
      </c>
      <c r="R443" s="5">
        <f t="shared" si="36"/>
        <v>823.20511232876709</v>
      </c>
      <c r="S443" s="5">
        <f t="shared" si="37"/>
        <v>36.122498904109591</v>
      </c>
      <c r="T443" s="5">
        <f t="shared" si="38"/>
        <v>787.08261342465744</v>
      </c>
      <c r="U443" s="15">
        <f t="shared" si="39"/>
        <v>53</v>
      </c>
      <c r="V443" s="3">
        <f t="shared" si="40"/>
        <v>2499.4406400000003</v>
      </c>
      <c r="W443" s="3">
        <f t="shared" si="41"/>
        <v>442</v>
      </c>
    </row>
    <row r="444" spans="1:23" x14ac:dyDescent="0.2">
      <c r="A444" t="s">
        <v>341</v>
      </c>
      <c r="B444" t="s">
        <v>342</v>
      </c>
      <c r="C444" t="s">
        <v>77</v>
      </c>
      <c r="D444" t="s">
        <v>48</v>
      </c>
      <c r="E444" t="s">
        <v>49</v>
      </c>
      <c r="F444" s="7">
        <v>927954</v>
      </c>
      <c r="G444" t="s">
        <v>374</v>
      </c>
      <c r="H444" s="5">
        <v>55642</v>
      </c>
      <c r="I444" s="12">
        <v>45782</v>
      </c>
      <c r="J444" s="15">
        <v>60</v>
      </c>
      <c r="K444" s="15">
        <v>2</v>
      </c>
      <c r="L444" s="9">
        <v>0.1181</v>
      </c>
      <c r="M444" s="9">
        <v>4.9200000000000001E-2</v>
      </c>
      <c r="N444" s="15">
        <v>6</v>
      </c>
      <c r="O444" t="s">
        <v>27</v>
      </c>
      <c r="P444" t="s">
        <v>28</v>
      </c>
      <c r="Q444" s="24">
        <v>0.65</v>
      </c>
      <c r="R444" s="5">
        <f t="shared" si="36"/>
        <v>1080.2170191780822</v>
      </c>
      <c r="S444" s="5">
        <f t="shared" si="37"/>
        <v>45.001420273972599</v>
      </c>
      <c r="T444" s="5">
        <f t="shared" si="38"/>
        <v>1035.2155989041096</v>
      </c>
      <c r="U444" s="15">
        <f t="shared" si="39"/>
        <v>54</v>
      </c>
      <c r="V444" s="3">
        <f t="shared" si="40"/>
        <v>2491.9269699999995</v>
      </c>
      <c r="W444" s="3">
        <f t="shared" si="41"/>
        <v>443</v>
      </c>
    </row>
    <row r="445" spans="1:23" x14ac:dyDescent="0.2">
      <c r="A445" t="s">
        <v>220</v>
      </c>
      <c r="B445" t="s">
        <v>221</v>
      </c>
      <c r="C445" t="s">
        <v>36</v>
      </c>
      <c r="D445" t="s">
        <v>37</v>
      </c>
      <c r="E445" t="s">
        <v>25</v>
      </c>
      <c r="F445" s="7">
        <v>6280246</v>
      </c>
      <c r="G445" t="s">
        <v>1446</v>
      </c>
      <c r="H445" s="5">
        <v>42273</v>
      </c>
      <c r="I445" s="12">
        <v>45791</v>
      </c>
      <c r="J445" s="15">
        <v>30</v>
      </c>
      <c r="K445" s="15">
        <v>3</v>
      </c>
      <c r="L445" s="9">
        <v>0.1205</v>
      </c>
      <c r="M445" s="9">
        <v>5.5100000000000003E-2</v>
      </c>
      <c r="N445" s="15">
        <v>10</v>
      </c>
      <c r="O445" t="s">
        <v>27</v>
      </c>
      <c r="P445" t="s">
        <v>28</v>
      </c>
      <c r="Q445" s="24">
        <v>0.9</v>
      </c>
      <c r="R445" s="5">
        <f t="shared" si="36"/>
        <v>418.6764246575342</v>
      </c>
      <c r="S445" s="5">
        <f t="shared" si="37"/>
        <v>63.814857534246585</v>
      </c>
      <c r="T445" s="5">
        <f t="shared" si="38"/>
        <v>354.86156712328761</v>
      </c>
      <c r="U445" s="15">
        <f t="shared" si="39"/>
        <v>20</v>
      </c>
      <c r="V445" s="3">
        <f t="shared" si="40"/>
        <v>2488.1887799999995</v>
      </c>
      <c r="W445" s="3">
        <f t="shared" si="41"/>
        <v>444</v>
      </c>
    </row>
    <row r="446" spans="1:23" x14ac:dyDescent="0.2">
      <c r="A446" t="s">
        <v>174</v>
      </c>
      <c r="B446" t="s">
        <v>175</v>
      </c>
      <c r="C446" t="s">
        <v>41</v>
      </c>
      <c r="D446" t="s">
        <v>37</v>
      </c>
      <c r="E446" t="s">
        <v>49</v>
      </c>
      <c r="F446" s="7">
        <v>1267987</v>
      </c>
      <c r="G446" t="s">
        <v>1006</v>
      </c>
      <c r="H446" s="5">
        <v>78179</v>
      </c>
      <c r="I446" s="12">
        <v>45745</v>
      </c>
      <c r="J446" s="15">
        <v>60</v>
      </c>
      <c r="K446" s="15">
        <v>2</v>
      </c>
      <c r="L446" s="9">
        <v>0.125</v>
      </c>
      <c r="M446" s="9">
        <v>6.1400000000000003E-2</v>
      </c>
      <c r="N446" s="15">
        <v>5</v>
      </c>
      <c r="O446" t="s">
        <v>27</v>
      </c>
      <c r="P446" t="s">
        <v>28</v>
      </c>
      <c r="Q446" s="24">
        <v>0.5</v>
      </c>
      <c r="R446" s="5">
        <f t="shared" si="36"/>
        <v>1606.4178082191779</v>
      </c>
      <c r="S446" s="5">
        <f t="shared" si="37"/>
        <v>65.756035616438353</v>
      </c>
      <c r="T446" s="5">
        <f t="shared" si="38"/>
        <v>1540.6617726027396</v>
      </c>
      <c r="U446" s="15">
        <f t="shared" si="39"/>
        <v>55</v>
      </c>
      <c r="V446" s="3">
        <f t="shared" si="40"/>
        <v>2486.0921999999996</v>
      </c>
      <c r="W446" s="3">
        <f t="shared" si="41"/>
        <v>445</v>
      </c>
    </row>
    <row r="447" spans="1:23" x14ac:dyDescent="0.2">
      <c r="A447" t="s">
        <v>474</v>
      </c>
      <c r="B447" t="s">
        <v>207</v>
      </c>
      <c r="C447" t="s">
        <v>31</v>
      </c>
      <c r="D447" t="s">
        <v>37</v>
      </c>
      <c r="E447" t="s">
        <v>25</v>
      </c>
      <c r="F447" s="7">
        <v>4395110</v>
      </c>
      <c r="G447" t="s">
        <v>845</v>
      </c>
      <c r="H447" s="5">
        <v>77358</v>
      </c>
      <c r="I447" s="12">
        <v>45890</v>
      </c>
      <c r="J447" s="15">
        <v>60</v>
      </c>
      <c r="K447" s="15">
        <v>2</v>
      </c>
      <c r="L447" s="9">
        <v>0.1066</v>
      </c>
      <c r="M447" s="9">
        <v>5.7200000000000001E-2</v>
      </c>
      <c r="N447" s="15">
        <v>8</v>
      </c>
      <c r="O447" t="s">
        <v>28</v>
      </c>
      <c r="P447" t="s">
        <v>28</v>
      </c>
      <c r="Q447" s="24">
        <v>0.65</v>
      </c>
      <c r="R447" s="5">
        <f t="shared" si="36"/>
        <v>1355.5664876712328</v>
      </c>
      <c r="S447" s="5">
        <f t="shared" si="37"/>
        <v>96.983618630136988</v>
      </c>
      <c r="T447" s="5">
        <f t="shared" si="38"/>
        <v>1258.5828690410958</v>
      </c>
      <c r="U447" s="15">
        <f t="shared" si="39"/>
        <v>52</v>
      </c>
      <c r="V447" s="3">
        <f t="shared" si="40"/>
        <v>2483.9653800000001</v>
      </c>
      <c r="W447" s="3">
        <f t="shared" si="41"/>
        <v>446</v>
      </c>
    </row>
    <row r="448" spans="1:23" x14ac:dyDescent="0.2">
      <c r="A448" t="s">
        <v>672</v>
      </c>
      <c r="B448" t="s">
        <v>110</v>
      </c>
      <c r="C448" t="s">
        <v>31</v>
      </c>
      <c r="D448" t="s">
        <v>48</v>
      </c>
      <c r="E448" t="s">
        <v>49</v>
      </c>
      <c r="F448" s="7">
        <v>639703</v>
      </c>
      <c r="G448" t="s">
        <v>856</v>
      </c>
      <c r="H448" s="5">
        <v>93980</v>
      </c>
      <c r="I448" s="12">
        <v>45837</v>
      </c>
      <c r="J448" s="15">
        <v>60</v>
      </c>
      <c r="K448" s="15">
        <v>10</v>
      </c>
      <c r="L448" s="9">
        <v>0.1148</v>
      </c>
      <c r="M448" s="9">
        <v>6.2E-2</v>
      </c>
      <c r="N448" s="15">
        <v>10</v>
      </c>
      <c r="O448" t="s">
        <v>27</v>
      </c>
      <c r="P448" t="s">
        <v>28</v>
      </c>
      <c r="Q448" s="24">
        <v>0.5</v>
      </c>
      <c r="R448" s="5">
        <f t="shared" si="36"/>
        <v>1773.5184657534246</v>
      </c>
      <c r="S448" s="5">
        <f t="shared" si="37"/>
        <v>159.6372602739726</v>
      </c>
      <c r="T448" s="5">
        <f t="shared" si="38"/>
        <v>1613.8812054794521</v>
      </c>
      <c r="U448" s="15">
        <f t="shared" si="39"/>
        <v>50</v>
      </c>
      <c r="V448" s="3">
        <f t="shared" si="40"/>
        <v>2481.0720000000001</v>
      </c>
      <c r="W448" s="3">
        <f t="shared" si="41"/>
        <v>447</v>
      </c>
    </row>
    <row r="449" spans="1:23" x14ac:dyDescent="0.2">
      <c r="A449" t="s">
        <v>58</v>
      </c>
      <c r="B449" t="s">
        <v>59</v>
      </c>
      <c r="C449" t="s">
        <v>23</v>
      </c>
      <c r="D449" t="s">
        <v>24</v>
      </c>
      <c r="E449" t="s">
        <v>25</v>
      </c>
      <c r="F449" s="7">
        <v>4269919</v>
      </c>
      <c r="G449" t="s">
        <v>1725</v>
      </c>
      <c r="H449" s="5">
        <v>46078</v>
      </c>
      <c r="I449" s="12">
        <v>45676</v>
      </c>
      <c r="J449" s="15">
        <v>60</v>
      </c>
      <c r="K449" s="15">
        <v>10</v>
      </c>
      <c r="L449" s="9">
        <v>0.1212</v>
      </c>
      <c r="M449" s="9">
        <v>5.3900000000000003E-2</v>
      </c>
      <c r="N449" s="15">
        <v>8</v>
      </c>
      <c r="O449" t="s">
        <v>27</v>
      </c>
      <c r="P449" t="s">
        <v>28</v>
      </c>
      <c r="Q449" s="24">
        <v>0.8</v>
      </c>
      <c r="R449" s="5">
        <f t="shared" si="36"/>
        <v>918.02524931506855</v>
      </c>
      <c r="S449" s="5">
        <f t="shared" si="37"/>
        <v>54.435160547945209</v>
      </c>
      <c r="T449" s="5">
        <f t="shared" si="38"/>
        <v>863.59008876712335</v>
      </c>
      <c r="U449" s="15">
        <f t="shared" si="39"/>
        <v>52</v>
      </c>
      <c r="V449" s="3">
        <f t="shared" si="40"/>
        <v>2480.83952</v>
      </c>
      <c r="W449" s="3">
        <f t="shared" si="41"/>
        <v>448</v>
      </c>
    </row>
    <row r="450" spans="1:23" x14ac:dyDescent="0.2">
      <c r="A450" t="s">
        <v>91</v>
      </c>
      <c r="B450" t="s">
        <v>92</v>
      </c>
      <c r="C450" t="s">
        <v>36</v>
      </c>
      <c r="D450" t="s">
        <v>24</v>
      </c>
      <c r="E450" t="s">
        <v>56</v>
      </c>
      <c r="F450" s="7">
        <v>15029491</v>
      </c>
      <c r="G450" t="s">
        <v>1389</v>
      </c>
      <c r="H450" s="5">
        <v>66256</v>
      </c>
      <c r="I450" s="12">
        <v>45931</v>
      </c>
      <c r="J450" s="15">
        <v>60</v>
      </c>
      <c r="K450" s="15">
        <v>10</v>
      </c>
      <c r="L450" s="9">
        <v>9.8400000000000001E-2</v>
      </c>
      <c r="M450" s="9">
        <v>5.1700000000000003E-2</v>
      </c>
      <c r="N450" s="15">
        <v>6</v>
      </c>
      <c r="O450" t="s">
        <v>27</v>
      </c>
      <c r="P450" t="s">
        <v>28</v>
      </c>
      <c r="Q450" s="24">
        <v>0.8</v>
      </c>
      <c r="R450" s="5">
        <f t="shared" ref="R450:R513" si="42">H450*L450*(J450/365)</f>
        <v>1071.7134904109589</v>
      </c>
      <c r="S450" s="5">
        <f t="shared" ref="S450:S513" si="43">H450*M450*(N450/365)</f>
        <v>56.308523835616441</v>
      </c>
      <c r="T450" s="5">
        <f t="shared" ref="T450:T513" si="44">R450-S450</f>
        <v>1015.4049665753424</v>
      </c>
      <c r="U450" s="15">
        <f t="shared" ref="U450:U513" si="45">J450-N450</f>
        <v>54</v>
      </c>
      <c r="V450" s="3">
        <f t="shared" ref="V450:V513" si="46">Q450*(L450-M450)*H450</f>
        <v>2475.3241599999997</v>
      </c>
      <c r="W450" s="3">
        <f t="shared" ref="W450:W513" si="47">RANK(V450,$V$2:$V$1501)</f>
        <v>449</v>
      </c>
    </row>
    <row r="451" spans="1:23" x14ac:dyDescent="0.2">
      <c r="A451" t="s">
        <v>341</v>
      </c>
      <c r="B451" t="s">
        <v>342</v>
      </c>
      <c r="C451" t="s">
        <v>77</v>
      </c>
      <c r="D451" t="s">
        <v>48</v>
      </c>
      <c r="E451" t="s">
        <v>49</v>
      </c>
      <c r="F451" s="7">
        <v>927954</v>
      </c>
      <c r="G451" t="s">
        <v>1424</v>
      </c>
      <c r="H451" s="5">
        <v>68375</v>
      </c>
      <c r="I451" s="12">
        <v>45787</v>
      </c>
      <c r="J451" s="15">
        <v>90</v>
      </c>
      <c r="K451" s="15">
        <v>3</v>
      </c>
      <c r="L451" s="9">
        <v>0.1181</v>
      </c>
      <c r="M451" s="9">
        <v>4.6100000000000002E-2</v>
      </c>
      <c r="N451" s="15">
        <v>5</v>
      </c>
      <c r="O451" t="s">
        <v>27</v>
      </c>
      <c r="P451" t="s">
        <v>28</v>
      </c>
      <c r="Q451" s="24">
        <v>0.5</v>
      </c>
      <c r="R451" s="5">
        <f t="shared" si="42"/>
        <v>1991.1174657534245</v>
      </c>
      <c r="S451" s="5">
        <f t="shared" si="43"/>
        <v>43.179280821917807</v>
      </c>
      <c r="T451" s="5">
        <f t="shared" si="44"/>
        <v>1947.9381849315068</v>
      </c>
      <c r="U451" s="15">
        <f t="shared" si="45"/>
        <v>85</v>
      </c>
      <c r="V451" s="3">
        <f t="shared" si="46"/>
        <v>2461.5</v>
      </c>
      <c r="W451" s="3">
        <f t="shared" si="47"/>
        <v>450</v>
      </c>
    </row>
    <row r="452" spans="1:23" x14ac:dyDescent="0.2">
      <c r="A452" t="s">
        <v>103</v>
      </c>
      <c r="B452" t="s">
        <v>62</v>
      </c>
      <c r="C452" t="s">
        <v>31</v>
      </c>
      <c r="D452" t="s">
        <v>37</v>
      </c>
      <c r="E452" t="s">
        <v>25</v>
      </c>
      <c r="F452" s="7">
        <v>3948313</v>
      </c>
      <c r="G452" t="s">
        <v>981</v>
      </c>
      <c r="H452" s="5">
        <v>41116</v>
      </c>
      <c r="I452" s="12">
        <v>45702</v>
      </c>
      <c r="J452" s="15">
        <v>60</v>
      </c>
      <c r="K452" s="15">
        <v>4</v>
      </c>
      <c r="L452" s="9">
        <v>0.1154</v>
      </c>
      <c r="M452" s="9">
        <v>4.8899999999999999E-2</v>
      </c>
      <c r="N452" s="15">
        <v>5</v>
      </c>
      <c r="O452" t="s">
        <v>27</v>
      </c>
      <c r="P452" t="s">
        <v>28</v>
      </c>
      <c r="Q452" s="24">
        <v>0.9</v>
      </c>
      <c r="R452" s="5">
        <f t="shared" si="42"/>
        <v>779.96488767123287</v>
      </c>
      <c r="S452" s="5">
        <f t="shared" si="43"/>
        <v>27.542087671232874</v>
      </c>
      <c r="T452" s="5">
        <f t="shared" si="44"/>
        <v>752.42280000000005</v>
      </c>
      <c r="U452" s="15">
        <f t="shared" si="45"/>
        <v>55</v>
      </c>
      <c r="V452" s="3">
        <f t="shared" si="46"/>
        <v>2460.7926000000002</v>
      </c>
      <c r="W452" s="3">
        <f t="shared" si="47"/>
        <v>451</v>
      </c>
    </row>
    <row r="453" spans="1:23" x14ac:dyDescent="0.2">
      <c r="A453" t="s">
        <v>488</v>
      </c>
      <c r="B453" t="s">
        <v>489</v>
      </c>
      <c r="C453" t="s">
        <v>31</v>
      </c>
      <c r="D453" t="s">
        <v>37</v>
      </c>
      <c r="E453" t="s">
        <v>25</v>
      </c>
      <c r="F453" s="7">
        <v>6687670</v>
      </c>
      <c r="G453" t="s">
        <v>1765</v>
      </c>
      <c r="H453" s="5">
        <v>87225</v>
      </c>
      <c r="I453" s="12">
        <v>46076</v>
      </c>
      <c r="J453" s="15">
        <v>90</v>
      </c>
      <c r="K453" s="15">
        <v>7</v>
      </c>
      <c r="L453" s="9">
        <v>0.1013</v>
      </c>
      <c r="M453" s="9">
        <v>5.8000000000000003E-2</v>
      </c>
      <c r="N453" s="15">
        <v>6</v>
      </c>
      <c r="O453" t="s">
        <v>27</v>
      </c>
      <c r="P453" t="s">
        <v>28</v>
      </c>
      <c r="Q453" s="24">
        <v>0.65</v>
      </c>
      <c r="R453" s="5">
        <f t="shared" si="42"/>
        <v>2178.713219178082</v>
      </c>
      <c r="S453" s="5">
        <f t="shared" si="43"/>
        <v>83.162465753424655</v>
      </c>
      <c r="T453" s="5">
        <f t="shared" si="44"/>
        <v>2095.5507534246572</v>
      </c>
      <c r="U453" s="15">
        <f t="shared" si="45"/>
        <v>84</v>
      </c>
      <c r="V453" s="3">
        <f t="shared" si="46"/>
        <v>2454.9476249999998</v>
      </c>
      <c r="W453" s="3">
        <f t="shared" si="47"/>
        <v>452</v>
      </c>
    </row>
    <row r="454" spans="1:23" x14ac:dyDescent="0.2">
      <c r="A454" t="s">
        <v>407</v>
      </c>
      <c r="B454" t="s">
        <v>218</v>
      </c>
      <c r="C454" t="s">
        <v>41</v>
      </c>
      <c r="D454" t="s">
        <v>32</v>
      </c>
      <c r="E454" t="s">
        <v>25</v>
      </c>
      <c r="F454" s="7">
        <v>1514188</v>
      </c>
      <c r="G454" t="s">
        <v>1488</v>
      </c>
      <c r="H454" s="5">
        <v>44629</v>
      </c>
      <c r="I454" s="12">
        <v>45709</v>
      </c>
      <c r="J454" s="15">
        <v>90</v>
      </c>
      <c r="K454" s="15">
        <v>3</v>
      </c>
      <c r="L454" s="9">
        <v>0.11600000000000001</v>
      </c>
      <c r="M454" s="9">
        <v>4.7300000000000002E-2</v>
      </c>
      <c r="N454" s="15">
        <v>5</v>
      </c>
      <c r="O454" t="s">
        <v>27</v>
      </c>
      <c r="P454" t="s">
        <v>28</v>
      </c>
      <c r="Q454" s="24">
        <v>0.8</v>
      </c>
      <c r="R454" s="5">
        <f t="shared" si="42"/>
        <v>1276.5116712328766</v>
      </c>
      <c r="S454" s="5">
        <f t="shared" si="43"/>
        <v>28.917146575342464</v>
      </c>
      <c r="T454" s="5">
        <f t="shared" si="44"/>
        <v>1247.5945246575341</v>
      </c>
      <c r="U454" s="15">
        <f t="shared" si="45"/>
        <v>85</v>
      </c>
      <c r="V454" s="3">
        <f t="shared" si="46"/>
        <v>2452.8098400000003</v>
      </c>
      <c r="W454" s="3">
        <f t="shared" si="47"/>
        <v>453</v>
      </c>
    </row>
    <row r="455" spans="1:23" x14ac:dyDescent="0.2">
      <c r="A455" t="s">
        <v>142</v>
      </c>
      <c r="B455" t="s">
        <v>143</v>
      </c>
      <c r="C455" t="s">
        <v>36</v>
      </c>
      <c r="D455" t="s">
        <v>66</v>
      </c>
      <c r="E455" t="s">
        <v>49</v>
      </c>
      <c r="F455" s="7">
        <v>735440</v>
      </c>
      <c r="G455" t="s">
        <v>1532</v>
      </c>
      <c r="H455" s="5">
        <v>54422</v>
      </c>
      <c r="I455" s="12">
        <v>46044</v>
      </c>
      <c r="J455" s="15">
        <v>60</v>
      </c>
      <c r="K455" s="15">
        <v>10</v>
      </c>
      <c r="L455" s="9">
        <v>0.13020000000000001</v>
      </c>
      <c r="M455" s="9">
        <v>6.0900000000000003E-2</v>
      </c>
      <c r="N455" s="15">
        <v>5</v>
      </c>
      <c r="O455" t="s">
        <v>27</v>
      </c>
      <c r="P455" t="s">
        <v>28</v>
      </c>
      <c r="Q455" s="24">
        <v>0.65</v>
      </c>
      <c r="R455" s="5">
        <f t="shared" si="42"/>
        <v>1164.779901369863</v>
      </c>
      <c r="S455" s="5">
        <f t="shared" si="43"/>
        <v>45.40136712328767</v>
      </c>
      <c r="T455" s="5">
        <f t="shared" si="44"/>
        <v>1119.3785342465753</v>
      </c>
      <c r="U455" s="15">
        <f t="shared" si="45"/>
        <v>55</v>
      </c>
      <c r="V455" s="3">
        <f t="shared" si="46"/>
        <v>2451.4389900000001</v>
      </c>
      <c r="W455" s="3">
        <f t="shared" si="47"/>
        <v>454</v>
      </c>
    </row>
    <row r="456" spans="1:23" x14ac:dyDescent="0.2">
      <c r="A456" t="s">
        <v>366</v>
      </c>
      <c r="B456" t="s">
        <v>367</v>
      </c>
      <c r="C456" t="s">
        <v>41</v>
      </c>
      <c r="D456" t="s">
        <v>37</v>
      </c>
      <c r="E456" t="s">
        <v>56</v>
      </c>
      <c r="F456" s="7">
        <v>13330124</v>
      </c>
      <c r="G456" t="s">
        <v>1188</v>
      </c>
      <c r="H456" s="5">
        <v>56944</v>
      </c>
      <c r="I456" s="12">
        <v>45685</v>
      </c>
      <c r="J456" s="15">
        <v>45</v>
      </c>
      <c r="K456" s="15">
        <v>2</v>
      </c>
      <c r="L456" s="9">
        <v>0.10920000000000001</v>
      </c>
      <c r="M456" s="9">
        <v>5.5399999999999998E-2</v>
      </c>
      <c r="N456" s="15">
        <v>6</v>
      </c>
      <c r="O456" t="s">
        <v>28</v>
      </c>
      <c r="P456" t="s">
        <v>28</v>
      </c>
      <c r="Q456" s="24">
        <v>0.8</v>
      </c>
      <c r="R456" s="5">
        <f t="shared" si="42"/>
        <v>766.63785205479451</v>
      </c>
      <c r="S456" s="5">
        <f t="shared" si="43"/>
        <v>51.858042739726024</v>
      </c>
      <c r="T456" s="5">
        <f t="shared" si="44"/>
        <v>714.77980931506852</v>
      </c>
      <c r="U456" s="15">
        <f t="shared" si="45"/>
        <v>39</v>
      </c>
      <c r="V456" s="3">
        <f t="shared" si="46"/>
        <v>2450.8697600000005</v>
      </c>
      <c r="W456" s="3">
        <f t="shared" si="47"/>
        <v>455</v>
      </c>
    </row>
    <row r="457" spans="1:23" x14ac:dyDescent="0.2">
      <c r="A457" t="s">
        <v>580</v>
      </c>
      <c r="B457" t="s">
        <v>76</v>
      </c>
      <c r="C457" t="s">
        <v>77</v>
      </c>
      <c r="D457" t="s">
        <v>66</v>
      </c>
      <c r="E457" t="s">
        <v>49</v>
      </c>
      <c r="F457" s="7">
        <v>959016</v>
      </c>
      <c r="G457" t="s">
        <v>899</v>
      </c>
      <c r="H457" s="5">
        <v>48624</v>
      </c>
      <c r="I457" s="12">
        <v>45997</v>
      </c>
      <c r="J457" s="15">
        <v>60</v>
      </c>
      <c r="K457" s="15">
        <v>2</v>
      </c>
      <c r="L457" s="9">
        <v>0.1115</v>
      </c>
      <c r="M457" s="9">
        <v>5.5500000000000001E-2</v>
      </c>
      <c r="N457" s="15">
        <v>10</v>
      </c>
      <c r="O457" t="s">
        <v>28</v>
      </c>
      <c r="P457" t="s">
        <v>28</v>
      </c>
      <c r="Q457" s="24">
        <v>0.9</v>
      </c>
      <c r="R457" s="5">
        <f t="shared" si="42"/>
        <v>891.21797260273968</v>
      </c>
      <c r="S457" s="5">
        <f t="shared" si="43"/>
        <v>73.935123287671232</v>
      </c>
      <c r="T457" s="5">
        <f t="shared" si="44"/>
        <v>817.28284931506846</v>
      </c>
      <c r="U457" s="15">
        <f t="shared" si="45"/>
        <v>50</v>
      </c>
      <c r="V457" s="3">
        <f t="shared" si="46"/>
        <v>2450.6496000000002</v>
      </c>
      <c r="W457" s="3">
        <f t="shared" si="47"/>
        <v>456</v>
      </c>
    </row>
    <row r="458" spans="1:23" x14ac:dyDescent="0.2">
      <c r="A458" t="s">
        <v>54</v>
      </c>
      <c r="B458" t="s">
        <v>55</v>
      </c>
      <c r="C458" t="s">
        <v>31</v>
      </c>
      <c r="D458" t="s">
        <v>24</v>
      </c>
      <c r="E458" t="s">
        <v>56</v>
      </c>
      <c r="F458" s="7">
        <v>15261617</v>
      </c>
      <c r="G458" t="s">
        <v>617</v>
      </c>
      <c r="H458" s="5">
        <v>106210</v>
      </c>
      <c r="I458" s="12">
        <v>45925</v>
      </c>
      <c r="J458" s="15">
        <v>60</v>
      </c>
      <c r="K458" s="15">
        <v>4</v>
      </c>
      <c r="L458" s="9">
        <v>9.3200000000000005E-2</v>
      </c>
      <c r="M458" s="9">
        <v>4.7300000000000002E-2</v>
      </c>
      <c r="N458" s="15">
        <v>5</v>
      </c>
      <c r="O458" t="s">
        <v>27</v>
      </c>
      <c r="P458" t="s">
        <v>28</v>
      </c>
      <c r="Q458" s="24">
        <v>0.5</v>
      </c>
      <c r="R458" s="5">
        <f t="shared" si="42"/>
        <v>1627.1953972602739</v>
      </c>
      <c r="S458" s="5">
        <f t="shared" si="43"/>
        <v>68.818260273972598</v>
      </c>
      <c r="T458" s="5">
        <f t="shared" si="44"/>
        <v>1558.3771369863014</v>
      </c>
      <c r="U458" s="15">
        <f t="shared" si="45"/>
        <v>55</v>
      </c>
      <c r="V458" s="3">
        <f t="shared" si="46"/>
        <v>2437.5195000000003</v>
      </c>
      <c r="W458" s="3">
        <f t="shared" si="47"/>
        <v>457</v>
      </c>
    </row>
    <row r="459" spans="1:23" x14ac:dyDescent="0.2">
      <c r="A459" t="s">
        <v>401</v>
      </c>
      <c r="B459" t="s">
        <v>402</v>
      </c>
      <c r="C459" t="s">
        <v>41</v>
      </c>
      <c r="D459" t="s">
        <v>32</v>
      </c>
      <c r="E459" t="s">
        <v>25</v>
      </c>
      <c r="F459" s="7">
        <v>4153903</v>
      </c>
      <c r="G459" t="s">
        <v>941</v>
      </c>
      <c r="H459" s="5">
        <v>92222</v>
      </c>
      <c r="I459" s="12">
        <v>45756</v>
      </c>
      <c r="J459" s="15">
        <v>90</v>
      </c>
      <c r="K459" s="15">
        <v>10</v>
      </c>
      <c r="L459" s="9">
        <v>0.13669999999999999</v>
      </c>
      <c r="M459" s="9">
        <v>6.1499999999999999E-2</v>
      </c>
      <c r="N459" s="15">
        <v>7</v>
      </c>
      <c r="O459" t="s">
        <v>27</v>
      </c>
      <c r="P459" t="s">
        <v>28</v>
      </c>
      <c r="Q459" s="24">
        <v>0.35</v>
      </c>
      <c r="R459" s="5">
        <f t="shared" si="42"/>
        <v>3108.5130575342459</v>
      </c>
      <c r="S459" s="5">
        <f t="shared" si="43"/>
        <v>108.77142739726028</v>
      </c>
      <c r="T459" s="5">
        <f t="shared" si="44"/>
        <v>2999.7416301369858</v>
      </c>
      <c r="U459" s="15">
        <f t="shared" si="45"/>
        <v>83</v>
      </c>
      <c r="V459" s="3">
        <f t="shared" si="46"/>
        <v>2427.2830399999998</v>
      </c>
      <c r="W459" s="3">
        <f t="shared" si="47"/>
        <v>458</v>
      </c>
    </row>
    <row r="460" spans="1:23" x14ac:dyDescent="0.2">
      <c r="A460" t="s">
        <v>582</v>
      </c>
      <c r="B460" t="s">
        <v>76</v>
      </c>
      <c r="C460" t="s">
        <v>36</v>
      </c>
      <c r="D460" t="s">
        <v>37</v>
      </c>
      <c r="E460" t="s">
        <v>49</v>
      </c>
      <c r="F460" s="7">
        <v>1336236</v>
      </c>
      <c r="G460" t="s">
        <v>819</v>
      </c>
      <c r="H460" s="5">
        <v>31884</v>
      </c>
      <c r="I460" s="12">
        <v>45971</v>
      </c>
      <c r="J460" s="15">
        <v>60</v>
      </c>
      <c r="K460" s="15">
        <v>5</v>
      </c>
      <c r="L460" s="9">
        <v>0.14249999999999999</v>
      </c>
      <c r="M460" s="9">
        <v>5.8099999999999999E-2</v>
      </c>
      <c r="N460" s="15">
        <v>5</v>
      </c>
      <c r="O460" t="s">
        <v>27</v>
      </c>
      <c r="P460" t="s">
        <v>28</v>
      </c>
      <c r="Q460" s="24">
        <v>0.9</v>
      </c>
      <c r="R460" s="5">
        <f t="shared" si="42"/>
        <v>746.8717808219177</v>
      </c>
      <c r="S460" s="5">
        <f t="shared" si="43"/>
        <v>25.376169863013697</v>
      </c>
      <c r="T460" s="5">
        <f t="shared" si="44"/>
        <v>721.49561095890397</v>
      </c>
      <c r="U460" s="15">
        <f t="shared" si="45"/>
        <v>55</v>
      </c>
      <c r="V460" s="3">
        <f t="shared" si="46"/>
        <v>2421.9086399999997</v>
      </c>
      <c r="W460" s="3">
        <f t="shared" si="47"/>
        <v>459</v>
      </c>
    </row>
    <row r="461" spans="1:23" x14ac:dyDescent="0.2">
      <c r="A461" t="s">
        <v>672</v>
      </c>
      <c r="B461" t="s">
        <v>110</v>
      </c>
      <c r="C461" t="s">
        <v>31</v>
      </c>
      <c r="D461" t="s">
        <v>48</v>
      </c>
      <c r="E461" t="s">
        <v>49</v>
      </c>
      <c r="F461" s="7">
        <v>639703</v>
      </c>
      <c r="G461" t="s">
        <v>996</v>
      </c>
      <c r="H461" s="5">
        <v>101842</v>
      </c>
      <c r="I461" s="12">
        <v>45923</v>
      </c>
      <c r="J461" s="15">
        <v>60</v>
      </c>
      <c r="K461" s="15">
        <v>4</v>
      </c>
      <c r="L461" s="9">
        <v>0.1148</v>
      </c>
      <c r="M461" s="9">
        <v>4.6899999999999997E-2</v>
      </c>
      <c r="N461" s="15">
        <v>10</v>
      </c>
      <c r="O461" t="s">
        <v>27</v>
      </c>
      <c r="P461" t="s">
        <v>28</v>
      </c>
      <c r="Q461" s="24">
        <v>0.35</v>
      </c>
      <c r="R461" s="5">
        <f t="shared" si="42"/>
        <v>1921.884098630137</v>
      </c>
      <c r="S461" s="5">
        <f t="shared" si="43"/>
        <v>130.85999452054793</v>
      </c>
      <c r="T461" s="5">
        <f t="shared" si="44"/>
        <v>1791.0241041095892</v>
      </c>
      <c r="U461" s="15">
        <f t="shared" si="45"/>
        <v>50</v>
      </c>
      <c r="V461" s="3">
        <f t="shared" si="46"/>
        <v>2420.27513</v>
      </c>
      <c r="W461" s="3">
        <f t="shared" si="47"/>
        <v>460</v>
      </c>
    </row>
    <row r="462" spans="1:23" x14ac:dyDescent="0.2">
      <c r="A462" t="s">
        <v>268</v>
      </c>
      <c r="B462" t="s">
        <v>269</v>
      </c>
      <c r="C462" t="s">
        <v>36</v>
      </c>
      <c r="D462" t="s">
        <v>37</v>
      </c>
      <c r="E462" t="s">
        <v>25</v>
      </c>
      <c r="F462" s="7">
        <v>1810544</v>
      </c>
      <c r="G462" t="s">
        <v>738</v>
      </c>
      <c r="H462" s="5">
        <v>102336</v>
      </c>
      <c r="I462" s="12">
        <v>45753</v>
      </c>
      <c r="J462" s="15">
        <v>30</v>
      </c>
      <c r="K462" s="15">
        <v>10</v>
      </c>
      <c r="L462" s="9">
        <v>9.6299999999999997E-2</v>
      </c>
      <c r="M462" s="9">
        <v>4.9200000000000001E-2</v>
      </c>
      <c r="N462" s="15">
        <v>10</v>
      </c>
      <c r="O462" t="s">
        <v>28</v>
      </c>
      <c r="P462" t="s">
        <v>28</v>
      </c>
      <c r="Q462" s="24">
        <v>0.5</v>
      </c>
      <c r="R462" s="5">
        <f t="shared" si="42"/>
        <v>809.99644931506839</v>
      </c>
      <c r="S462" s="5">
        <f t="shared" si="43"/>
        <v>137.94332054794521</v>
      </c>
      <c r="T462" s="5">
        <f t="shared" si="44"/>
        <v>672.05312876712321</v>
      </c>
      <c r="U462" s="15">
        <f t="shared" si="45"/>
        <v>20</v>
      </c>
      <c r="V462" s="3">
        <f t="shared" si="46"/>
        <v>2410.0128</v>
      </c>
      <c r="W462" s="3">
        <f t="shared" si="47"/>
        <v>461</v>
      </c>
    </row>
    <row r="463" spans="1:23" x14ac:dyDescent="0.2">
      <c r="A463" t="s">
        <v>530</v>
      </c>
      <c r="B463" t="s">
        <v>531</v>
      </c>
      <c r="C463" t="s">
        <v>36</v>
      </c>
      <c r="D463" t="s">
        <v>37</v>
      </c>
      <c r="E463" t="s">
        <v>49</v>
      </c>
      <c r="F463" s="7">
        <v>701545</v>
      </c>
      <c r="G463" t="s">
        <v>1709</v>
      </c>
      <c r="H463" s="5">
        <v>32855</v>
      </c>
      <c r="I463" s="12">
        <v>45964</v>
      </c>
      <c r="J463" s="15">
        <v>60</v>
      </c>
      <c r="K463" s="15">
        <v>10</v>
      </c>
      <c r="L463" s="9">
        <v>0.17699999999999999</v>
      </c>
      <c r="M463" s="9">
        <v>6.4600000000000005E-2</v>
      </c>
      <c r="N463" s="15">
        <v>10</v>
      </c>
      <c r="O463" t="s">
        <v>27</v>
      </c>
      <c r="P463" t="s">
        <v>28</v>
      </c>
      <c r="Q463" s="24">
        <v>0.65</v>
      </c>
      <c r="R463" s="5">
        <f t="shared" si="42"/>
        <v>955.94547945205477</v>
      </c>
      <c r="S463" s="5">
        <f t="shared" si="43"/>
        <v>58.148849315068489</v>
      </c>
      <c r="T463" s="5">
        <f t="shared" si="44"/>
        <v>897.79663013698632</v>
      </c>
      <c r="U463" s="15">
        <f t="shared" si="45"/>
        <v>50</v>
      </c>
      <c r="V463" s="3">
        <f t="shared" si="46"/>
        <v>2400.3863000000001</v>
      </c>
      <c r="W463" s="3">
        <f t="shared" si="47"/>
        <v>462</v>
      </c>
    </row>
    <row r="464" spans="1:23" x14ac:dyDescent="0.2">
      <c r="A464" t="s">
        <v>725</v>
      </c>
      <c r="B464" t="s">
        <v>47</v>
      </c>
      <c r="C464" t="s">
        <v>36</v>
      </c>
      <c r="D464" t="s">
        <v>48</v>
      </c>
      <c r="E464" t="s">
        <v>25</v>
      </c>
      <c r="F464" s="7">
        <v>6127831</v>
      </c>
      <c r="G464" t="s">
        <v>1656</v>
      </c>
      <c r="H464" s="5">
        <v>37451</v>
      </c>
      <c r="I464" s="12">
        <v>46027</v>
      </c>
      <c r="J464" s="15">
        <v>60</v>
      </c>
      <c r="K464" s="15">
        <v>10</v>
      </c>
      <c r="L464" s="9">
        <v>0.12529999999999999</v>
      </c>
      <c r="M464" s="9">
        <v>4.53E-2</v>
      </c>
      <c r="N464" s="15">
        <v>7</v>
      </c>
      <c r="O464" t="s">
        <v>27</v>
      </c>
      <c r="P464" t="s">
        <v>28</v>
      </c>
      <c r="Q464" s="24">
        <v>0.8</v>
      </c>
      <c r="R464" s="5">
        <f t="shared" si="42"/>
        <v>771.38799452054775</v>
      </c>
      <c r="S464" s="5">
        <f t="shared" si="43"/>
        <v>32.536197534246575</v>
      </c>
      <c r="T464" s="5">
        <f t="shared" si="44"/>
        <v>738.85179698630122</v>
      </c>
      <c r="U464" s="15">
        <f t="shared" si="45"/>
        <v>53</v>
      </c>
      <c r="V464" s="3">
        <f t="shared" si="46"/>
        <v>2396.8639999999996</v>
      </c>
      <c r="W464" s="3">
        <f t="shared" si="47"/>
        <v>463</v>
      </c>
    </row>
    <row r="465" spans="1:23" x14ac:dyDescent="0.2">
      <c r="A465" t="s">
        <v>477</v>
      </c>
      <c r="B465" t="s">
        <v>274</v>
      </c>
      <c r="C465" t="s">
        <v>31</v>
      </c>
      <c r="D465" t="s">
        <v>32</v>
      </c>
      <c r="E465" t="s">
        <v>25</v>
      </c>
      <c r="F465" s="7">
        <v>6247387</v>
      </c>
      <c r="G465" t="s">
        <v>478</v>
      </c>
      <c r="H465" s="5">
        <v>42689</v>
      </c>
      <c r="I465" s="12">
        <v>45773</v>
      </c>
      <c r="J465" s="15">
        <v>60</v>
      </c>
      <c r="K465" s="15">
        <v>2</v>
      </c>
      <c r="L465" s="9">
        <v>0.12909999999999999</v>
      </c>
      <c r="M465" s="9">
        <v>5.91E-2</v>
      </c>
      <c r="N465" s="15">
        <v>5</v>
      </c>
      <c r="O465" t="s">
        <v>28</v>
      </c>
      <c r="P465" t="s">
        <v>28</v>
      </c>
      <c r="Q465" s="24">
        <v>0.8</v>
      </c>
      <c r="R465" s="5">
        <f t="shared" si="42"/>
        <v>905.9424493150683</v>
      </c>
      <c r="S465" s="5">
        <f t="shared" si="43"/>
        <v>34.560546575342464</v>
      </c>
      <c r="T465" s="5">
        <f t="shared" si="44"/>
        <v>871.38190273972589</v>
      </c>
      <c r="U465" s="15">
        <f t="shared" si="45"/>
        <v>55</v>
      </c>
      <c r="V465" s="3">
        <f t="shared" si="46"/>
        <v>2390.5839999999998</v>
      </c>
      <c r="W465" s="3">
        <f t="shared" si="47"/>
        <v>464</v>
      </c>
    </row>
    <row r="466" spans="1:23" x14ac:dyDescent="0.2">
      <c r="A466" t="s">
        <v>654</v>
      </c>
      <c r="B466" t="s">
        <v>110</v>
      </c>
      <c r="C466" t="s">
        <v>23</v>
      </c>
      <c r="D466" t="s">
        <v>66</v>
      </c>
      <c r="E466" t="s">
        <v>25</v>
      </c>
      <c r="F466" s="7">
        <v>6809493</v>
      </c>
      <c r="G466" t="s">
        <v>807</v>
      </c>
      <c r="H466" s="5">
        <v>66209</v>
      </c>
      <c r="I466" s="12">
        <v>45744</v>
      </c>
      <c r="J466" s="15">
        <v>60</v>
      </c>
      <c r="K466" s="15">
        <v>4</v>
      </c>
      <c r="L466" s="9">
        <v>0.121</v>
      </c>
      <c r="M466" s="9">
        <v>4.8800000000000003E-2</v>
      </c>
      <c r="N466" s="15">
        <v>7</v>
      </c>
      <c r="O466" t="s">
        <v>27</v>
      </c>
      <c r="P466" t="s">
        <v>28</v>
      </c>
      <c r="Q466" s="24">
        <v>0.5</v>
      </c>
      <c r="R466" s="5">
        <f t="shared" si="42"/>
        <v>1316.924219178082</v>
      </c>
      <c r="S466" s="5">
        <f t="shared" si="43"/>
        <v>61.964368219178091</v>
      </c>
      <c r="T466" s="5">
        <f t="shared" si="44"/>
        <v>1254.9598509589039</v>
      </c>
      <c r="U466" s="15">
        <f t="shared" si="45"/>
        <v>53</v>
      </c>
      <c r="V466" s="3">
        <f t="shared" si="46"/>
        <v>2390.1448999999993</v>
      </c>
      <c r="W466" s="3">
        <f t="shared" si="47"/>
        <v>465</v>
      </c>
    </row>
    <row r="467" spans="1:23" x14ac:dyDescent="0.2">
      <c r="A467" t="s">
        <v>21</v>
      </c>
      <c r="B467" t="s">
        <v>22</v>
      </c>
      <c r="C467" t="s">
        <v>23</v>
      </c>
      <c r="D467" t="s">
        <v>24</v>
      </c>
      <c r="E467" t="s">
        <v>25</v>
      </c>
      <c r="F467" s="7">
        <v>2280589</v>
      </c>
      <c r="G467" t="s">
        <v>640</v>
      </c>
      <c r="H467" s="5">
        <v>65636</v>
      </c>
      <c r="I467" s="12">
        <v>46080</v>
      </c>
      <c r="J467" s="15">
        <v>45</v>
      </c>
      <c r="K467" s="15">
        <v>7</v>
      </c>
      <c r="L467" s="9">
        <v>0.1047</v>
      </c>
      <c r="M467" s="9">
        <v>4.8899999999999999E-2</v>
      </c>
      <c r="N467" s="15">
        <v>5</v>
      </c>
      <c r="O467" t="s">
        <v>27</v>
      </c>
      <c r="P467" t="s">
        <v>28</v>
      </c>
      <c r="Q467" s="24">
        <v>0.65</v>
      </c>
      <c r="R467" s="5">
        <f t="shared" si="42"/>
        <v>847.24387397260273</v>
      </c>
      <c r="S467" s="5">
        <f t="shared" si="43"/>
        <v>43.967128767123285</v>
      </c>
      <c r="T467" s="5">
        <f t="shared" si="44"/>
        <v>803.27674520547941</v>
      </c>
      <c r="U467" s="15">
        <f t="shared" si="45"/>
        <v>40</v>
      </c>
      <c r="V467" s="3">
        <f t="shared" si="46"/>
        <v>2380.6177200000002</v>
      </c>
      <c r="W467" s="3">
        <f t="shared" si="47"/>
        <v>466</v>
      </c>
    </row>
    <row r="468" spans="1:23" x14ac:dyDescent="0.2">
      <c r="A468" t="s">
        <v>325</v>
      </c>
      <c r="B468" t="s">
        <v>326</v>
      </c>
      <c r="C468" t="s">
        <v>36</v>
      </c>
      <c r="D468" t="s">
        <v>48</v>
      </c>
      <c r="E468" t="s">
        <v>49</v>
      </c>
      <c r="F468" s="7">
        <v>467236</v>
      </c>
      <c r="G468" t="s">
        <v>947</v>
      </c>
      <c r="H468" s="5">
        <v>54688</v>
      </c>
      <c r="I468" s="12">
        <v>45850</v>
      </c>
      <c r="J468" s="15">
        <v>45</v>
      </c>
      <c r="K468" s="15">
        <v>2</v>
      </c>
      <c r="L468" s="9">
        <v>0.1757</v>
      </c>
      <c r="M468" s="9">
        <v>5.1499999999999997E-2</v>
      </c>
      <c r="N468" s="15">
        <v>5</v>
      </c>
      <c r="O468" t="s">
        <v>28</v>
      </c>
      <c r="P468" t="s">
        <v>28</v>
      </c>
      <c r="Q468" s="24">
        <v>0.35</v>
      </c>
      <c r="R468" s="5">
        <f t="shared" si="42"/>
        <v>1184.6319780821916</v>
      </c>
      <c r="S468" s="5">
        <f t="shared" si="43"/>
        <v>38.581260273972596</v>
      </c>
      <c r="T468" s="5">
        <f t="shared" si="44"/>
        <v>1146.0507178082189</v>
      </c>
      <c r="U468" s="15">
        <f t="shared" si="45"/>
        <v>40</v>
      </c>
      <c r="V468" s="3">
        <f t="shared" si="46"/>
        <v>2377.2873600000003</v>
      </c>
      <c r="W468" s="3">
        <f t="shared" si="47"/>
        <v>467</v>
      </c>
    </row>
    <row r="469" spans="1:23" x14ac:dyDescent="0.2">
      <c r="A469" t="s">
        <v>297</v>
      </c>
      <c r="B469" t="s">
        <v>298</v>
      </c>
      <c r="C469" t="s">
        <v>36</v>
      </c>
      <c r="D469" t="s">
        <v>24</v>
      </c>
      <c r="E469" t="s">
        <v>49</v>
      </c>
      <c r="F469" s="7">
        <v>1249897</v>
      </c>
      <c r="G469" t="s">
        <v>1536</v>
      </c>
      <c r="H469" s="5">
        <v>68893</v>
      </c>
      <c r="I469" s="12">
        <v>45675</v>
      </c>
      <c r="J469" s="15">
        <v>60</v>
      </c>
      <c r="K469" s="15">
        <v>3</v>
      </c>
      <c r="L469" s="9">
        <v>0.1452</v>
      </c>
      <c r="M469" s="9">
        <v>4.6699999999999998E-2</v>
      </c>
      <c r="N469" s="15">
        <v>5</v>
      </c>
      <c r="O469" t="s">
        <v>27</v>
      </c>
      <c r="P469" t="s">
        <v>28</v>
      </c>
      <c r="Q469" s="24">
        <v>0.35</v>
      </c>
      <c r="R469" s="5">
        <f t="shared" si="42"/>
        <v>1644.3720986301369</v>
      </c>
      <c r="S469" s="5">
        <f t="shared" si="43"/>
        <v>44.072645205479454</v>
      </c>
      <c r="T469" s="5">
        <f t="shared" si="44"/>
        <v>1600.2994534246575</v>
      </c>
      <c r="U469" s="15">
        <f t="shared" si="45"/>
        <v>55</v>
      </c>
      <c r="V469" s="3">
        <f t="shared" si="46"/>
        <v>2375.0861749999999</v>
      </c>
      <c r="W469" s="3">
        <f t="shared" si="47"/>
        <v>468</v>
      </c>
    </row>
    <row r="470" spans="1:23" x14ac:dyDescent="0.2">
      <c r="A470" t="s">
        <v>421</v>
      </c>
      <c r="B470" t="s">
        <v>422</v>
      </c>
      <c r="C470" t="s">
        <v>41</v>
      </c>
      <c r="D470" t="s">
        <v>66</v>
      </c>
      <c r="E470" t="s">
        <v>56</v>
      </c>
      <c r="F470" s="7">
        <v>13972206</v>
      </c>
      <c r="G470" t="s">
        <v>1124</v>
      </c>
      <c r="H470" s="5">
        <v>84562</v>
      </c>
      <c r="I470" s="12">
        <v>45970</v>
      </c>
      <c r="J470" s="15">
        <v>90</v>
      </c>
      <c r="K470" s="15">
        <v>10</v>
      </c>
      <c r="L470" s="9">
        <v>9.5000000000000001E-2</v>
      </c>
      <c r="M470" s="9">
        <v>5.9900000000000002E-2</v>
      </c>
      <c r="N470" s="15">
        <v>7</v>
      </c>
      <c r="O470" t="s">
        <v>28</v>
      </c>
      <c r="P470" t="s">
        <v>28</v>
      </c>
      <c r="Q470" s="24">
        <v>0.8</v>
      </c>
      <c r="R470" s="5">
        <f t="shared" si="42"/>
        <v>1980.8358904109589</v>
      </c>
      <c r="S470" s="5">
        <f t="shared" si="43"/>
        <v>97.142045479452051</v>
      </c>
      <c r="T470" s="5">
        <f t="shared" si="44"/>
        <v>1883.6938449315069</v>
      </c>
      <c r="U470" s="15">
        <f t="shared" si="45"/>
        <v>83</v>
      </c>
      <c r="V470" s="3">
        <f t="shared" si="46"/>
        <v>2374.5009599999998</v>
      </c>
      <c r="W470" s="3">
        <f t="shared" si="47"/>
        <v>469</v>
      </c>
    </row>
    <row r="471" spans="1:23" x14ac:dyDescent="0.2">
      <c r="A471" t="s">
        <v>341</v>
      </c>
      <c r="B471" t="s">
        <v>342</v>
      </c>
      <c r="C471" t="s">
        <v>77</v>
      </c>
      <c r="D471" t="s">
        <v>48</v>
      </c>
      <c r="E471" t="s">
        <v>49</v>
      </c>
      <c r="F471" s="7">
        <v>927954</v>
      </c>
      <c r="G471" t="s">
        <v>343</v>
      </c>
      <c r="H471" s="5">
        <v>85946</v>
      </c>
      <c r="I471" s="12">
        <v>45924</v>
      </c>
      <c r="J471" s="15">
        <v>45</v>
      </c>
      <c r="K471" s="15">
        <v>7</v>
      </c>
      <c r="L471" s="9">
        <v>0.1181</v>
      </c>
      <c r="M471" s="9">
        <v>6.3100000000000003E-2</v>
      </c>
      <c r="N471" s="15">
        <v>6</v>
      </c>
      <c r="O471" t="s">
        <v>27</v>
      </c>
      <c r="P471" t="s">
        <v>28</v>
      </c>
      <c r="Q471" s="24">
        <v>0.5</v>
      </c>
      <c r="R471" s="5">
        <f t="shared" si="42"/>
        <v>1251.3973068493149</v>
      </c>
      <c r="S471" s="5">
        <f t="shared" si="43"/>
        <v>89.148371506849315</v>
      </c>
      <c r="T471" s="5">
        <f t="shared" si="44"/>
        <v>1162.2489353424655</v>
      </c>
      <c r="U471" s="15">
        <f t="shared" si="45"/>
        <v>39</v>
      </c>
      <c r="V471" s="3">
        <f t="shared" si="46"/>
        <v>2363.5149999999999</v>
      </c>
      <c r="W471" s="3">
        <f t="shared" si="47"/>
        <v>470</v>
      </c>
    </row>
    <row r="472" spans="1:23" x14ac:dyDescent="0.2">
      <c r="A472" t="s">
        <v>278</v>
      </c>
      <c r="B472" t="s">
        <v>279</v>
      </c>
      <c r="C472" t="s">
        <v>23</v>
      </c>
      <c r="D472" t="s">
        <v>37</v>
      </c>
      <c r="E472" t="s">
        <v>56</v>
      </c>
      <c r="F472" s="7">
        <v>15898738</v>
      </c>
      <c r="G472" t="s">
        <v>737</v>
      </c>
      <c r="H472" s="5">
        <v>77860</v>
      </c>
      <c r="I472" s="12">
        <v>45819</v>
      </c>
      <c r="J472" s="15">
        <v>60</v>
      </c>
      <c r="K472" s="15">
        <v>10</v>
      </c>
      <c r="L472" s="9">
        <v>0.1071</v>
      </c>
      <c r="M472" s="9">
        <v>6.0499999999999998E-2</v>
      </c>
      <c r="N472" s="15">
        <v>8</v>
      </c>
      <c r="O472" t="s">
        <v>27</v>
      </c>
      <c r="P472" t="s">
        <v>28</v>
      </c>
      <c r="Q472" s="24">
        <v>0.65</v>
      </c>
      <c r="R472" s="5">
        <f t="shared" si="42"/>
        <v>1370.7626301369862</v>
      </c>
      <c r="S472" s="5">
        <f t="shared" si="43"/>
        <v>103.24449315068493</v>
      </c>
      <c r="T472" s="5">
        <f t="shared" si="44"/>
        <v>1267.5181369863012</v>
      </c>
      <c r="U472" s="15">
        <f t="shared" si="45"/>
        <v>52</v>
      </c>
      <c r="V472" s="3">
        <f t="shared" si="46"/>
        <v>2358.3794000000003</v>
      </c>
      <c r="W472" s="3">
        <f t="shared" si="47"/>
        <v>471</v>
      </c>
    </row>
    <row r="473" spans="1:23" x14ac:dyDescent="0.2">
      <c r="A473" t="s">
        <v>654</v>
      </c>
      <c r="B473" t="s">
        <v>110</v>
      </c>
      <c r="C473" t="s">
        <v>23</v>
      </c>
      <c r="D473" t="s">
        <v>66</v>
      </c>
      <c r="E473" t="s">
        <v>25</v>
      </c>
      <c r="F473" s="7">
        <v>6809493</v>
      </c>
      <c r="G473" t="s">
        <v>1760</v>
      </c>
      <c r="H473" s="5">
        <v>59347</v>
      </c>
      <c r="I473" s="12">
        <v>45843</v>
      </c>
      <c r="J473" s="15">
        <v>90</v>
      </c>
      <c r="K473" s="15">
        <v>5</v>
      </c>
      <c r="L473" s="9">
        <v>0.121</v>
      </c>
      <c r="M473" s="9">
        <v>5.9900000000000002E-2</v>
      </c>
      <c r="N473" s="15">
        <v>6</v>
      </c>
      <c r="O473" t="s">
        <v>28</v>
      </c>
      <c r="P473" t="s">
        <v>28</v>
      </c>
      <c r="Q473" s="24">
        <v>0.65</v>
      </c>
      <c r="R473" s="5">
        <f t="shared" si="42"/>
        <v>1770.6543287671232</v>
      </c>
      <c r="S473" s="5">
        <f t="shared" si="43"/>
        <v>58.4364706849315</v>
      </c>
      <c r="T473" s="5">
        <f t="shared" si="44"/>
        <v>1712.2178580821917</v>
      </c>
      <c r="U473" s="15">
        <f t="shared" si="45"/>
        <v>84</v>
      </c>
      <c r="V473" s="3">
        <f t="shared" si="46"/>
        <v>2356.966105</v>
      </c>
      <c r="W473" s="3">
        <f t="shared" si="47"/>
        <v>472</v>
      </c>
    </row>
    <row r="474" spans="1:23" x14ac:dyDescent="0.2">
      <c r="A474" t="s">
        <v>112</v>
      </c>
      <c r="B474" t="s">
        <v>113</v>
      </c>
      <c r="C474" t="s">
        <v>31</v>
      </c>
      <c r="D474" t="s">
        <v>24</v>
      </c>
      <c r="E474" t="s">
        <v>49</v>
      </c>
      <c r="F474" s="7">
        <v>1045125</v>
      </c>
      <c r="G474" t="s">
        <v>1339</v>
      </c>
      <c r="H474" s="5">
        <v>64699</v>
      </c>
      <c r="I474" s="12">
        <v>45868</v>
      </c>
      <c r="J474" s="15">
        <v>60</v>
      </c>
      <c r="K474" s="15">
        <v>2</v>
      </c>
      <c r="L474" s="9">
        <v>0.15740000000000001</v>
      </c>
      <c r="M474" s="9">
        <v>5.3600000000000002E-2</v>
      </c>
      <c r="N474" s="15">
        <v>6</v>
      </c>
      <c r="O474" t="s">
        <v>28</v>
      </c>
      <c r="P474" t="s">
        <v>28</v>
      </c>
      <c r="Q474" s="24">
        <v>0.35</v>
      </c>
      <c r="R474" s="5">
        <f t="shared" si="42"/>
        <v>1674.0201534246576</v>
      </c>
      <c r="S474" s="5">
        <f t="shared" si="43"/>
        <v>57.006023013698631</v>
      </c>
      <c r="T474" s="5">
        <f t="shared" si="44"/>
        <v>1617.0141304109588</v>
      </c>
      <c r="U474" s="15">
        <f t="shared" si="45"/>
        <v>54</v>
      </c>
      <c r="V474" s="3">
        <f t="shared" si="46"/>
        <v>2350.51467</v>
      </c>
      <c r="W474" s="3">
        <f t="shared" si="47"/>
        <v>473</v>
      </c>
    </row>
    <row r="475" spans="1:23" x14ac:dyDescent="0.2">
      <c r="A475" t="s">
        <v>311</v>
      </c>
      <c r="B475" t="s">
        <v>312</v>
      </c>
      <c r="C475" t="s">
        <v>23</v>
      </c>
      <c r="D475" t="s">
        <v>32</v>
      </c>
      <c r="E475" t="s">
        <v>25</v>
      </c>
      <c r="F475" s="7">
        <v>3726894</v>
      </c>
      <c r="G475" t="s">
        <v>1330</v>
      </c>
      <c r="H475" s="5">
        <v>87407</v>
      </c>
      <c r="I475" s="12">
        <v>46004</v>
      </c>
      <c r="J475" s="15">
        <v>30</v>
      </c>
      <c r="K475" s="15">
        <v>10</v>
      </c>
      <c r="L475" s="9">
        <v>9.1899999999999996E-2</v>
      </c>
      <c r="M475" s="9">
        <v>5.0700000000000002E-2</v>
      </c>
      <c r="N475" s="15">
        <v>8</v>
      </c>
      <c r="O475" t="s">
        <v>27</v>
      </c>
      <c r="P475" t="s">
        <v>28</v>
      </c>
      <c r="Q475" s="24">
        <v>0.65</v>
      </c>
      <c r="R475" s="5">
        <f t="shared" si="42"/>
        <v>660.22218904109582</v>
      </c>
      <c r="S475" s="5">
        <f t="shared" si="43"/>
        <v>97.129532054794538</v>
      </c>
      <c r="T475" s="5">
        <f t="shared" si="44"/>
        <v>563.09265698630134</v>
      </c>
      <c r="U475" s="15">
        <f t="shared" si="45"/>
        <v>22</v>
      </c>
      <c r="V475" s="3">
        <f t="shared" si="46"/>
        <v>2340.7594599999998</v>
      </c>
      <c r="W475" s="3">
        <f t="shared" si="47"/>
        <v>474</v>
      </c>
    </row>
    <row r="476" spans="1:23" x14ac:dyDescent="0.2">
      <c r="A476" t="s">
        <v>85</v>
      </c>
      <c r="B476" t="s">
        <v>86</v>
      </c>
      <c r="C476" t="s">
        <v>36</v>
      </c>
      <c r="D476" t="s">
        <v>37</v>
      </c>
      <c r="E476" t="s">
        <v>25</v>
      </c>
      <c r="F476" s="7">
        <v>1954421</v>
      </c>
      <c r="G476" t="s">
        <v>1596</v>
      </c>
      <c r="H476" s="5">
        <v>47893</v>
      </c>
      <c r="I476" s="12">
        <v>46043</v>
      </c>
      <c r="J476" s="15">
        <v>60</v>
      </c>
      <c r="K476" s="15">
        <v>3</v>
      </c>
      <c r="L476" s="9">
        <v>0.1237</v>
      </c>
      <c r="M476" s="9">
        <v>6.2700000000000006E-2</v>
      </c>
      <c r="N476" s="15">
        <v>7</v>
      </c>
      <c r="O476" t="s">
        <v>27</v>
      </c>
      <c r="P476" t="s">
        <v>28</v>
      </c>
      <c r="Q476" s="24">
        <v>0.8</v>
      </c>
      <c r="R476" s="5">
        <f t="shared" si="42"/>
        <v>973.86807123287667</v>
      </c>
      <c r="S476" s="5">
        <f t="shared" si="43"/>
        <v>57.589692328767129</v>
      </c>
      <c r="T476" s="5">
        <f t="shared" si="44"/>
        <v>916.27837890410956</v>
      </c>
      <c r="U476" s="15">
        <f t="shared" si="45"/>
        <v>53</v>
      </c>
      <c r="V476" s="3">
        <f t="shared" si="46"/>
        <v>2337.1784000000002</v>
      </c>
      <c r="W476" s="3">
        <f t="shared" si="47"/>
        <v>475</v>
      </c>
    </row>
    <row r="477" spans="1:23" x14ac:dyDescent="0.2">
      <c r="A477" t="s">
        <v>127</v>
      </c>
      <c r="B477" t="s">
        <v>128</v>
      </c>
      <c r="C477" t="s">
        <v>31</v>
      </c>
      <c r="D477" t="s">
        <v>66</v>
      </c>
      <c r="E477" t="s">
        <v>49</v>
      </c>
      <c r="F477" s="7">
        <v>261628</v>
      </c>
      <c r="G477" t="s">
        <v>1125</v>
      </c>
      <c r="H477" s="5">
        <v>31249</v>
      </c>
      <c r="I477" s="12">
        <v>46015</v>
      </c>
      <c r="J477" s="15">
        <v>60</v>
      </c>
      <c r="K477" s="15">
        <v>5</v>
      </c>
      <c r="L477" s="9">
        <v>0.17249999999999999</v>
      </c>
      <c r="M477" s="9">
        <v>5.79E-2</v>
      </c>
      <c r="N477" s="15">
        <v>10</v>
      </c>
      <c r="O477" t="s">
        <v>27</v>
      </c>
      <c r="P477" t="s">
        <v>28</v>
      </c>
      <c r="Q477" s="24">
        <v>0.65</v>
      </c>
      <c r="R477" s="5">
        <f t="shared" si="42"/>
        <v>886.10178082191771</v>
      </c>
      <c r="S477" s="5">
        <f t="shared" si="43"/>
        <v>49.570331506849314</v>
      </c>
      <c r="T477" s="5">
        <f t="shared" si="44"/>
        <v>836.53144931506836</v>
      </c>
      <c r="U477" s="15">
        <f t="shared" si="45"/>
        <v>50</v>
      </c>
      <c r="V477" s="3">
        <f t="shared" si="46"/>
        <v>2327.7380099999996</v>
      </c>
      <c r="W477" s="3">
        <f t="shared" si="47"/>
        <v>476</v>
      </c>
    </row>
    <row r="478" spans="1:23" x14ac:dyDescent="0.2">
      <c r="A478" t="s">
        <v>120</v>
      </c>
      <c r="B478" t="s">
        <v>121</v>
      </c>
      <c r="C478" t="s">
        <v>31</v>
      </c>
      <c r="D478" t="s">
        <v>48</v>
      </c>
      <c r="E478" t="s">
        <v>56</v>
      </c>
      <c r="F478" s="7">
        <v>14943587</v>
      </c>
      <c r="G478" t="s">
        <v>1054</v>
      </c>
      <c r="H478" s="5">
        <v>67360</v>
      </c>
      <c r="I478" s="12">
        <v>46031</v>
      </c>
      <c r="J478" s="15">
        <v>90</v>
      </c>
      <c r="K478" s="15">
        <v>2</v>
      </c>
      <c r="L478" s="9">
        <v>0.1046</v>
      </c>
      <c r="M478" s="9">
        <v>6.1499999999999999E-2</v>
      </c>
      <c r="N478" s="15">
        <v>7</v>
      </c>
      <c r="O478" t="s">
        <v>27</v>
      </c>
      <c r="P478" t="s">
        <v>28</v>
      </c>
      <c r="Q478" s="24">
        <v>0.8</v>
      </c>
      <c r="R478" s="5">
        <f t="shared" si="42"/>
        <v>1737.3343561643835</v>
      </c>
      <c r="S478" s="5">
        <f t="shared" si="43"/>
        <v>79.447890410958919</v>
      </c>
      <c r="T478" s="5">
        <f t="shared" si="44"/>
        <v>1657.8864657534245</v>
      </c>
      <c r="U478" s="15">
        <f t="shared" si="45"/>
        <v>83</v>
      </c>
      <c r="V478" s="3">
        <f t="shared" si="46"/>
        <v>2322.5728000000004</v>
      </c>
      <c r="W478" s="3">
        <f t="shared" si="47"/>
        <v>477</v>
      </c>
    </row>
    <row r="479" spans="1:23" x14ac:dyDescent="0.2">
      <c r="A479" t="s">
        <v>351</v>
      </c>
      <c r="B479" t="s">
        <v>352</v>
      </c>
      <c r="C479" t="s">
        <v>36</v>
      </c>
      <c r="D479" t="s">
        <v>24</v>
      </c>
      <c r="E479" t="s">
        <v>49</v>
      </c>
      <c r="F479" s="7">
        <v>1439833</v>
      </c>
      <c r="G479" t="s">
        <v>650</v>
      </c>
      <c r="H479" s="5">
        <v>99445</v>
      </c>
      <c r="I479" s="12">
        <v>45925</v>
      </c>
      <c r="J479" s="15">
        <v>60</v>
      </c>
      <c r="K479" s="15">
        <v>10</v>
      </c>
      <c r="L479" s="9">
        <v>0.17630000000000001</v>
      </c>
      <c r="M479" s="9">
        <v>0.06</v>
      </c>
      <c r="N479" s="15">
        <v>10</v>
      </c>
      <c r="O479" t="s">
        <v>27</v>
      </c>
      <c r="P479" t="s">
        <v>28</v>
      </c>
      <c r="Q479" s="24">
        <v>0.2</v>
      </c>
      <c r="R479" s="5">
        <f t="shared" si="42"/>
        <v>2881.9978356164384</v>
      </c>
      <c r="S479" s="5">
        <f t="shared" si="43"/>
        <v>163.47123287671232</v>
      </c>
      <c r="T479" s="5">
        <f t="shared" si="44"/>
        <v>2718.5266027397261</v>
      </c>
      <c r="U479" s="15">
        <f t="shared" si="45"/>
        <v>50</v>
      </c>
      <c r="V479" s="3">
        <f t="shared" si="46"/>
        <v>2313.0907000000002</v>
      </c>
      <c r="W479" s="3">
        <f t="shared" si="47"/>
        <v>478</v>
      </c>
    </row>
    <row r="480" spans="1:23" x14ac:dyDescent="0.2">
      <c r="A480" t="s">
        <v>29</v>
      </c>
      <c r="B480" t="s">
        <v>30</v>
      </c>
      <c r="C480" t="s">
        <v>31</v>
      </c>
      <c r="D480" t="s">
        <v>32</v>
      </c>
      <c r="E480" t="s">
        <v>25</v>
      </c>
      <c r="F480" s="7">
        <v>4331160</v>
      </c>
      <c r="G480" t="s">
        <v>33</v>
      </c>
      <c r="H480" s="5">
        <v>44780</v>
      </c>
      <c r="I480" s="12">
        <v>45950</v>
      </c>
      <c r="J480" s="15">
        <v>60</v>
      </c>
      <c r="K480" s="15">
        <v>4</v>
      </c>
      <c r="L480" s="9">
        <v>0.12809999999999999</v>
      </c>
      <c r="M480" s="9">
        <v>4.9000000000000002E-2</v>
      </c>
      <c r="N480" s="15">
        <v>8</v>
      </c>
      <c r="O480" t="s">
        <v>27</v>
      </c>
      <c r="P480" t="s">
        <v>28</v>
      </c>
      <c r="Q480" s="24">
        <v>0.65</v>
      </c>
      <c r="R480" s="5">
        <f t="shared" si="42"/>
        <v>942.95638356164363</v>
      </c>
      <c r="S480" s="5">
        <f t="shared" si="43"/>
        <v>48.092493150684938</v>
      </c>
      <c r="T480" s="5">
        <f t="shared" si="44"/>
        <v>894.86389041095867</v>
      </c>
      <c r="U480" s="15">
        <f t="shared" si="45"/>
        <v>52</v>
      </c>
      <c r="V480" s="3">
        <f t="shared" si="46"/>
        <v>2302.3636999999999</v>
      </c>
      <c r="W480" s="3">
        <f t="shared" si="47"/>
        <v>479</v>
      </c>
    </row>
    <row r="481" spans="1:23" x14ac:dyDescent="0.2">
      <c r="A481" t="s">
        <v>136</v>
      </c>
      <c r="B481" t="s">
        <v>137</v>
      </c>
      <c r="C481" t="s">
        <v>31</v>
      </c>
      <c r="D481" t="s">
        <v>37</v>
      </c>
      <c r="E481" t="s">
        <v>56</v>
      </c>
      <c r="F481" s="7">
        <v>17196352</v>
      </c>
      <c r="G481" t="s">
        <v>664</v>
      </c>
      <c r="H481" s="5">
        <v>97105</v>
      </c>
      <c r="I481" s="12">
        <v>45782</v>
      </c>
      <c r="J481" s="15">
        <v>30</v>
      </c>
      <c r="K481" s="15">
        <v>10</v>
      </c>
      <c r="L481" s="9">
        <v>8.1500000000000003E-2</v>
      </c>
      <c r="M481" s="9">
        <v>5.1900000000000002E-2</v>
      </c>
      <c r="N481" s="15">
        <v>6</v>
      </c>
      <c r="O481" t="s">
        <v>27</v>
      </c>
      <c r="P481" t="s">
        <v>28</v>
      </c>
      <c r="Q481" s="24">
        <v>0.8</v>
      </c>
      <c r="R481" s="5">
        <f t="shared" si="42"/>
        <v>650.47047945205475</v>
      </c>
      <c r="S481" s="5">
        <f t="shared" si="43"/>
        <v>82.845197260273963</v>
      </c>
      <c r="T481" s="5">
        <f t="shared" si="44"/>
        <v>567.6252821917808</v>
      </c>
      <c r="U481" s="15">
        <f t="shared" si="45"/>
        <v>24</v>
      </c>
      <c r="V481" s="3">
        <f t="shared" si="46"/>
        <v>2299.4464000000003</v>
      </c>
      <c r="W481" s="3">
        <f t="shared" si="47"/>
        <v>480</v>
      </c>
    </row>
    <row r="482" spans="1:23" x14ac:dyDescent="0.2">
      <c r="A482" t="s">
        <v>549</v>
      </c>
      <c r="B482" t="s">
        <v>161</v>
      </c>
      <c r="C482" t="s">
        <v>77</v>
      </c>
      <c r="D482" t="s">
        <v>48</v>
      </c>
      <c r="E482" t="s">
        <v>56</v>
      </c>
      <c r="F482" s="7">
        <v>15837870</v>
      </c>
      <c r="G482" t="s">
        <v>809</v>
      </c>
      <c r="H482" s="5">
        <v>60997</v>
      </c>
      <c r="I482" s="12">
        <v>45733</v>
      </c>
      <c r="J482" s="15">
        <v>45</v>
      </c>
      <c r="K482" s="15">
        <v>10</v>
      </c>
      <c r="L482" s="9">
        <v>0.1089</v>
      </c>
      <c r="M482" s="9">
        <v>6.2100000000000002E-2</v>
      </c>
      <c r="N482" s="15">
        <v>5</v>
      </c>
      <c r="O482" t="s">
        <v>27</v>
      </c>
      <c r="P482" t="s">
        <v>28</v>
      </c>
      <c r="Q482" s="24">
        <v>0.8</v>
      </c>
      <c r="R482" s="5">
        <f t="shared" si="42"/>
        <v>818.94739315068489</v>
      </c>
      <c r="S482" s="5">
        <f t="shared" si="43"/>
        <v>51.889228767123285</v>
      </c>
      <c r="T482" s="5">
        <f t="shared" si="44"/>
        <v>767.05816438356158</v>
      </c>
      <c r="U482" s="15">
        <f t="shared" si="45"/>
        <v>40</v>
      </c>
      <c r="V482" s="3">
        <f t="shared" si="46"/>
        <v>2283.7276799999995</v>
      </c>
      <c r="W482" s="3">
        <f t="shared" si="47"/>
        <v>481</v>
      </c>
    </row>
    <row r="483" spans="1:23" x14ac:dyDescent="0.2">
      <c r="A483" t="s">
        <v>429</v>
      </c>
      <c r="B483" t="s">
        <v>430</v>
      </c>
      <c r="C483" t="s">
        <v>41</v>
      </c>
      <c r="D483" t="s">
        <v>48</v>
      </c>
      <c r="E483" t="s">
        <v>56</v>
      </c>
      <c r="F483" s="7">
        <v>22445214</v>
      </c>
      <c r="G483" t="s">
        <v>1715</v>
      </c>
      <c r="H483" s="5">
        <v>73854</v>
      </c>
      <c r="I483" s="12">
        <v>45919</v>
      </c>
      <c r="J483" s="15">
        <v>60</v>
      </c>
      <c r="K483" s="15">
        <v>4</v>
      </c>
      <c r="L483" s="9">
        <v>8.4000000000000005E-2</v>
      </c>
      <c r="M483" s="9">
        <v>4.5499999999999999E-2</v>
      </c>
      <c r="N483" s="15">
        <v>10</v>
      </c>
      <c r="O483" t="s">
        <v>27</v>
      </c>
      <c r="P483" t="s">
        <v>28</v>
      </c>
      <c r="Q483" s="24">
        <v>0.8</v>
      </c>
      <c r="R483" s="5">
        <f t="shared" si="42"/>
        <v>1019.7922191780823</v>
      </c>
      <c r="S483" s="5">
        <f t="shared" si="43"/>
        <v>92.064575342465744</v>
      </c>
      <c r="T483" s="5">
        <f t="shared" si="44"/>
        <v>927.7276438356165</v>
      </c>
      <c r="U483" s="15">
        <f t="shared" si="45"/>
        <v>50</v>
      </c>
      <c r="V483" s="3">
        <f t="shared" si="46"/>
        <v>2274.7032000000004</v>
      </c>
      <c r="W483" s="3">
        <f t="shared" si="47"/>
        <v>482</v>
      </c>
    </row>
    <row r="484" spans="1:23" x14ac:dyDescent="0.2">
      <c r="A484" t="s">
        <v>68</v>
      </c>
      <c r="B484" t="s">
        <v>69</v>
      </c>
      <c r="C484" t="s">
        <v>36</v>
      </c>
      <c r="D484" t="s">
        <v>37</v>
      </c>
      <c r="E484" t="s">
        <v>25</v>
      </c>
      <c r="F484" s="7">
        <v>3469396</v>
      </c>
      <c r="G484" t="s">
        <v>70</v>
      </c>
      <c r="H484" s="5">
        <v>54992</v>
      </c>
      <c r="I484" s="12">
        <v>45717</v>
      </c>
      <c r="J484" s="15">
        <v>90</v>
      </c>
      <c r="K484" s="15">
        <v>3</v>
      </c>
      <c r="L484" s="9">
        <v>0.1216</v>
      </c>
      <c r="M484" s="9">
        <v>5.8000000000000003E-2</v>
      </c>
      <c r="N484" s="15">
        <v>8</v>
      </c>
      <c r="O484" t="s">
        <v>27</v>
      </c>
      <c r="P484" t="s">
        <v>28</v>
      </c>
      <c r="Q484" s="24">
        <v>0.65</v>
      </c>
      <c r="R484" s="5">
        <f t="shared" si="42"/>
        <v>1648.856021917808</v>
      </c>
      <c r="S484" s="5">
        <f t="shared" si="43"/>
        <v>69.907638356164384</v>
      </c>
      <c r="T484" s="5">
        <f t="shared" si="44"/>
        <v>1578.9483835616436</v>
      </c>
      <c r="U484" s="15">
        <f t="shared" si="45"/>
        <v>82</v>
      </c>
      <c r="V484" s="3">
        <f t="shared" si="46"/>
        <v>2273.3692799999999</v>
      </c>
      <c r="W484" s="3">
        <f t="shared" si="47"/>
        <v>483</v>
      </c>
    </row>
    <row r="485" spans="1:23" x14ac:dyDescent="0.2">
      <c r="A485" t="s">
        <v>303</v>
      </c>
      <c r="B485" t="s">
        <v>304</v>
      </c>
      <c r="C485" t="s">
        <v>36</v>
      </c>
      <c r="D485" t="s">
        <v>66</v>
      </c>
      <c r="E485" t="s">
        <v>56</v>
      </c>
      <c r="F485" s="7">
        <v>11641644</v>
      </c>
      <c r="G485" t="s">
        <v>547</v>
      </c>
      <c r="H485" s="5">
        <v>107529</v>
      </c>
      <c r="I485" s="12">
        <v>45674</v>
      </c>
      <c r="J485" s="15">
        <v>30</v>
      </c>
      <c r="K485" s="15">
        <v>10</v>
      </c>
      <c r="L485" s="9">
        <v>9.0399999999999994E-2</v>
      </c>
      <c r="M485" s="9">
        <v>6.4000000000000001E-2</v>
      </c>
      <c r="N485" s="15">
        <v>8</v>
      </c>
      <c r="O485" t="s">
        <v>27</v>
      </c>
      <c r="P485" t="s">
        <v>28</v>
      </c>
      <c r="Q485" s="24">
        <v>0.8</v>
      </c>
      <c r="R485" s="5">
        <f t="shared" si="42"/>
        <v>798.95519999999988</v>
      </c>
      <c r="S485" s="5">
        <f t="shared" si="43"/>
        <v>150.83519999999999</v>
      </c>
      <c r="T485" s="5">
        <f t="shared" si="44"/>
        <v>648.11999999999989</v>
      </c>
      <c r="U485" s="15">
        <f t="shared" si="45"/>
        <v>22</v>
      </c>
      <c r="V485" s="3">
        <f t="shared" si="46"/>
        <v>2271.0124799999994</v>
      </c>
      <c r="W485" s="3">
        <f t="shared" si="47"/>
        <v>484</v>
      </c>
    </row>
    <row r="486" spans="1:23" x14ac:dyDescent="0.2">
      <c r="A486" t="s">
        <v>105</v>
      </c>
      <c r="B486" t="s">
        <v>106</v>
      </c>
      <c r="C486" t="s">
        <v>41</v>
      </c>
      <c r="D486" t="s">
        <v>66</v>
      </c>
      <c r="E486" t="s">
        <v>49</v>
      </c>
      <c r="F486" s="7">
        <v>1373788</v>
      </c>
      <c r="G486" t="s">
        <v>1312</v>
      </c>
      <c r="H486" s="5">
        <v>87377</v>
      </c>
      <c r="I486" s="12">
        <v>45917</v>
      </c>
      <c r="J486" s="15">
        <v>45</v>
      </c>
      <c r="K486" s="15">
        <v>3</v>
      </c>
      <c r="L486" s="9">
        <v>0.17660000000000001</v>
      </c>
      <c r="M486" s="9">
        <v>4.6800000000000001E-2</v>
      </c>
      <c r="N486" s="15">
        <v>7</v>
      </c>
      <c r="O486" t="s">
        <v>27</v>
      </c>
      <c r="P486" t="s">
        <v>28</v>
      </c>
      <c r="Q486" s="24">
        <v>0.2</v>
      </c>
      <c r="R486" s="5">
        <f t="shared" si="42"/>
        <v>1902.424709589041</v>
      </c>
      <c r="S486" s="5">
        <f t="shared" si="43"/>
        <v>78.423849863013714</v>
      </c>
      <c r="T486" s="5">
        <f t="shared" si="44"/>
        <v>1824.0008597260273</v>
      </c>
      <c r="U486" s="15">
        <f t="shared" si="45"/>
        <v>38</v>
      </c>
      <c r="V486" s="3">
        <f t="shared" si="46"/>
        <v>2268.30692</v>
      </c>
      <c r="W486" s="3">
        <f t="shared" si="47"/>
        <v>485</v>
      </c>
    </row>
    <row r="487" spans="1:23" x14ac:dyDescent="0.2">
      <c r="A487" t="s">
        <v>438</v>
      </c>
      <c r="B487" t="s">
        <v>439</v>
      </c>
      <c r="C487" t="s">
        <v>41</v>
      </c>
      <c r="D487" t="s">
        <v>48</v>
      </c>
      <c r="E487" t="s">
        <v>25</v>
      </c>
      <c r="F487" s="7">
        <v>2438415</v>
      </c>
      <c r="G487" t="s">
        <v>787</v>
      </c>
      <c r="H487" s="5">
        <v>60374</v>
      </c>
      <c r="I487" s="12">
        <v>45697</v>
      </c>
      <c r="J487" s="15">
        <v>60</v>
      </c>
      <c r="K487" s="15">
        <v>2</v>
      </c>
      <c r="L487" s="9">
        <v>0.13650000000000001</v>
      </c>
      <c r="M487" s="9">
        <v>6.1499999999999999E-2</v>
      </c>
      <c r="N487" s="15">
        <v>7</v>
      </c>
      <c r="O487" t="s">
        <v>27</v>
      </c>
      <c r="P487" t="s">
        <v>28</v>
      </c>
      <c r="Q487" s="24">
        <v>0.5</v>
      </c>
      <c r="R487" s="5">
        <f t="shared" si="42"/>
        <v>1354.6933150684933</v>
      </c>
      <c r="S487" s="5">
        <f t="shared" si="43"/>
        <v>71.208238356164387</v>
      </c>
      <c r="T487" s="5">
        <f t="shared" si="44"/>
        <v>1283.4850767123289</v>
      </c>
      <c r="U487" s="15">
        <f t="shared" si="45"/>
        <v>53</v>
      </c>
      <c r="V487" s="3">
        <f t="shared" si="46"/>
        <v>2264.0250000000005</v>
      </c>
      <c r="W487" s="3">
        <f t="shared" si="47"/>
        <v>486</v>
      </c>
    </row>
    <row r="488" spans="1:23" x14ac:dyDescent="0.2">
      <c r="A488" t="s">
        <v>142</v>
      </c>
      <c r="B488" t="s">
        <v>143</v>
      </c>
      <c r="C488" t="s">
        <v>36</v>
      </c>
      <c r="D488" t="s">
        <v>66</v>
      </c>
      <c r="E488" t="s">
        <v>49</v>
      </c>
      <c r="F488" s="7">
        <v>735440</v>
      </c>
      <c r="G488" t="s">
        <v>159</v>
      </c>
      <c r="H488" s="5">
        <v>31358</v>
      </c>
      <c r="I488" s="12">
        <v>45696</v>
      </c>
      <c r="J488" s="15">
        <v>45</v>
      </c>
      <c r="K488" s="15">
        <v>3</v>
      </c>
      <c r="L488" s="9">
        <v>0.13020000000000001</v>
      </c>
      <c r="M488" s="9">
        <v>5.0099999999999999E-2</v>
      </c>
      <c r="N488" s="15">
        <v>6</v>
      </c>
      <c r="O488" t="s">
        <v>27</v>
      </c>
      <c r="P488" t="s">
        <v>28</v>
      </c>
      <c r="Q488" s="24">
        <v>0.9</v>
      </c>
      <c r="R488" s="5">
        <f t="shared" si="42"/>
        <v>503.36033424657535</v>
      </c>
      <c r="S488" s="5">
        <f t="shared" si="43"/>
        <v>25.825246027397256</v>
      </c>
      <c r="T488" s="5">
        <f t="shared" si="44"/>
        <v>477.53508821917808</v>
      </c>
      <c r="U488" s="15">
        <f t="shared" si="45"/>
        <v>39</v>
      </c>
      <c r="V488" s="3">
        <f t="shared" si="46"/>
        <v>2260.5982199999999</v>
      </c>
      <c r="W488" s="3">
        <f t="shared" si="47"/>
        <v>487</v>
      </c>
    </row>
    <row r="489" spans="1:23" x14ac:dyDescent="0.2">
      <c r="A489" t="s">
        <v>308</v>
      </c>
      <c r="B489" t="s">
        <v>309</v>
      </c>
      <c r="C489" t="s">
        <v>31</v>
      </c>
      <c r="D489" t="s">
        <v>24</v>
      </c>
      <c r="E489" t="s">
        <v>49</v>
      </c>
      <c r="F489" s="7">
        <v>1224427</v>
      </c>
      <c r="G489" t="s">
        <v>1383</v>
      </c>
      <c r="H489" s="5">
        <v>58833</v>
      </c>
      <c r="I489" s="12">
        <v>45877</v>
      </c>
      <c r="J489" s="15">
        <v>30</v>
      </c>
      <c r="K489" s="15">
        <v>4</v>
      </c>
      <c r="L489" s="9">
        <v>0.15670000000000001</v>
      </c>
      <c r="M489" s="9">
        <v>4.7399999999999998E-2</v>
      </c>
      <c r="N489" s="15">
        <v>5</v>
      </c>
      <c r="O489" t="s">
        <v>27</v>
      </c>
      <c r="P489" t="s">
        <v>28</v>
      </c>
      <c r="Q489" s="24">
        <v>0.35</v>
      </c>
      <c r="R489" s="5">
        <f t="shared" si="42"/>
        <v>757.73680273972604</v>
      </c>
      <c r="S489" s="5">
        <f t="shared" si="43"/>
        <v>38.201153424657527</v>
      </c>
      <c r="T489" s="5">
        <f t="shared" si="44"/>
        <v>719.53564931506855</v>
      </c>
      <c r="U489" s="15">
        <f t="shared" si="45"/>
        <v>25</v>
      </c>
      <c r="V489" s="3">
        <f t="shared" si="46"/>
        <v>2250.6564149999999</v>
      </c>
      <c r="W489" s="3">
        <f t="shared" si="47"/>
        <v>488</v>
      </c>
    </row>
    <row r="490" spans="1:23" x14ac:dyDescent="0.2">
      <c r="A490" t="s">
        <v>177</v>
      </c>
      <c r="B490" t="s">
        <v>121</v>
      </c>
      <c r="C490" t="s">
        <v>36</v>
      </c>
      <c r="D490" t="s">
        <v>32</v>
      </c>
      <c r="E490" t="s">
        <v>25</v>
      </c>
      <c r="F490" s="7">
        <v>3292658</v>
      </c>
      <c r="G490" t="s">
        <v>1056</v>
      </c>
      <c r="H490" s="5">
        <v>96030</v>
      </c>
      <c r="I490" s="12">
        <v>45785</v>
      </c>
      <c r="J490" s="15">
        <v>45</v>
      </c>
      <c r="K490" s="15">
        <v>5</v>
      </c>
      <c r="L490" s="9">
        <v>0.11559999999999999</v>
      </c>
      <c r="M490" s="9">
        <v>4.9000000000000002E-2</v>
      </c>
      <c r="N490" s="15">
        <v>7</v>
      </c>
      <c r="O490" t="s">
        <v>27</v>
      </c>
      <c r="P490" t="s">
        <v>28</v>
      </c>
      <c r="Q490" s="24">
        <v>0.35</v>
      </c>
      <c r="R490" s="5">
        <f t="shared" si="42"/>
        <v>1368.624821917808</v>
      </c>
      <c r="S490" s="5">
        <f t="shared" si="43"/>
        <v>90.241890410958916</v>
      </c>
      <c r="T490" s="5">
        <f t="shared" si="44"/>
        <v>1278.3829315068492</v>
      </c>
      <c r="U490" s="15">
        <f t="shared" si="45"/>
        <v>38</v>
      </c>
      <c r="V490" s="3">
        <f t="shared" si="46"/>
        <v>2238.4592999999995</v>
      </c>
      <c r="W490" s="3">
        <f t="shared" si="47"/>
        <v>489</v>
      </c>
    </row>
    <row r="491" spans="1:23" x14ac:dyDescent="0.2">
      <c r="A491" t="s">
        <v>34</v>
      </c>
      <c r="B491" t="s">
        <v>35</v>
      </c>
      <c r="C491" t="s">
        <v>36</v>
      </c>
      <c r="D491" t="s">
        <v>37</v>
      </c>
      <c r="E491" t="s">
        <v>25</v>
      </c>
      <c r="F491" s="7">
        <v>3714458</v>
      </c>
      <c r="G491" t="s">
        <v>1230</v>
      </c>
      <c r="H491" s="5">
        <v>65907</v>
      </c>
      <c r="I491" s="12">
        <v>45867</v>
      </c>
      <c r="J491" s="15">
        <v>90</v>
      </c>
      <c r="K491" s="15">
        <v>7</v>
      </c>
      <c r="L491" s="9">
        <v>0.1153</v>
      </c>
      <c r="M491" s="9">
        <v>4.7399999999999998E-2</v>
      </c>
      <c r="N491" s="15">
        <v>7</v>
      </c>
      <c r="O491" t="s">
        <v>28</v>
      </c>
      <c r="P491" t="s">
        <v>28</v>
      </c>
      <c r="Q491" s="24">
        <v>0.5</v>
      </c>
      <c r="R491" s="5">
        <f t="shared" si="42"/>
        <v>1873.7450383561643</v>
      </c>
      <c r="S491" s="5">
        <f t="shared" si="43"/>
        <v>59.912171506849312</v>
      </c>
      <c r="T491" s="5">
        <f t="shared" si="44"/>
        <v>1813.832866849315</v>
      </c>
      <c r="U491" s="15">
        <f t="shared" si="45"/>
        <v>83</v>
      </c>
      <c r="V491" s="3">
        <f t="shared" si="46"/>
        <v>2237.5426499999999</v>
      </c>
      <c r="W491" s="3">
        <f t="shared" si="47"/>
        <v>490</v>
      </c>
    </row>
    <row r="492" spans="1:23" x14ac:dyDescent="0.2">
      <c r="A492" t="s">
        <v>151</v>
      </c>
      <c r="B492" t="s">
        <v>131</v>
      </c>
      <c r="C492" t="s">
        <v>77</v>
      </c>
      <c r="D492" t="s">
        <v>66</v>
      </c>
      <c r="E492" t="s">
        <v>49</v>
      </c>
      <c r="F492" s="7">
        <v>1106462</v>
      </c>
      <c r="G492" t="s">
        <v>1503</v>
      </c>
      <c r="H492" s="5">
        <v>57481</v>
      </c>
      <c r="I492" s="12">
        <v>45977</v>
      </c>
      <c r="J492" s="15">
        <v>45</v>
      </c>
      <c r="K492" s="15">
        <v>2</v>
      </c>
      <c r="L492" s="9">
        <v>0.1328</v>
      </c>
      <c r="M492" s="9">
        <v>5.5E-2</v>
      </c>
      <c r="N492" s="15">
        <v>6</v>
      </c>
      <c r="O492" t="s">
        <v>27</v>
      </c>
      <c r="P492" t="s">
        <v>28</v>
      </c>
      <c r="Q492" s="24">
        <v>0.5</v>
      </c>
      <c r="R492" s="5">
        <f t="shared" si="42"/>
        <v>941.11357808219179</v>
      </c>
      <c r="S492" s="5">
        <f t="shared" si="43"/>
        <v>51.969123287671223</v>
      </c>
      <c r="T492" s="5">
        <f t="shared" si="44"/>
        <v>889.14445479452058</v>
      </c>
      <c r="U492" s="15">
        <f t="shared" si="45"/>
        <v>39</v>
      </c>
      <c r="V492" s="3">
        <f t="shared" si="46"/>
        <v>2236.0109000000002</v>
      </c>
      <c r="W492" s="3">
        <f t="shared" si="47"/>
        <v>491</v>
      </c>
    </row>
    <row r="493" spans="1:23" x14ac:dyDescent="0.2">
      <c r="A493" t="s">
        <v>278</v>
      </c>
      <c r="B493" t="s">
        <v>279</v>
      </c>
      <c r="C493" t="s">
        <v>23</v>
      </c>
      <c r="D493" t="s">
        <v>37</v>
      </c>
      <c r="E493" t="s">
        <v>56</v>
      </c>
      <c r="F493" s="7">
        <v>15898738</v>
      </c>
      <c r="G493" t="s">
        <v>957</v>
      </c>
      <c r="H493" s="5">
        <v>58976</v>
      </c>
      <c r="I493" s="12">
        <v>45893</v>
      </c>
      <c r="J493" s="15">
        <v>45</v>
      </c>
      <c r="K493" s="15">
        <v>10</v>
      </c>
      <c r="L493" s="9">
        <v>0.1071</v>
      </c>
      <c r="M493" s="9">
        <v>6.5000000000000002E-2</v>
      </c>
      <c r="N493" s="15">
        <v>5</v>
      </c>
      <c r="O493" t="s">
        <v>27</v>
      </c>
      <c r="P493" t="s">
        <v>28</v>
      </c>
      <c r="Q493" s="24">
        <v>0.9</v>
      </c>
      <c r="R493" s="5">
        <f t="shared" si="42"/>
        <v>778.72556712328765</v>
      </c>
      <c r="S493" s="5">
        <f t="shared" si="43"/>
        <v>52.512876712328762</v>
      </c>
      <c r="T493" s="5">
        <f t="shared" si="44"/>
        <v>726.21269041095888</v>
      </c>
      <c r="U493" s="15">
        <f t="shared" si="45"/>
        <v>40</v>
      </c>
      <c r="V493" s="3">
        <f t="shared" si="46"/>
        <v>2234.6006400000001</v>
      </c>
      <c r="W493" s="3">
        <f t="shared" si="47"/>
        <v>492</v>
      </c>
    </row>
    <row r="494" spans="1:23" x14ac:dyDescent="0.2">
      <c r="A494" t="s">
        <v>94</v>
      </c>
      <c r="B494" t="s">
        <v>95</v>
      </c>
      <c r="C494" t="s">
        <v>41</v>
      </c>
      <c r="D494" t="s">
        <v>66</v>
      </c>
      <c r="E494" t="s">
        <v>25</v>
      </c>
      <c r="F494" s="7">
        <v>2406772</v>
      </c>
      <c r="G494" t="s">
        <v>96</v>
      </c>
      <c r="H494" s="5">
        <v>54437</v>
      </c>
      <c r="I494" s="12">
        <v>45887</v>
      </c>
      <c r="J494" s="15">
        <v>30</v>
      </c>
      <c r="K494" s="15">
        <v>4</v>
      </c>
      <c r="L494" s="9">
        <v>0.1091</v>
      </c>
      <c r="M494" s="9">
        <v>4.5999999999999999E-2</v>
      </c>
      <c r="N494" s="15">
        <v>8</v>
      </c>
      <c r="O494" t="s">
        <v>27</v>
      </c>
      <c r="P494" t="s">
        <v>28</v>
      </c>
      <c r="Q494" s="24">
        <v>0.65</v>
      </c>
      <c r="R494" s="5">
        <f t="shared" si="42"/>
        <v>488.14329041095891</v>
      </c>
      <c r="S494" s="5">
        <f t="shared" si="43"/>
        <v>54.884427397260268</v>
      </c>
      <c r="T494" s="5">
        <f t="shared" si="44"/>
        <v>433.25886301369866</v>
      </c>
      <c r="U494" s="15">
        <f t="shared" si="45"/>
        <v>22</v>
      </c>
      <c r="V494" s="3">
        <f t="shared" si="46"/>
        <v>2232.7335550000003</v>
      </c>
      <c r="W494" s="3">
        <f t="shared" si="47"/>
        <v>493</v>
      </c>
    </row>
    <row r="495" spans="1:23" x14ac:dyDescent="0.2">
      <c r="A495" t="s">
        <v>223</v>
      </c>
      <c r="B495" t="s">
        <v>224</v>
      </c>
      <c r="C495" t="s">
        <v>36</v>
      </c>
      <c r="D495" t="s">
        <v>48</v>
      </c>
      <c r="E495" t="s">
        <v>25</v>
      </c>
      <c r="F495" s="7">
        <v>3916164</v>
      </c>
      <c r="G495" t="s">
        <v>638</v>
      </c>
      <c r="H495" s="5">
        <v>71314</v>
      </c>
      <c r="I495" s="12">
        <v>45938</v>
      </c>
      <c r="J495" s="15">
        <v>45</v>
      </c>
      <c r="K495" s="15">
        <v>10</v>
      </c>
      <c r="L495" s="9">
        <v>0.1119</v>
      </c>
      <c r="M495" s="9">
        <v>4.9399999999999999E-2</v>
      </c>
      <c r="N495" s="15">
        <v>7</v>
      </c>
      <c r="O495" t="s">
        <v>27</v>
      </c>
      <c r="P495" t="s">
        <v>28</v>
      </c>
      <c r="Q495" s="24">
        <v>0.5</v>
      </c>
      <c r="R495" s="5">
        <f t="shared" si="42"/>
        <v>983.84012876712325</v>
      </c>
      <c r="S495" s="5">
        <f t="shared" si="43"/>
        <v>67.562688219178085</v>
      </c>
      <c r="T495" s="5">
        <f t="shared" si="44"/>
        <v>916.27744054794516</v>
      </c>
      <c r="U495" s="15">
        <f t="shared" si="45"/>
        <v>38</v>
      </c>
      <c r="V495" s="3">
        <f t="shared" si="46"/>
        <v>2228.5625</v>
      </c>
      <c r="W495" s="3">
        <f t="shared" si="47"/>
        <v>494</v>
      </c>
    </row>
    <row r="496" spans="1:23" x14ac:dyDescent="0.2">
      <c r="A496" t="s">
        <v>174</v>
      </c>
      <c r="B496" t="s">
        <v>175</v>
      </c>
      <c r="C496" t="s">
        <v>41</v>
      </c>
      <c r="D496" t="s">
        <v>37</v>
      </c>
      <c r="E496" t="s">
        <v>49</v>
      </c>
      <c r="F496" s="7">
        <v>1267987</v>
      </c>
      <c r="G496" t="s">
        <v>1022</v>
      </c>
      <c r="H496" s="5">
        <v>33514</v>
      </c>
      <c r="I496" s="12">
        <v>45909</v>
      </c>
      <c r="J496" s="15">
        <v>60</v>
      </c>
      <c r="K496" s="15">
        <v>3</v>
      </c>
      <c r="L496" s="9">
        <v>0.125</v>
      </c>
      <c r="M496" s="9">
        <v>5.1200000000000002E-2</v>
      </c>
      <c r="N496" s="15">
        <v>8</v>
      </c>
      <c r="O496" t="s">
        <v>27</v>
      </c>
      <c r="P496" t="s">
        <v>28</v>
      </c>
      <c r="Q496" s="24">
        <v>0.9</v>
      </c>
      <c r="R496" s="5">
        <f t="shared" si="42"/>
        <v>688.64383561643831</v>
      </c>
      <c r="S496" s="5">
        <f t="shared" si="43"/>
        <v>37.609135342465756</v>
      </c>
      <c r="T496" s="5">
        <f t="shared" si="44"/>
        <v>651.03470027397259</v>
      </c>
      <c r="U496" s="15">
        <f t="shared" si="45"/>
        <v>52</v>
      </c>
      <c r="V496" s="3">
        <f t="shared" si="46"/>
        <v>2225.9998800000003</v>
      </c>
      <c r="W496" s="3">
        <f t="shared" si="47"/>
        <v>495</v>
      </c>
    </row>
    <row r="497" spans="1:23" x14ac:dyDescent="0.2">
      <c r="A497" t="s">
        <v>530</v>
      </c>
      <c r="B497" t="s">
        <v>531</v>
      </c>
      <c r="C497" t="s">
        <v>36</v>
      </c>
      <c r="D497" t="s">
        <v>37</v>
      </c>
      <c r="E497" t="s">
        <v>49</v>
      </c>
      <c r="F497" s="7">
        <v>701545</v>
      </c>
      <c r="G497" t="s">
        <v>1310</v>
      </c>
      <c r="H497" s="5">
        <v>20379</v>
      </c>
      <c r="I497" s="12">
        <v>45718</v>
      </c>
      <c r="J497" s="15">
        <v>60</v>
      </c>
      <c r="K497" s="15">
        <v>7</v>
      </c>
      <c r="L497" s="9">
        <v>0.17699999999999999</v>
      </c>
      <c r="M497" s="9">
        <v>5.5800000000000002E-2</v>
      </c>
      <c r="N497" s="15">
        <v>5</v>
      </c>
      <c r="O497" t="s">
        <v>27</v>
      </c>
      <c r="P497" t="s">
        <v>28</v>
      </c>
      <c r="Q497" s="24">
        <v>0.9</v>
      </c>
      <c r="R497" s="5">
        <f t="shared" si="42"/>
        <v>592.94515068493138</v>
      </c>
      <c r="S497" s="5">
        <f t="shared" si="43"/>
        <v>15.577372602739727</v>
      </c>
      <c r="T497" s="5">
        <f t="shared" si="44"/>
        <v>577.36777808219165</v>
      </c>
      <c r="U497" s="15">
        <f t="shared" si="45"/>
        <v>55</v>
      </c>
      <c r="V497" s="3">
        <f t="shared" si="46"/>
        <v>2222.9413199999999</v>
      </c>
      <c r="W497" s="3">
        <f t="shared" si="47"/>
        <v>496</v>
      </c>
    </row>
    <row r="498" spans="1:23" x14ac:dyDescent="0.2">
      <c r="A498" t="s">
        <v>91</v>
      </c>
      <c r="B498" t="s">
        <v>92</v>
      </c>
      <c r="C498" t="s">
        <v>36</v>
      </c>
      <c r="D498" t="s">
        <v>24</v>
      </c>
      <c r="E498" t="s">
        <v>56</v>
      </c>
      <c r="F498" s="7">
        <v>15029491</v>
      </c>
      <c r="G498" t="s">
        <v>622</v>
      </c>
      <c r="H498" s="5">
        <v>67836</v>
      </c>
      <c r="I498" s="12">
        <v>45745</v>
      </c>
      <c r="J498" s="15">
        <v>60</v>
      </c>
      <c r="K498" s="15">
        <v>2</v>
      </c>
      <c r="L498" s="9">
        <v>9.8400000000000001E-2</v>
      </c>
      <c r="M498" s="9">
        <v>6.2E-2</v>
      </c>
      <c r="N498" s="15">
        <v>5</v>
      </c>
      <c r="O498" t="s">
        <v>28</v>
      </c>
      <c r="P498" t="s">
        <v>28</v>
      </c>
      <c r="Q498" s="24">
        <v>0.9</v>
      </c>
      <c r="R498" s="5">
        <f t="shared" si="42"/>
        <v>1097.2705315068492</v>
      </c>
      <c r="S498" s="5">
        <f t="shared" si="43"/>
        <v>57.614136986301368</v>
      </c>
      <c r="T498" s="5">
        <f t="shared" si="44"/>
        <v>1039.6563945205478</v>
      </c>
      <c r="U498" s="15">
        <f t="shared" si="45"/>
        <v>55</v>
      </c>
      <c r="V498" s="3">
        <f t="shared" si="46"/>
        <v>2222.3073600000002</v>
      </c>
      <c r="W498" s="3">
        <f t="shared" si="47"/>
        <v>497</v>
      </c>
    </row>
    <row r="499" spans="1:23" x14ac:dyDescent="0.2">
      <c r="A499" t="s">
        <v>75</v>
      </c>
      <c r="B499" t="s">
        <v>76</v>
      </c>
      <c r="C499" t="s">
        <v>77</v>
      </c>
      <c r="D499" t="s">
        <v>37</v>
      </c>
      <c r="E499" t="s">
        <v>49</v>
      </c>
      <c r="F499" s="7">
        <v>1309806</v>
      </c>
      <c r="G499" t="s">
        <v>1281</v>
      </c>
      <c r="H499" s="5">
        <v>108444</v>
      </c>
      <c r="I499" s="12">
        <v>45836</v>
      </c>
      <c r="J499" s="15">
        <v>60</v>
      </c>
      <c r="K499" s="15">
        <v>5</v>
      </c>
      <c r="L499" s="9">
        <v>0.15210000000000001</v>
      </c>
      <c r="M499" s="9">
        <v>4.9700000000000001E-2</v>
      </c>
      <c r="N499" s="15">
        <v>8</v>
      </c>
      <c r="O499" t="s">
        <v>27</v>
      </c>
      <c r="P499" t="s">
        <v>28</v>
      </c>
      <c r="Q499" s="24">
        <v>0.2</v>
      </c>
      <c r="R499" s="5">
        <f t="shared" si="42"/>
        <v>2711.3971068493156</v>
      </c>
      <c r="S499" s="5">
        <f t="shared" si="43"/>
        <v>118.12968328767123</v>
      </c>
      <c r="T499" s="5">
        <f t="shared" si="44"/>
        <v>2593.2674235616446</v>
      </c>
      <c r="U499" s="15">
        <f t="shared" si="45"/>
        <v>52</v>
      </c>
      <c r="V499" s="3">
        <f t="shared" si="46"/>
        <v>2220.9331200000006</v>
      </c>
      <c r="W499" s="3">
        <f t="shared" si="47"/>
        <v>498</v>
      </c>
    </row>
    <row r="500" spans="1:23" x14ac:dyDescent="0.2">
      <c r="A500" t="s">
        <v>438</v>
      </c>
      <c r="B500" t="s">
        <v>439</v>
      </c>
      <c r="C500" t="s">
        <v>41</v>
      </c>
      <c r="D500" t="s">
        <v>48</v>
      </c>
      <c r="E500" t="s">
        <v>25</v>
      </c>
      <c r="F500" s="7">
        <v>2438415</v>
      </c>
      <c r="G500" t="s">
        <v>1136</v>
      </c>
      <c r="H500" s="5">
        <v>88585</v>
      </c>
      <c r="I500" s="12">
        <v>45731</v>
      </c>
      <c r="J500" s="15">
        <v>60</v>
      </c>
      <c r="K500" s="15">
        <v>5</v>
      </c>
      <c r="L500" s="9">
        <v>0.13650000000000001</v>
      </c>
      <c r="M500" s="9">
        <v>6.4899999999999999E-2</v>
      </c>
      <c r="N500" s="15">
        <v>8</v>
      </c>
      <c r="O500" t="s">
        <v>27</v>
      </c>
      <c r="P500" t="s">
        <v>28</v>
      </c>
      <c r="Q500" s="24">
        <v>0.35</v>
      </c>
      <c r="R500" s="5">
        <f t="shared" si="42"/>
        <v>1987.7017808219177</v>
      </c>
      <c r="S500" s="5">
        <f t="shared" si="43"/>
        <v>126.0091287671233</v>
      </c>
      <c r="T500" s="5">
        <f t="shared" si="44"/>
        <v>1861.6926520547945</v>
      </c>
      <c r="U500" s="15">
        <f t="shared" si="45"/>
        <v>52</v>
      </c>
      <c r="V500" s="3">
        <f t="shared" si="46"/>
        <v>2219.9401000000003</v>
      </c>
      <c r="W500" s="3">
        <f t="shared" si="47"/>
        <v>499</v>
      </c>
    </row>
    <row r="501" spans="1:23" x14ac:dyDescent="0.2">
      <c r="A501" t="s">
        <v>166</v>
      </c>
      <c r="B501" t="s">
        <v>167</v>
      </c>
      <c r="C501" t="s">
        <v>41</v>
      </c>
      <c r="D501" t="s">
        <v>24</v>
      </c>
      <c r="E501" t="s">
        <v>25</v>
      </c>
      <c r="F501" s="7">
        <v>6222733</v>
      </c>
      <c r="G501" t="s">
        <v>883</v>
      </c>
      <c r="H501" s="5">
        <v>34686</v>
      </c>
      <c r="I501" s="12">
        <v>45895</v>
      </c>
      <c r="J501" s="15">
        <v>60</v>
      </c>
      <c r="K501" s="15">
        <v>2</v>
      </c>
      <c r="L501" s="9">
        <v>0.13980000000000001</v>
      </c>
      <c r="M501" s="9">
        <v>5.9799999999999999E-2</v>
      </c>
      <c r="N501" s="15">
        <v>10</v>
      </c>
      <c r="O501" t="s">
        <v>27</v>
      </c>
      <c r="P501" t="s">
        <v>28</v>
      </c>
      <c r="Q501" s="24">
        <v>0.8</v>
      </c>
      <c r="R501" s="5">
        <f t="shared" si="42"/>
        <v>797.11278904109599</v>
      </c>
      <c r="S501" s="5">
        <f t="shared" si="43"/>
        <v>56.828021917808215</v>
      </c>
      <c r="T501" s="5">
        <f t="shared" si="44"/>
        <v>740.28476712328779</v>
      </c>
      <c r="U501" s="15">
        <f t="shared" si="45"/>
        <v>50</v>
      </c>
      <c r="V501" s="3">
        <f t="shared" si="46"/>
        <v>2219.9040000000005</v>
      </c>
      <c r="W501" s="3">
        <f t="shared" si="47"/>
        <v>500</v>
      </c>
    </row>
    <row r="502" spans="1:23" x14ac:dyDescent="0.2">
      <c r="A502" t="s">
        <v>103</v>
      </c>
      <c r="B502" t="s">
        <v>62</v>
      </c>
      <c r="C502" t="s">
        <v>31</v>
      </c>
      <c r="D502" t="s">
        <v>37</v>
      </c>
      <c r="E502" t="s">
        <v>25</v>
      </c>
      <c r="F502" s="7">
        <v>3948313</v>
      </c>
      <c r="G502" t="s">
        <v>446</v>
      </c>
      <c r="H502" s="5">
        <v>46387</v>
      </c>
      <c r="I502" s="12">
        <v>45716</v>
      </c>
      <c r="J502" s="15">
        <v>60</v>
      </c>
      <c r="K502" s="15">
        <v>5</v>
      </c>
      <c r="L502" s="9">
        <v>0.1154</v>
      </c>
      <c r="M502" s="9">
        <v>5.5599999999999997E-2</v>
      </c>
      <c r="N502" s="15">
        <v>7</v>
      </c>
      <c r="O502" t="s">
        <v>27</v>
      </c>
      <c r="P502" t="s">
        <v>28</v>
      </c>
      <c r="Q502" s="24">
        <v>0.8</v>
      </c>
      <c r="R502" s="5">
        <f t="shared" si="42"/>
        <v>879.95503561643829</v>
      </c>
      <c r="S502" s="5">
        <f t="shared" si="43"/>
        <v>49.462521643835615</v>
      </c>
      <c r="T502" s="5">
        <f t="shared" si="44"/>
        <v>830.49251397260264</v>
      </c>
      <c r="U502" s="15">
        <f t="shared" si="45"/>
        <v>53</v>
      </c>
      <c r="V502" s="3">
        <f t="shared" si="46"/>
        <v>2219.1540800000002</v>
      </c>
      <c r="W502" s="3">
        <f t="shared" si="47"/>
        <v>501</v>
      </c>
    </row>
    <row r="503" spans="1:23" x14ac:dyDescent="0.2">
      <c r="A503" t="s">
        <v>297</v>
      </c>
      <c r="B503" t="s">
        <v>298</v>
      </c>
      <c r="C503" t="s">
        <v>36</v>
      </c>
      <c r="D503" t="s">
        <v>24</v>
      </c>
      <c r="E503" t="s">
        <v>49</v>
      </c>
      <c r="F503" s="7">
        <v>1249897</v>
      </c>
      <c r="G503" t="s">
        <v>360</v>
      </c>
      <c r="H503" s="5">
        <v>49914</v>
      </c>
      <c r="I503" s="12">
        <v>45779</v>
      </c>
      <c r="J503" s="15">
        <v>45</v>
      </c>
      <c r="K503" s="15">
        <v>10</v>
      </c>
      <c r="L503" s="9">
        <v>0.1452</v>
      </c>
      <c r="M503" s="9">
        <v>5.6500000000000002E-2</v>
      </c>
      <c r="N503" s="15">
        <v>10</v>
      </c>
      <c r="O503" t="s">
        <v>27</v>
      </c>
      <c r="P503" t="s">
        <v>28</v>
      </c>
      <c r="Q503" s="24">
        <v>0.5</v>
      </c>
      <c r="R503" s="5">
        <f t="shared" si="42"/>
        <v>893.52897534246563</v>
      </c>
      <c r="S503" s="5">
        <f t="shared" si="43"/>
        <v>77.264136986301367</v>
      </c>
      <c r="T503" s="5">
        <f t="shared" si="44"/>
        <v>816.26483835616432</v>
      </c>
      <c r="U503" s="15">
        <f t="shared" si="45"/>
        <v>35</v>
      </c>
      <c r="V503" s="3">
        <f t="shared" si="46"/>
        <v>2213.6858999999999</v>
      </c>
      <c r="W503" s="3">
        <f t="shared" si="47"/>
        <v>502</v>
      </c>
    </row>
    <row r="504" spans="1:23" x14ac:dyDescent="0.2">
      <c r="A504" t="s">
        <v>193</v>
      </c>
      <c r="B504" t="s">
        <v>194</v>
      </c>
      <c r="C504" t="s">
        <v>31</v>
      </c>
      <c r="D504" t="s">
        <v>66</v>
      </c>
      <c r="E504" t="s">
        <v>49</v>
      </c>
      <c r="F504" s="7">
        <v>764840</v>
      </c>
      <c r="G504" t="s">
        <v>764</v>
      </c>
      <c r="H504" s="5">
        <v>36641</v>
      </c>
      <c r="I504" s="12">
        <v>46016</v>
      </c>
      <c r="J504" s="15">
        <v>90</v>
      </c>
      <c r="K504" s="15">
        <v>3</v>
      </c>
      <c r="L504" s="9">
        <v>0.16819999999999999</v>
      </c>
      <c r="M504" s="9">
        <v>4.7699999999999999E-2</v>
      </c>
      <c r="N504" s="15">
        <v>5</v>
      </c>
      <c r="O504" t="s">
        <v>27</v>
      </c>
      <c r="P504" t="s">
        <v>28</v>
      </c>
      <c r="Q504" s="24">
        <v>0.5</v>
      </c>
      <c r="R504" s="5">
        <f t="shared" si="42"/>
        <v>1519.6478301369862</v>
      </c>
      <c r="S504" s="5">
        <f t="shared" si="43"/>
        <v>23.942132876712325</v>
      </c>
      <c r="T504" s="5">
        <f t="shared" si="44"/>
        <v>1495.7056972602738</v>
      </c>
      <c r="U504" s="15">
        <f t="shared" si="45"/>
        <v>85</v>
      </c>
      <c r="V504" s="3">
        <f t="shared" si="46"/>
        <v>2207.6202499999999</v>
      </c>
      <c r="W504" s="3">
        <f t="shared" si="47"/>
        <v>503</v>
      </c>
    </row>
    <row r="505" spans="1:23" x14ac:dyDescent="0.2">
      <c r="A505" t="s">
        <v>366</v>
      </c>
      <c r="B505" t="s">
        <v>367</v>
      </c>
      <c r="C505" t="s">
        <v>41</v>
      </c>
      <c r="D505" t="s">
        <v>37</v>
      </c>
      <c r="E505" t="s">
        <v>56</v>
      </c>
      <c r="F505" s="7">
        <v>13330124</v>
      </c>
      <c r="G505" t="s">
        <v>1759</v>
      </c>
      <c r="H505" s="5">
        <v>50196</v>
      </c>
      <c r="I505" s="12">
        <v>45818</v>
      </c>
      <c r="J505" s="15">
        <v>60</v>
      </c>
      <c r="K505" s="15">
        <v>3</v>
      </c>
      <c r="L505" s="9">
        <v>0.10920000000000001</v>
      </c>
      <c r="M505" s="9">
        <v>6.0400000000000002E-2</v>
      </c>
      <c r="N505" s="15">
        <v>5</v>
      </c>
      <c r="O505" t="s">
        <v>27</v>
      </c>
      <c r="P505" t="s">
        <v>28</v>
      </c>
      <c r="Q505" s="24">
        <v>0.9</v>
      </c>
      <c r="R505" s="5">
        <f t="shared" si="42"/>
        <v>901.0525808219179</v>
      </c>
      <c r="S505" s="5">
        <f t="shared" si="43"/>
        <v>41.532032876712329</v>
      </c>
      <c r="T505" s="5">
        <f t="shared" si="44"/>
        <v>859.52054794520552</v>
      </c>
      <c r="U505" s="15">
        <f t="shared" si="45"/>
        <v>55</v>
      </c>
      <c r="V505" s="3">
        <f t="shared" si="46"/>
        <v>2204.6083199999998</v>
      </c>
      <c r="W505" s="3">
        <f t="shared" si="47"/>
        <v>504</v>
      </c>
    </row>
    <row r="506" spans="1:23" x14ac:dyDescent="0.2">
      <c r="A506" t="s">
        <v>415</v>
      </c>
      <c r="B506" t="s">
        <v>416</v>
      </c>
      <c r="C506" t="s">
        <v>31</v>
      </c>
      <c r="D506" t="s">
        <v>66</v>
      </c>
      <c r="E506" t="s">
        <v>49</v>
      </c>
      <c r="F506" s="7">
        <v>1241903</v>
      </c>
      <c r="G506" t="s">
        <v>721</v>
      </c>
      <c r="H506" s="5">
        <v>99773</v>
      </c>
      <c r="I506" s="12">
        <v>45939</v>
      </c>
      <c r="J506" s="15">
        <v>60</v>
      </c>
      <c r="K506" s="15">
        <v>7</v>
      </c>
      <c r="L506" s="9">
        <v>0.15939999999999999</v>
      </c>
      <c r="M506" s="9">
        <v>4.9000000000000002E-2</v>
      </c>
      <c r="N506" s="15">
        <v>5</v>
      </c>
      <c r="O506" t="s">
        <v>27</v>
      </c>
      <c r="P506" t="s">
        <v>28</v>
      </c>
      <c r="Q506" s="24">
        <v>0.2</v>
      </c>
      <c r="R506" s="5">
        <f t="shared" si="42"/>
        <v>2614.3259506849313</v>
      </c>
      <c r="S506" s="5">
        <f t="shared" si="43"/>
        <v>66.970917808219184</v>
      </c>
      <c r="T506" s="5">
        <f t="shared" si="44"/>
        <v>2547.3550328767119</v>
      </c>
      <c r="U506" s="15">
        <f t="shared" si="45"/>
        <v>55</v>
      </c>
      <c r="V506" s="3">
        <f t="shared" si="46"/>
        <v>2202.9878399999998</v>
      </c>
      <c r="W506" s="3">
        <f t="shared" si="47"/>
        <v>505</v>
      </c>
    </row>
    <row r="507" spans="1:23" x14ac:dyDescent="0.2">
      <c r="A507" t="s">
        <v>68</v>
      </c>
      <c r="B507" t="s">
        <v>69</v>
      </c>
      <c r="C507" t="s">
        <v>36</v>
      </c>
      <c r="D507" t="s">
        <v>37</v>
      </c>
      <c r="E507" t="s">
        <v>25</v>
      </c>
      <c r="F507" s="7">
        <v>3469396</v>
      </c>
      <c r="G507" t="s">
        <v>1016</v>
      </c>
      <c r="H507" s="5">
        <v>58674</v>
      </c>
      <c r="I507" s="12">
        <v>45713</v>
      </c>
      <c r="J507" s="15">
        <v>60</v>
      </c>
      <c r="K507" s="15">
        <v>7</v>
      </c>
      <c r="L507" s="9">
        <v>0.1216</v>
      </c>
      <c r="M507" s="9">
        <v>6.4000000000000001E-2</v>
      </c>
      <c r="N507" s="15">
        <v>8</v>
      </c>
      <c r="O507" t="s">
        <v>27</v>
      </c>
      <c r="P507" t="s">
        <v>28</v>
      </c>
      <c r="Q507" s="24">
        <v>0.65</v>
      </c>
      <c r="R507" s="5">
        <f t="shared" si="42"/>
        <v>1172.8369972602738</v>
      </c>
      <c r="S507" s="5">
        <f t="shared" si="43"/>
        <v>82.304350684931507</v>
      </c>
      <c r="T507" s="5">
        <f t="shared" si="44"/>
        <v>1090.5326465753424</v>
      </c>
      <c r="U507" s="15">
        <f t="shared" si="45"/>
        <v>52</v>
      </c>
      <c r="V507" s="3">
        <f t="shared" si="46"/>
        <v>2196.7545599999999</v>
      </c>
      <c r="W507" s="3">
        <f t="shared" si="47"/>
        <v>506</v>
      </c>
    </row>
    <row r="508" spans="1:23" x14ac:dyDescent="0.2">
      <c r="A508" t="s">
        <v>407</v>
      </c>
      <c r="B508" t="s">
        <v>218</v>
      </c>
      <c r="C508" t="s">
        <v>41</v>
      </c>
      <c r="D508" t="s">
        <v>32</v>
      </c>
      <c r="E508" t="s">
        <v>25</v>
      </c>
      <c r="F508" s="7">
        <v>1514188</v>
      </c>
      <c r="G508" t="s">
        <v>1117</v>
      </c>
      <c r="H508" s="5">
        <v>108017</v>
      </c>
      <c r="I508" s="12">
        <v>45882</v>
      </c>
      <c r="J508" s="15">
        <v>90</v>
      </c>
      <c r="K508" s="15">
        <v>3</v>
      </c>
      <c r="L508" s="9">
        <v>0.11600000000000001</v>
      </c>
      <c r="M508" s="9">
        <v>5.79E-2</v>
      </c>
      <c r="N508" s="15">
        <v>7</v>
      </c>
      <c r="O508" t="s">
        <v>27</v>
      </c>
      <c r="P508" t="s">
        <v>28</v>
      </c>
      <c r="Q508" s="24">
        <v>0.35</v>
      </c>
      <c r="R508" s="5">
        <f t="shared" si="42"/>
        <v>3089.5821369863011</v>
      </c>
      <c r="S508" s="5">
        <f t="shared" si="43"/>
        <v>119.94326054794521</v>
      </c>
      <c r="T508" s="5">
        <f t="shared" si="44"/>
        <v>2969.638876438356</v>
      </c>
      <c r="U508" s="15">
        <f t="shared" si="45"/>
        <v>83</v>
      </c>
      <c r="V508" s="3">
        <f t="shared" si="46"/>
        <v>2196.5256950000003</v>
      </c>
      <c r="W508" s="3">
        <f t="shared" si="47"/>
        <v>507</v>
      </c>
    </row>
    <row r="509" spans="1:23" x14ac:dyDescent="0.2">
      <c r="A509" t="s">
        <v>319</v>
      </c>
      <c r="B509" t="s">
        <v>320</v>
      </c>
      <c r="C509" t="s">
        <v>41</v>
      </c>
      <c r="D509" t="s">
        <v>37</v>
      </c>
      <c r="E509" t="s">
        <v>56</v>
      </c>
      <c r="F509" s="7">
        <v>23937545</v>
      </c>
      <c r="G509" t="s">
        <v>321</v>
      </c>
      <c r="H509" s="5">
        <v>74793</v>
      </c>
      <c r="I509" s="12">
        <v>46037</v>
      </c>
      <c r="J509" s="15">
        <v>45</v>
      </c>
      <c r="K509" s="15">
        <v>7</v>
      </c>
      <c r="L509" s="9">
        <v>8.7099999999999997E-2</v>
      </c>
      <c r="M509" s="9">
        <v>5.04E-2</v>
      </c>
      <c r="N509" s="15">
        <v>10</v>
      </c>
      <c r="O509" t="s">
        <v>27</v>
      </c>
      <c r="P509" t="s">
        <v>28</v>
      </c>
      <c r="Q509" s="24">
        <v>0.8</v>
      </c>
      <c r="R509" s="5">
        <f t="shared" si="42"/>
        <v>803.15387260273963</v>
      </c>
      <c r="S509" s="5">
        <f t="shared" si="43"/>
        <v>103.27581369863013</v>
      </c>
      <c r="T509" s="5">
        <f t="shared" si="44"/>
        <v>699.87805890410948</v>
      </c>
      <c r="U509" s="15">
        <f t="shared" si="45"/>
        <v>35</v>
      </c>
      <c r="V509" s="3">
        <f t="shared" si="46"/>
        <v>2195.9224799999997</v>
      </c>
      <c r="W509" s="3">
        <f t="shared" si="47"/>
        <v>508</v>
      </c>
    </row>
    <row r="510" spans="1:23" x14ac:dyDescent="0.2">
      <c r="A510" t="s">
        <v>21</v>
      </c>
      <c r="B510" t="s">
        <v>22</v>
      </c>
      <c r="C510" t="s">
        <v>23</v>
      </c>
      <c r="D510" t="s">
        <v>24</v>
      </c>
      <c r="E510" t="s">
        <v>25</v>
      </c>
      <c r="F510" s="7">
        <v>2280589</v>
      </c>
      <c r="G510" t="s">
        <v>923</v>
      </c>
      <c r="H510" s="5">
        <v>63181</v>
      </c>
      <c r="I510" s="12">
        <v>45902</v>
      </c>
      <c r="J510" s="15">
        <v>45</v>
      </c>
      <c r="K510" s="15">
        <v>10</v>
      </c>
      <c r="L510" s="9">
        <v>0.1047</v>
      </c>
      <c r="M510" s="9">
        <v>5.16E-2</v>
      </c>
      <c r="N510" s="15">
        <v>8</v>
      </c>
      <c r="O510" t="s">
        <v>27</v>
      </c>
      <c r="P510" t="s">
        <v>28</v>
      </c>
      <c r="Q510" s="24">
        <v>0.65</v>
      </c>
      <c r="R510" s="5">
        <f t="shared" si="42"/>
        <v>815.55419589041094</v>
      </c>
      <c r="S510" s="5">
        <f t="shared" si="43"/>
        <v>71.455114520547951</v>
      </c>
      <c r="T510" s="5">
        <f t="shared" si="44"/>
        <v>744.09908136986303</v>
      </c>
      <c r="U510" s="15">
        <f t="shared" si="45"/>
        <v>37</v>
      </c>
      <c r="V510" s="3">
        <f t="shared" si="46"/>
        <v>2180.692215</v>
      </c>
      <c r="W510" s="3">
        <f t="shared" si="47"/>
        <v>509</v>
      </c>
    </row>
    <row r="511" spans="1:23" x14ac:dyDescent="0.2">
      <c r="A511" t="s">
        <v>43</v>
      </c>
      <c r="B511" t="s">
        <v>44</v>
      </c>
      <c r="C511" t="s">
        <v>23</v>
      </c>
      <c r="D511" t="s">
        <v>24</v>
      </c>
      <c r="E511" t="s">
        <v>25</v>
      </c>
      <c r="F511" s="7">
        <v>2577026</v>
      </c>
      <c r="G511" t="s">
        <v>784</v>
      </c>
      <c r="H511" s="5">
        <v>37115</v>
      </c>
      <c r="I511" s="12">
        <v>45960</v>
      </c>
      <c r="J511" s="15">
        <v>30</v>
      </c>
      <c r="K511" s="15">
        <v>7</v>
      </c>
      <c r="L511" s="9">
        <v>0.123</v>
      </c>
      <c r="M511" s="9">
        <v>5.7799999999999997E-2</v>
      </c>
      <c r="N511" s="15">
        <v>8</v>
      </c>
      <c r="O511" t="s">
        <v>27</v>
      </c>
      <c r="P511" t="s">
        <v>28</v>
      </c>
      <c r="Q511" s="24">
        <v>0.9</v>
      </c>
      <c r="R511" s="5">
        <f t="shared" si="42"/>
        <v>375.21739726027391</v>
      </c>
      <c r="S511" s="5">
        <f t="shared" si="43"/>
        <v>47.019112328767122</v>
      </c>
      <c r="T511" s="5">
        <f t="shared" si="44"/>
        <v>328.19828493150681</v>
      </c>
      <c r="U511" s="15">
        <f t="shared" si="45"/>
        <v>22</v>
      </c>
      <c r="V511" s="3">
        <f t="shared" si="46"/>
        <v>2177.9082000000003</v>
      </c>
      <c r="W511" s="3">
        <f t="shared" si="47"/>
        <v>510</v>
      </c>
    </row>
    <row r="512" spans="1:23" x14ac:dyDescent="0.2">
      <c r="A512" t="s">
        <v>151</v>
      </c>
      <c r="B512" t="s">
        <v>131</v>
      </c>
      <c r="C512" t="s">
        <v>77</v>
      </c>
      <c r="D512" t="s">
        <v>66</v>
      </c>
      <c r="E512" t="s">
        <v>49</v>
      </c>
      <c r="F512" s="7">
        <v>1106462</v>
      </c>
      <c r="G512" t="s">
        <v>1352</v>
      </c>
      <c r="H512" s="5">
        <v>56063</v>
      </c>
      <c r="I512" s="12">
        <v>45837</v>
      </c>
      <c r="J512" s="15">
        <v>60</v>
      </c>
      <c r="K512" s="15">
        <v>2</v>
      </c>
      <c r="L512" s="9">
        <v>0.1328</v>
      </c>
      <c r="M512" s="9">
        <v>5.5199999999999999E-2</v>
      </c>
      <c r="N512" s="15">
        <v>5</v>
      </c>
      <c r="O512" t="s">
        <v>27</v>
      </c>
      <c r="P512" t="s">
        <v>28</v>
      </c>
      <c r="Q512" s="24">
        <v>0.5</v>
      </c>
      <c r="R512" s="5">
        <f t="shared" si="42"/>
        <v>1223.8629698630136</v>
      </c>
      <c r="S512" s="5">
        <f t="shared" si="43"/>
        <v>42.392843835616439</v>
      </c>
      <c r="T512" s="5">
        <f t="shared" si="44"/>
        <v>1181.4701260273971</v>
      </c>
      <c r="U512" s="15">
        <f t="shared" si="45"/>
        <v>55</v>
      </c>
      <c r="V512" s="3">
        <f t="shared" si="46"/>
        <v>2175.2444</v>
      </c>
      <c r="W512" s="3">
        <f t="shared" si="47"/>
        <v>511</v>
      </c>
    </row>
    <row r="513" spans="1:23" x14ac:dyDescent="0.2">
      <c r="A513" t="s">
        <v>236</v>
      </c>
      <c r="B513" t="s">
        <v>204</v>
      </c>
      <c r="C513" t="s">
        <v>41</v>
      </c>
      <c r="D513" t="s">
        <v>66</v>
      </c>
      <c r="E513" t="s">
        <v>25</v>
      </c>
      <c r="F513" s="7">
        <v>2121447</v>
      </c>
      <c r="G513" t="s">
        <v>647</v>
      </c>
      <c r="H513" s="5">
        <v>40487</v>
      </c>
      <c r="I513" s="12">
        <v>45990</v>
      </c>
      <c r="J513" s="15">
        <v>45</v>
      </c>
      <c r="K513" s="15">
        <v>7</v>
      </c>
      <c r="L513" s="9">
        <v>0.11890000000000001</v>
      </c>
      <c r="M513" s="9">
        <v>5.9299999999999999E-2</v>
      </c>
      <c r="N513" s="15">
        <v>7</v>
      </c>
      <c r="O513" t="s">
        <v>27</v>
      </c>
      <c r="P513" t="s">
        <v>28</v>
      </c>
      <c r="Q513" s="24">
        <v>0.9</v>
      </c>
      <c r="R513" s="5">
        <f t="shared" si="42"/>
        <v>593.49505068493147</v>
      </c>
      <c r="S513" s="5">
        <f t="shared" si="43"/>
        <v>46.044256712328774</v>
      </c>
      <c r="T513" s="5">
        <f t="shared" si="44"/>
        <v>547.4507939726027</v>
      </c>
      <c r="U513" s="15">
        <f t="shared" si="45"/>
        <v>38</v>
      </c>
      <c r="V513" s="3">
        <f t="shared" si="46"/>
        <v>2171.7226800000003</v>
      </c>
      <c r="W513" s="3">
        <f t="shared" si="47"/>
        <v>512</v>
      </c>
    </row>
    <row r="514" spans="1:23" x14ac:dyDescent="0.2">
      <c r="A514" t="s">
        <v>716</v>
      </c>
      <c r="B514" t="s">
        <v>717</v>
      </c>
      <c r="C514" t="s">
        <v>31</v>
      </c>
      <c r="D514" t="s">
        <v>37</v>
      </c>
      <c r="E514" t="s">
        <v>49</v>
      </c>
      <c r="F514" s="7">
        <v>1439462</v>
      </c>
      <c r="G514" t="s">
        <v>718</v>
      </c>
      <c r="H514" s="5">
        <v>49548</v>
      </c>
      <c r="I514" s="12">
        <v>45994</v>
      </c>
      <c r="J514" s="15">
        <v>60</v>
      </c>
      <c r="K514" s="15">
        <v>7</v>
      </c>
      <c r="L514" s="9">
        <v>0.17130000000000001</v>
      </c>
      <c r="M514" s="9">
        <v>4.6100000000000002E-2</v>
      </c>
      <c r="N514" s="15">
        <v>6</v>
      </c>
      <c r="O514" t="s">
        <v>27</v>
      </c>
      <c r="P514" t="s">
        <v>28</v>
      </c>
      <c r="Q514" s="24">
        <v>0.35</v>
      </c>
      <c r="R514" s="5">
        <f t="shared" ref="R514:R577" si="48">H514*L514*(J514/365)</f>
        <v>1395.2173808219179</v>
      </c>
      <c r="S514" s="5">
        <f t="shared" ref="S514:S577" si="49">H514*M514*(N514/365)</f>
        <v>37.547881643835616</v>
      </c>
      <c r="T514" s="5">
        <f t="shared" ref="T514:T577" si="50">R514-S514</f>
        <v>1357.6694991780823</v>
      </c>
      <c r="U514" s="15">
        <f t="shared" ref="U514:U577" si="51">J514-N514</f>
        <v>54</v>
      </c>
      <c r="V514" s="3">
        <f t="shared" ref="V514:V577" si="52">Q514*(L514-M514)*H514</f>
        <v>2171.1933599999998</v>
      </c>
      <c r="W514" s="3">
        <f t="shared" ref="W514:W577" si="53">RANK(V514,$V$2:$V$1501)</f>
        <v>513</v>
      </c>
    </row>
    <row r="515" spans="1:23" x14ac:dyDescent="0.2">
      <c r="A515" t="s">
        <v>457</v>
      </c>
      <c r="B515" t="s">
        <v>184</v>
      </c>
      <c r="C515" t="s">
        <v>36</v>
      </c>
      <c r="D515" t="s">
        <v>66</v>
      </c>
      <c r="E515" t="s">
        <v>49</v>
      </c>
      <c r="F515" s="7">
        <v>1104797</v>
      </c>
      <c r="G515" t="s">
        <v>1635</v>
      </c>
      <c r="H515" s="5">
        <v>80482</v>
      </c>
      <c r="I515" s="12">
        <v>46069</v>
      </c>
      <c r="J515" s="15">
        <v>60</v>
      </c>
      <c r="K515" s="15">
        <v>4</v>
      </c>
      <c r="L515" s="9">
        <v>0.13320000000000001</v>
      </c>
      <c r="M515" s="9">
        <v>5.6300000000000003E-2</v>
      </c>
      <c r="N515" s="15">
        <v>6</v>
      </c>
      <c r="O515" t="s">
        <v>28</v>
      </c>
      <c r="P515" t="s">
        <v>28</v>
      </c>
      <c r="Q515" s="24">
        <v>0.35</v>
      </c>
      <c r="R515" s="5">
        <f t="shared" si="48"/>
        <v>1762.2250520547943</v>
      </c>
      <c r="S515" s="5">
        <f t="shared" si="49"/>
        <v>74.484437260273964</v>
      </c>
      <c r="T515" s="5">
        <f t="shared" si="50"/>
        <v>1687.7406147945203</v>
      </c>
      <c r="U515" s="15">
        <f t="shared" si="51"/>
        <v>54</v>
      </c>
      <c r="V515" s="3">
        <f t="shared" si="52"/>
        <v>2166.1730299999999</v>
      </c>
      <c r="W515" s="3">
        <f t="shared" si="53"/>
        <v>514</v>
      </c>
    </row>
    <row r="516" spans="1:23" x14ac:dyDescent="0.2">
      <c r="A516" t="s">
        <v>244</v>
      </c>
      <c r="B516" t="s">
        <v>245</v>
      </c>
      <c r="C516" t="s">
        <v>77</v>
      </c>
      <c r="D516" t="s">
        <v>48</v>
      </c>
      <c r="E516" t="s">
        <v>49</v>
      </c>
      <c r="F516" s="7">
        <v>759292</v>
      </c>
      <c r="G516" t="s">
        <v>573</v>
      </c>
      <c r="H516" s="5">
        <v>49498</v>
      </c>
      <c r="I516" s="12">
        <v>45900</v>
      </c>
      <c r="J516" s="15">
        <v>90</v>
      </c>
      <c r="K516" s="15">
        <v>4</v>
      </c>
      <c r="L516" s="9">
        <v>0.1171</v>
      </c>
      <c r="M516" s="9">
        <v>6.2600000000000003E-2</v>
      </c>
      <c r="N516" s="15">
        <v>7</v>
      </c>
      <c r="O516" t="s">
        <v>27</v>
      </c>
      <c r="P516" t="s">
        <v>28</v>
      </c>
      <c r="Q516" s="24">
        <v>0.8</v>
      </c>
      <c r="R516" s="5">
        <f t="shared" si="48"/>
        <v>1429.2038958904109</v>
      </c>
      <c r="S516" s="5">
        <f t="shared" si="49"/>
        <v>59.42472219178083</v>
      </c>
      <c r="T516" s="5">
        <f t="shared" si="50"/>
        <v>1369.7791736986301</v>
      </c>
      <c r="U516" s="15">
        <f t="shared" si="51"/>
        <v>83</v>
      </c>
      <c r="V516" s="3">
        <f t="shared" si="52"/>
        <v>2158.1127999999999</v>
      </c>
      <c r="W516" s="3">
        <f t="shared" si="53"/>
        <v>515</v>
      </c>
    </row>
    <row r="517" spans="1:23" x14ac:dyDescent="0.2">
      <c r="A517" t="s">
        <v>29</v>
      </c>
      <c r="B517" t="s">
        <v>30</v>
      </c>
      <c r="C517" t="s">
        <v>31</v>
      </c>
      <c r="D517" t="s">
        <v>32</v>
      </c>
      <c r="E517" t="s">
        <v>25</v>
      </c>
      <c r="F517" s="7">
        <v>4331160</v>
      </c>
      <c r="G517" t="s">
        <v>1164</v>
      </c>
      <c r="H517" s="5">
        <v>34745</v>
      </c>
      <c r="I517" s="12">
        <v>45991</v>
      </c>
      <c r="J517" s="15">
        <v>60</v>
      </c>
      <c r="K517" s="15">
        <v>10</v>
      </c>
      <c r="L517" s="9">
        <v>0.12809999999999999</v>
      </c>
      <c r="M517" s="9">
        <v>5.91E-2</v>
      </c>
      <c r="N517" s="15">
        <v>8</v>
      </c>
      <c r="O517" t="s">
        <v>27</v>
      </c>
      <c r="P517" t="s">
        <v>28</v>
      </c>
      <c r="Q517" s="24">
        <v>0.9</v>
      </c>
      <c r="R517" s="5">
        <f t="shared" si="48"/>
        <v>731.64402739726017</v>
      </c>
      <c r="S517" s="5">
        <f t="shared" si="49"/>
        <v>45.006673972602741</v>
      </c>
      <c r="T517" s="5">
        <f t="shared" si="50"/>
        <v>686.63735342465748</v>
      </c>
      <c r="U517" s="15">
        <f t="shared" si="51"/>
        <v>52</v>
      </c>
      <c r="V517" s="3">
        <f t="shared" si="52"/>
        <v>2157.6644999999999</v>
      </c>
      <c r="W517" s="3">
        <f t="shared" si="53"/>
        <v>516</v>
      </c>
    </row>
    <row r="518" spans="1:23" x14ac:dyDescent="0.2">
      <c r="A518" t="s">
        <v>68</v>
      </c>
      <c r="B518" t="s">
        <v>69</v>
      </c>
      <c r="C518" t="s">
        <v>36</v>
      </c>
      <c r="D518" t="s">
        <v>37</v>
      </c>
      <c r="E518" t="s">
        <v>25</v>
      </c>
      <c r="F518" s="7">
        <v>3469396</v>
      </c>
      <c r="G518" t="s">
        <v>893</v>
      </c>
      <c r="H518" s="5">
        <v>32220</v>
      </c>
      <c r="I518" s="12">
        <v>45907</v>
      </c>
      <c r="J518" s="15">
        <v>45</v>
      </c>
      <c r="K518" s="15">
        <v>10</v>
      </c>
      <c r="L518" s="9">
        <v>0.1216</v>
      </c>
      <c r="M518" s="9">
        <v>4.7500000000000001E-2</v>
      </c>
      <c r="N518" s="15">
        <v>5</v>
      </c>
      <c r="O518" t="s">
        <v>28</v>
      </c>
      <c r="P518" t="s">
        <v>28</v>
      </c>
      <c r="Q518" s="24">
        <v>0.9</v>
      </c>
      <c r="R518" s="5">
        <f t="shared" si="48"/>
        <v>483.03517808219175</v>
      </c>
      <c r="S518" s="5">
        <f t="shared" si="49"/>
        <v>20.965068493150685</v>
      </c>
      <c r="T518" s="5">
        <f t="shared" si="50"/>
        <v>462.07010958904107</v>
      </c>
      <c r="U518" s="15">
        <f t="shared" si="51"/>
        <v>40</v>
      </c>
      <c r="V518" s="3">
        <f t="shared" si="52"/>
        <v>2148.7518</v>
      </c>
      <c r="W518" s="3">
        <f t="shared" si="53"/>
        <v>517</v>
      </c>
    </row>
    <row r="519" spans="1:23" x14ac:dyDescent="0.2">
      <c r="A519" t="s">
        <v>303</v>
      </c>
      <c r="B519" t="s">
        <v>304</v>
      </c>
      <c r="C519" t="s">
        <v>36</v>
      </c>
      <c r="D519" t="s">
        <v>66</v>
      </c>
      <c r="E519" t="s">
        <v>56</v>
      </c>
      <c r="F519" s="7">
        <v>11641644</v>
      </c>
      <c r="G519" t="s">
        <v>524</v>
      </c>
      <c r="H519" s="5">
        <v>104367</v>
      </c>
      <c r="I519" s="12">
        <v>45860</v>
      </c>
      <c r="J519" s="15">
        <v>60</v>
      </c>
      <c r="K519" s="15">
        <v>2</v>
      </c>
      <c r="L519" s="9">
        <v>9.0399999999999994E-2</v>
      </c>
      <c r="M519" s="9">
        <v>4.9299999999999997E-2</v>
      </c>
      <c r="N519" s="15">
        <v>7</v>
      </c>
      <c r="O519" t="s">
        <v>28</v>
      </c>
      <c r="P519" t="s">
        <v>28</v>
      </c>
      <c r="Q519" s="24">
        <v>0.5</v>
      </c>
      <c r="R519" s="5">
        <f t="shared" si="48"/>
        <v>1550.92221369863</v>
      </c>
      <c r="S519" s="5">
        <f t="shared" si="49"/>
        <v>98.676853972602743</v>
      </c>
      <c r="T519" s="5">
        <f t="shared" si="50"/>
        <v>1452.2453597260273</v>
      </c>
      <c r="U519" s="15">
        <f t="shared" si="51"/>
        <v>53</v>
      </c>
      <c r="V519" s="3">
        <f t="shared" si="52"/>
        <v>2144.7418499999999</v>
      </c>
      <c r="W519" s="3">
        <f t="shared" si="53"/>
        <v>518</v>
      </c>
    </row>
    <row r="520" spans="1:23" x14ac:dyDescent="0.2">
      <c r="A520" t="s">
        <v>421</v>
      </c>
      <c r="B520" t="s">
        <v>422</v>
      </c>
      <c r="C520" t="s">
        <v>41</v>
      </c>
      <c r="D520" t="s">
        <v>66</v>
      </c>
      <c r="E520" t="s">
        <v>56</v>
      </c>
      <c r="F520" s="7">
        <v>13972206</v>
      </c>
      <c r="G520" t="s">
        <v>423</v>
      </c>
      <c r="H520" s="5">
        <v>97332</v>
      </c>
      <c r="I520" s="12">
        <v>45748</v>
      </c>
      <c r="J520" s="15">
        <v>90</v>
      </c>
      <c r="K520" s="15">
        <v>3</v>
      </c>
      <c r="L520" s="9">
        <v>9.5000000000000001E-2</v>
      </c>
      <c r="M520" s="9">
        <v>5.0999999999999997E-2</v>
      </c>
      <c r="N520" s="15">
        <v>10</v>
      </c>
      <c r="O520" t="s">
        <v>27</v>
      </c>
      <c r="P520" t="s">
        <v>28</v>
      </c>
      <c r="Q520" s="24">
        <v>0.5</v>
      </c>
      <c r="R520" s="5">
        <f t="shared" si="48"/>
        <v>2279.9687671232878</v>
      </c>
      <c r="S520" s="5">
        <f t="shared" si="49"/>
        <v>135.99813698630135</v>
      </c>
      <c r="T520" s="5">
        <f t="shared" si="50"/>
        <v>2143.9706301369865</v>
      </c>
      <c r="U520" s="15">
        <f t="shared" si="51"/>
        <v>80</v>
      </c>
      <c r="V520" s="3">
        <f t="shared" si="52"/>
        <v>2141.3040000000001</v>
      </c>
      <c r="W520" s="3">
        <f t="shared" si="53"/>
        <v>519</v>
      </c>
    </row>
    <row r="521" spans="1:23" x14ac:dyDescent="0.2">
      <c r="A521" t="s">
        <v>201</v>
      </c>
      <c r="B521" t="s">
        <v>76</v>
      </c>
      <c r="C521" t="s">
        <v>23</v>
      </c>
      <c r="D521" t="s">
        <v>37</v>
      </c>
      <c r="E521" t="s">
        <v>56</v>
      </c>
      <c r="F521" s="7">
        <v>21198154</v>
      </c>
      <c r="G521" t="s">
        <v>972</v>
      </c>
      <c r="H521" s="5">
        <v>72031</v>
      </c>
      <c r="I521" s="12">
        <v>45848</v>
      </c>
      <c r="J521" s="15">
        <v>60</v>
      </c>
      <c r="K521" s="15">
        <v>3</v>
      </c>
      <c r="L521" s="9">
        <v>0.1086</v>
      </c>
      <c r="M521" s="9">
        <v>6.3E-2</v>
      </c>
      <c r="N521" s="15">
        <v>7</v>
      </c>
      <c r="O521" t="s">
        <v>28</v>
      </c>
      <c r="P521" t="s">
        <v>28</v>
      </c>
      <c r="Q521" s="24">
        <v>0.65</v>
      </c>
      <c r="R521" s="5">
        <f t="shared" si="48"/>
        <v>1285.9013589041094</v>
      </c>
      <c r="S521" s="5">
        <f t="shared" si="49"/>
        <v>87.02923561643837</v>
      </c>
      <c r="T521" s="5">
        <f t="shared" si="50"/>
        <v>1198.872123287671</v>
      </c>
      <c r="U521" s="15">
        <f t="shared" si="51"/>
        <v>53</v>
      </c>
      <c r="V521" s="3">
        <f t="shared" si="52"/>
        <v>2134.9988400000002</v>
      </c>
      <c r="W521" s="3">
        <f t="shared" si="53"/>
        <v>520</v>
      </c>
    </row>
    <row r="522" spans="1:23" x14ac:dyDescent="0.2">
      <c r="A522" t="s">
        <v>434</v>
      </c>
      <c r="B522" t="s">
        <v>335</v>
      </c>
      <c r="C522" t="s">
        <v>31</v>
      </c>
      <c r="D522" t="s">
        <v>66</v>
      </c>
      <c r="E522" t="s">
        <v>49</v>
      </c>
      <c r="F522" s="7">
        <v>303851</v>
      </c>
      <c r="G522" t="s">
        <v>1338</v>
      </c>
      <c r="H522" s="5">
        <v>19536</v>
      </c>
      <c r="I522" s="12">
        <v>45753</v>
      </c>
      <c r="J522" s="15">
        <v>60</v>
      </c>
      <c r="K522" s="15">
        <v>7</v>
      </c>
      <c r="L522" s="9">
        <v>0.17499999999999999</v>
      </c>
      <c r="M522" s="9">
        <v>5.4199999999999998E-2</v>
      </c>
      <c r="N522" s="15">
        <v>7</v>
      </c>
      <c r="O522" t="s">
        <v>27</v>
      </c>
      <c r="P522" t="s">
        <v>28</v>
      </c>
      <c r="Q522" s="24">
        <v>0.9</v>
      </c>
      <c r="R522" s="5">
        <f t="shared" si="48"/>
        <v>561.99452054794517</v>
      </c>
      <c r="S522" s="5">
        <f t="shared" si="49"/>
        <v>20.306735342465757</v>
      </c>
      <c r="T522" s="5">
        <f t="shared" si="50"/>
        <v>541.68778520547937</v>
      </c>
      <c r="U522" s="15">
        <f t="shared" si="51"/>
        <v>53</v>
      </c>
      <c r="V522" s="3">
        <f t="shared" si="52"/>
        <v>2123.9539199999999</v>
      </c>
      <c r="W522" s="3">
        <f t="shared" si="53"/>
        <v>521</v>
      </c>
    </row>
    <row r="523" spans="1:23" x14ac:dyDescent="0.2">
      <c r="A523" t="s">
        <v>149</v>
      </c>
      <c r="B523" t="s">
        <v>30</v>
      </c>
      <c r="C523" t="s">
        <v>77</v>
      </c>
      <c r="D523" t="s">
        <v>66</v>
      </c>
      <c r="E523" t="s">
        <v>25</v>
      </c>
      <c r="F523" s="7">
        <v>3553623</v>
      </c>
      <c r="G523" t="s">
        <v>1190</v>
      </c>
      <c r="H523" s="5">
        <v>103066</v>
      </c>
      <c r="I523" s="12">
        <v>45973</v>
      </c>
      <c r="J523" s="15">
        <v>60</v>
      </c>
      <c r="K523" s="15">
        <v>5</v>
      </c>
      <c r="L523" s="9">
        <v>9.8199999999999996E-2</v>
      </c>
      <c r="M523" s="9">
        <v>5.7000000000000002E-2</v>
      </c>
      <c r="N523" s="15">
        <v>7</v>
      </c>
      <c r="O523" t="s">
        <v>27</v>
      </c>
      <c r="P523" t="s">
        <v>28</v>
      </c>
      <c r="Q523" s="24">
        <v>0.5</v>
      </c>
      <c r="R523" s="5">
        <f t="shared" si="48"/>
        <v>1663.7393753424653</v>
      </c>
      <c r="S523" s="5">
        <f t="shared" si="49"/>
        <v>112.66666849315071</v>
      </c>
      <c r="T523" s="5">
        <f t="shared" si="50"/>
        <v>1551.0727068493147</v>
      </c>
      <c r="U523" s="15">
        <f t="shared" si="51"/>
        <v>53</v>
      </c>
      <c r="V523" s="3">
        <f t="shared" si="52"/>
        <v>2123.1595999999995</v>
      </c>
      <c r="W523" s="3">
        <f t="shared" si="53"/>
        <v>522</v>
      </c>
    </row>
    <row r="524" spans="1:23" x14ac:dyDescent="0.2">
      <c r="A524" t="s">
        <v>46</v>
      </c>
      <c r="B524" t="s">
        <v>47</v>
      </c>
      <c r="C524" t="s">
        <v>23</v>
      </c>
      <c r="D524" t="s">
        <v>48</v>
      </c>
      <c r="E524" t="s">
        <v>49</v>
      </c>
      <c r="F524" s="7">
        <v>372648</v>
      </c>
      <c r="G524" t="s">
        <v>1737</v>
      </c>
      <c r="H524" s="5">
        <v>46834</v>
      </c>
      <c r="I524" s="12">
        <v>45689</v>
      </c>
      <c r="J524" s="15">
        <v>60</v>
      </c>
      <c r="K524" s="15">
        <v>2</v>
      </c>
      <c r="L524" s="9">
        <v>0.15049999999999999</v>
      </c>
      <c r="M524" s="9">
        <v>5.9900000000000002E-2</v>
      </c>
      <c r="N524" s="15">
        <v>5</v>
      </c>
      <c r="O524" t="s">
        <v>27</v>
      </c>
      <c r="P524" t="s">
        <v>28</v>
      </c>
      <c r="Q524" s="24">
        <v>0.5</v>
      </c>
      <c r="R524" s="5">
        <f t="shared" si="48"/>
        <v>1158.6603287671232</v>
      </c>
      <c r="S524" s="5">
        <f t="shared" si="49"/>
        <v>38.429542465753421</v>
      </c>
      <c r="T524" s="5">
        <f t="shared" si="50"/>
        <v>1120.2307863013698</v>
      </c>
      <c r="U524" s="15">
        <f t="shared" si="51"/>
        <v>55</v>
      </c>
      <c r="V524" s="3">
        <f t="shared" si="52"/>
        <v>2121.5801999999999</v>
      </c>
      <c r="W524" s="3">
        <f t="shared" si="53"/>
        <v>523</v>
      </c>
    </row>
    <row r="525" spans="1:23" x14ac:dyDescent="0.2">
      <c r="A525" t="s">
        <v>79</v>
      </c>
      <c r="B525" t="s">
        <v>80</v>
      </c>
      <c r="C525" t="s">
        <v>31</v>
      </c>
      <c r="D525" t="s">
        <v>32</v>
      </c>
      <c r="E525" t="s">
        <v>25</v>
      </c>
      <c r="F525" s="7">
        <v>1969242</v>
      </c>
      <c r="G525" t="s">
        <v>1407</v>
      </c>
      <c r="H525" s="5">
        <v>77564</v>
      </c>
      <c r="I525" s="12">
        <v>46037</v>
      </c>
      <c r="J525" s="15">
        <v>45</v>
      </c>
      <c r="K525" s="15">
        <v>5</v>
      </c>
      <c r="L525" s="9">
        <v>0.10150000000000001</v>
      </c>
      <c r="M525" s="9">
        <v>5.9499999999999997E-2</v>
      </c>
      <c r="N525" s="15">
        <v>6</v>
      </c>
      <c r="O525" t="s">
        <v>27</v>
      </c>
      <c r="P525" t="s">
        <v>28</v>
      </c>
      <c r="Q525" s="24">
        <v>0.65</v>
      </c>
      <c r="R525" s="5">
        <f t="shared" si="48"/>
        <v>970.61252054794511</v>
      </c>
      <c r="S525" s="5">
        <f t="shared" si="49"/>
        <v>75.863967123287665</v>
      </c>
      <c r="T525" s="5">
        <f t="shared" si="50"/>
        <v>894.74855342465742</v>
      </c>
      <c r="U525" s="15">
        <f t="shared" si="51"/>
        <v>39</v>
      </c>
      <c r="V525" s="3">
        <f t="shared" si="52"/>
        <v>2117.4972000000007</v>
      </c>
      <c r="W525" s="3">
        <f t="shared" si="53"/>
        <v>524</v>
      </c>
    </row>
    <row r="526" spans="1:23" x14ac:dyDescent="0.2">
      <c r="A526" t="s">
        <v>654</v>
      </c>
      <c r="B526" t="s">
        <v>110</v>
      </c>
      <c r="C526" t="s">
        <v>23</v>
      </c>
      <c r="D526" t="s">
        <v>66</v>
      </c>
      <c r="E526" t="s">
        <v>25</v>
      </c>
      <c r="F526" s="7">
        <v>6809493</v>
      </c>
      <c r="G526" t="s">
        <v>1236</v>
      </c>
      <c r="H526" s="5">
        <v>40399</v>
      </c>
      <c r="I526" s="12">
        <v>45986</v>
      </c>
      <c r="J526" s="15">
        <v>60</v>
      </c>
      <c r="K526" s="15">
        <v>10</v>
      </c>
      <c r="L526" s="9">
        <v>0.121</v>
      </c>
      <c r="M526" s="9">
        <v>5.5599999999999997E-2</v>
      </c>
      <c r="N526" s="15">
        <v>8</v>
      </c>
      <c r="O526" t="s">
        <v>27</v>
      </c>
      <c r="P526" t="s">
        <v>28</v>
      </c>
      <c r="Q526" s="24">
        <v>0.8</v>
      </c>
      <c r="R526" s="5">
        <f t="shared" si="48"/>
        <v>803.55271232876703</v>
      </c>
      <c r="S526" s="5">
        <f t="shared" si="49"/>
        <v>49.231438904109581</v>
      </c>
      <c r="T526" s="5">
        <f t="shared" si="50"/>
        <v>754.32127342465742</v>
      </c>
      <c r="U526" s="15">
        <f t="shared" si="51"/>
        <v>52</v>
      </c>
      <c r="V526" s="3">
        <f t="shared" si="52"/>
        <v>2113.6756800000003</v>
      </c>
      <c r="W526" s="3">
        <f t="shared" si="53"/>
        <v>525</v>
      </c>
    </row>
    <row r="527" spans="1:23" x14ac:dyDescent="0.2">
      <c r="A527" t="s">
        <v>427</v>
      </c>
      <c r="B527" t="s">
        <v>352</v>
      </c>
      <c r="C527" t="s">
        <v>77</v>
      </c>
      <c r="D527" t="s">
        <v>48</v>
      </c>
      <c r="E527" t="s">
        <v>25</v>
      </c>
      <c r="F527" s="7">
        <v>3836607</v>
      </c>
      <c r="G527" t="s">
        <v>1750</v>
      </c>
      <c r="H527" s="5">
        <v>60600</v>
      </c>
      <c r="I527" s="12">
        <v>46048</v>
      </c>
      <c r="J527" s="15">
        <v>45</v>
      </c>
      <c r="K527" s="15">
        <v>4</v>
      </c>
      <c r="L527" s="9">
        <v>0.11310000000000001</v>
      </c>
      <c r="M527" s="9">
        <v>5.9499999999999997E-2</v>
      </c>
      <c r="N527" s="15">
        <v>7</v>
      </c>
      <c r="O527" t="s">
        <v>27</v>
      </c>
      <c r="P527" t="s">
        <v>28</v>
      </c>
      <c r="Q527" s="24">
        <v>0.65</v>
      </c>
      <c r="R527" s="5">
        <f t="shared" si="48"/>
        <v>844.99643835616439</v>
      </c>
      <c r="S527" s="5">
        <f t="shared" si="49"/>
        <v>69.150410958904104</v>
      </c>
      <c r="T527" s="5">
        <f t="shared" si="50"/>
        <v>775.84602739726029</v>
      </c>
      <c r="U527" s="15">
        <f t="shared" si="51"/>
        <v>38</v>
      </c>
      <c r="V527" s="3">
        <f t="shared" si="52"/>
        <v>2111.3040000000005</v>
      </c>
      <c r="W527" s="3">
        <f t="shared" si="53"/>
        <v>526</v>
      </c>
    </row>
    <row r="528" spans="1:23" x14ac:dyDescent="0.2">
      <c r="A528" t="s">
        <v>415</v>
      </c>
      <c r="B528" t="s">
        <v>416</v>
      </c>
      <c r="C528" t="s">
        <v>31</v>
      </c>
      <c r="D528" t="s">
        <v>66</v>
      </c>
      <c r="E528" t="s">
        <v>49</v>
      </c>
      <c r="F528" s="7">
        <v>1241903</v>
      </c>
      <c r="G528" t="s">
        <v>1192</v>
      </c>
      <c r="H528" s="5">
        <v>41232</v>
      </c>
      <c r="I528" s="12">
        <v>46071</v>
      </c>
      <c r="J528" s="15">
        <v>60</v>
      </c>
      <c r="K528" s="15">
        <v>5</v>
      </c>
      <c r="L528" s="9">
        <v>0.15939999999999999</v>
      </c>
      <c r="M528" s="9">
        <v>5.7500000000000002E-2</v>
      </c>
      <c r="N528" s="15">
        <v>6</v>
      </c>
      <c r="O528" t="s">
        <v>27</v>
      </c>
      <c r="P528" t="s">
        <v>28</v>
      </c>
      <c r="Q528" s="24">
        <v>0.5</v>
      </c>
      <c r="R528" s="5">
        <f t="shared" si="48"/>
        <v>1080.3913643835615</v>
      </c>
      <c r="S528" s="5">
        <f t="shared" si="49"/>
        <v>38.972712328767123</v>
      </c>
      <c r="T528" s="5">
        <f t="shared" si="50"/>
        <v>1041.4186520547944</v>
      </c>
      <c r="U528" s="15">
        <f t="shared" si="51"/>
        <v>54</v>
      </c>
      <c r="V528" s="3">
        <f t="shared" si="52"/>
        <v>2100.7703999999999</v>
      </c>
      <c r="W528" s="3">
        <f t="shared" si="53"/>
        <v>527</v>
      </c>
    </row>
    <row r="529" spans="1:23" x14ac:dyDescent="0.2">
      <c r="A529" t="s">
        <v>226</v>
      </c>
      <c r="B529" t="s">
        <v>59</v>
      </c>
      <c r="C529" t="s">
        <v>77</v>
      </c>
      <c r="D529" t="s">
        <v>66</v>
      </c>
      <c r="E529" t="s">
        <v>25</v>
      </c>
      <c r="F529" s="7">
        <v>3501061</v>
      </c>
      <c r="G529" t="s">
        <v>1441</v>
      </c>
      <c r="H529" s="5">
        <v>96523</v>
      </c>
      <c r="I529" s="12">
        <v>45995</v>
      </c>
      <c r="J529" s="15">
        <v>60</v>
      </c>
      <c r="K529" s="15">
        <v>10</v>
      </c>
      <c r="L529" s="9">
        <v>9.6299999999999997E-2</v>
      </c>
      <c r="M529" s="9">
        <v>5.2900000000000003E-2</v>
      </c>
      <c r="N529" s="15">
        <v>7</v>
      </c>
      <c r="O529" t="s">
        <v>27</v>
      </c>
      <c r="P529" t="s">
        <v>28</v>
      </c>
      <c r="Q529" s="24">
        <v>0.5</v>
      </c>
      <c r="R529" s="5">
        <f t="shared" si="48"/>
        <v>1527.972312328767</v>
      </c>
      <c r="S529" s="5">
        <f t="shared" si="49"/>
        <v>97.924566849315084</v>
      </c>
      <c r="T529" s="5">
        <f t="shared" si="50"/>
        <v>1430.0477454794518</v>
      </c>
      <c r="U529" s="15">
        <f t="shared" si="51"/>
        <v>53</v>
      </c>
      <c r="V529" s="3">
        <f t="shared" si="52"/>
        <v>2094.5490999999997</v>
      </c>
      <c r="W529" s="3">
        <f t="shared" si="53"/>
        <v>528</v>
      </c>
    </row>
    <row r="530" spans="1:23" x14ac:dyDescent="0.2">
      <c r="A530" t="s">
        <v>513</v>
      </c>
      <c r="B530" t="s">
        <v>245</v>
      </c>
      <c r="C530" t="s">
        <v>36</v>
      </c>
      <c r="D530" t="s">
        <v>66</v>
      </c>
      <c r="E530" t="s">
        <v>25</v>
      </c>
      <c r="F530" s="7">
        <v>1884403</v>
      </c>
      <c r="G530" t="s">
        <v>1304</v>
      </c>
      <c r="H530" s="5">
        <v>31473</v>
      </c>
      <c r="I530" s="12">
        <v>45963</v>
      </c>
      <c r="J530" s="15">
        <v>60</v>
      </c>
      <c r="K530" s="15">
        <v>5</v>
      </c>
      <c r="L530" s="9">
        <v>0.1231</v>
      </c>
      <c r="M530" s="9">
        <v>4.99E-2</v>
      </c>
      <c r="N530" s="15">
        <v>5</v>
      </c>
      <c r="O530" t="s">
        <v>28</v>
      </c>
      <c r="P530" t="s">
        <v>28</v>
      </c>
      <c r="Q530" s="24">
        <v>0.9</v>
      </c>
      <c r="R530" s="5">
        <f t="shared" si="48"/>
        <v>636.87555616438351</v>
      </c>
      <c r="S530" s="5">
        <f t="shared" si="49"/>
        <v>21.513735616438353</v>
      </c>
      <c r="T530" s="5">
        <f t="shared" si="50"/>
        <v>615.36182054794517</v>
      </c>
      <c r="U530" s="15">
        <f t="shared" si="51"/>
        <v>55</v>
      </c>
      <c r="V530" s="3">
        <f t="shared" si="52"/>
        <v>2073.4412400000001</v>
      </c>
      <c r="W530" s="3">
        <f t="shared" si="53"/>
        <v>529</v>
      </c>
    </row>
    <row r="531" spans="1:23" x14ac:dyDescent="0.2">
      <c r="A531" t="s">
        <v>401</v>
      </c>
      <c r="B531" t="s">
        <v>402</v>
      </c>
      <c r="C531" t="s">
        <v>41</v>
      </c>
      <c r="D531" t="s">
        <v>32</v>
      </c>
      <c r="E531" t="s">
        <v>25</v>
      </c>
      <c r="F531" s="7">
        <v>4153903</v>
      </c>
      <c r="G531" t="s">
        <v>824</v>
      </c>
      <c r="H531" s="5">
        <v>31073</v>
      </c>
      <c r="I531" s="12">
        <v>46078</v>
      </c>
      <c r="J531" s="15">
        <v>60</v>
      </c>
      <c r="K531" s="15">
        <v>4</v>
      </c>
      <c r="L531" s="9">
        <v>0.13669999999999999</v>
      </c>
      <c r="M531" s="9">
        <v>6.2600000000000003E-2</v>
      </c>
      <c r="N531" s="15">
        <v>8</v>
      </c>
      <c r="O531" t="s">
        <v>27</v>
      </c>
      <c r="P531" t="s">
        <v>28</v>
      </c>
      <c r="Q531" s="24">
        <v>0.9</v>
      </c>
      <c r="R531" s="5">
        <f t="shared" si="48"/>
        <v>698.24861917808209</v>
      </c>
      <c r="S531" s="5">
        <f t="shared" si="49"/>
        <v>42.633858630136992</v>
      </c>
      <c r="T531" s="5">
        <f t="shared" si="50"/>
        <v>655.61476054794514</v>
      </c>
      <c r="U531" s="15">
        <f t="shared" si="51"/>
        <v>52</v>
      </c>
      <c r="V531" s="3">
        <f t="shared" si="52"/>
        <v>2072.2583699999996</v>
      </c>
      <c r="W531" s="3">
        <f t="shared" si="53"/>
        <v>530</v>
      </c>
    </row>
    <row r="532" spans="1:23" x14ac:dyDescent="0.2">
      <c r="A532" t="s">
        <v>382</v>
      </c>
      <c r="B532" t="s">
        <v>383</v>
      </c>
      <c r="C532" t="s">
        <v>41</v>
      </c>
      <c r="D532" t="s">
        <v>32</v>
      </c>
      <c r="E532" t="s">
        <v>25</v>
      </c>
      <c r="F532" s="7">
        <v>3772612</v>
      </c>
      <c r="G532" t="s">
        <v>763</v>
      </c>
      <c r="H532" s="5">
        <v>93962</v>
      </c>
      <c r="I532" s="12">
        <v>45869</v>
      </c>
      <c r="J532" s="15">
        <v>45</v>
      </c>
      <c r="K532" s="15">
        <v>7</v>
      </c>
      <c r="L532" s="9">
        <v>0.1053</v>
      </c>
      <c r="M532" s="9">
        <v>6.1199999999999997E-2</v>
      </c>
      <c r="N532" s="15">
        <v>7</v>
      </c>
      <c r="O532" t="s">
        <v>27</v>
      </c>
      <c r="P532" t="s">
        <v>28</v>
      </c>
      <c r="Q532" s="24">
        <v>0.5</v>
      </c>
      <c r="R532" s="5">
        <f t="shared" si="48"/>
        <v>1219.832704109589</v>
      </c>
      <c r="S532" s="5">
        <f t="shared" si="49"/>
        <v>110.28307068493152</v>
      </c>
      <c r="T532" s="5">
        <f t="shared" si="50"/>
        <v>1109.5496334246575</v>
      </c>
      <c r="U532" s="15">
        <f t="shared" si="51"/>
        <v>38</v>
      </c>
      <c r="V532" s="3">
        <f t="shared" si="52"/>
        <v>2071.8621000000003</v>
      </c>
      <c r="W532" s="3">
        <f t="shared" si="53"/>
        <v>531</v>
      </c>
    </row>
    <row r="533" spans="1:23" x14ac:dyDescent="0.2">
      <c r="A533" t="s">
        <v>501</v>
      </c>
      <c r="B533" t="s">
        <v>502</v>
      </c>
      <c r="C533" t="s">
        <v>23</v>
      </c>
      <c r="D533" t="s">
        <v>32</v>
      </c>
      <c r="E533" t="s">
        <v>49</v>
      </c>
      <c r="F533" s="7">
        <v>412494</v>
      </c>
      <c r="G533" t="s">
        <v>1755</v>
      </c>
      <c r="H533" s="5">
        <v>98431</v>
      </c>
      <c r="I533" s="12">
        <v>45709</v>
      </c>
      <c r="J533" s="15">
        <v>60</v>
      </c>
      <c r="K533" s="15">
        <v>10</v>
      </c>
      <c r="L533" s="9">
        <v>0.15989999999999999</v>
      </c>
      <c r="M533" s="9">
        <v>5.4699999999999999E-2</v>
      </c>
      <c r="N533" s="15">
        <v>7</v>
      </c>
      <c r="O533" t="s">
        <v>27</v>
      </c>
      <c r="P533" t="s">
        <v>28</v>
      </c>
      <c r="Q533" s="24">
        <v>0.2</v>
      </c>
      <c r="R533" s="5">
        <f t="shared" si="48"/>
        <v>2587.2520931506847</v>
      </c>
      <c r="S533" s="5">
        <f t="shared" si="49"/>
        <v>103.25816410958905</v>
      </c>
      <c r="T533" s="5">
        <f t="shared" si="50"/>
        <v>2483.9939290410957</v>
      </c>
      <c r="U533" s="15">
        <f t="shared" si="51"/>
        <v>53</v>
      </c>
      <c r="V533" s="3">
        <f t="shared" si="52"/>
        <v>2070.9882400000001</v>
      </c>
      <c r="W533" s="3">
        <f t="shared" si="53"/>
        <v>532</v>
      </c>
    </row>
    <row r="534" spans="1:23" x14ac:dyDescent="0.2">
      <c r="A534" t="s">
        <v>105</v>
      </c>
      <c r="B534" t="s">
        <v>106</v>
      </c>
      <c r="C534" t="s">
        <v>41</v>
      </c>
      <c r="D534" t="s">
        <v>66</v>
      </c>
      <c r="E534" t="s">
        <v>49</v>
      </c>
      <c r="F534" s="7">
        <v>1373788</v>
      </c>
      <c r="G534" t="s">
        <v>1621</v>
      </c>
      <c r="H534" s="5">
        <v>22030</v>
      </c>
      <c r="I534" s="12">
        <v>45967</v>
      </c>
      <c r="J534" s="15">
        <v>30</v>
      </c>
      <c r="K534" s="15">
        <v>10</v>
      </c>
      <c r="L534" s="9">
        <v>0.17660000000000001</v>
      </c>
      <c r="M534" s="9">
        <v>5.91E-2</v>
      </c>
      <c r="N534" s="15">
        <v>8</v>
      </c>
      <c r="O534" t="s">
        <v>28</v>
      </c>
      <c r="P534" t="s">
        <v>28</v>
      </c>
      <c r="Q534" s="24">
        <v>0.8</v>
      </c>
      <c r="R534" s="5">
        <f t="shared" si="48"/>
        <v>319.76695890410957</v>
      </c>
      <c r="S534" s="5">
        <f t="shared" si="49"/>
        <v>28.536394520547944</v>
      </c>
      <c r="T534" s="5">
        <f t="shared" si="50"/>
        <v>291.23056438356161</v>
      </c>
      <c r="U534" s="15">
        <f t="shared" si="51"/>
        <v>22</v>
      </c>
      <c r="V534" s="3">
        <f t="shared" si="52"/>
        <v>2070.8200000000002</v>
      </c>
      <c r="W534" s="3">
        <f t="shared" si="53"/>
        <v>533</v>
      </c>
    </row>
    <row r="535" spans="1:23" x14ac:dyDescent="0.2">
      <c r="A535" t="s">
        <v>201</v>
      </c>
      <c r="B535" t="s">
        <v>76</v>
      </c>
      <c r="C535" t="s">
        <v>23</v>
      </c>
      <c r="D535" t="s">
        <v>37</v>
      </c>
      <c r="E535" t="s">
        <v>56</v>
      </c>
      <c r="F535" s="7">
        <v>21198154</v>
      </c>
      <c r="G535" t="s">
        <v>202</v>
      </c>
      <c r="H535" s="5">
        <v>66874</v>
      </c>
      <c r="I535" s="12">
        <v>45848</v>
      </c>
      <c r="J535" s="15">
        <v>90</v>
      </c>
      <c r="K535" s="15">
        <v>3</v>
      </c>
      <c r="L535" s="9">
        <v>0.1086</v>
      </c>
      <c r="M535" s="9">
        <v>6.0999999999999999E-2</v>
      </c>
      <c r="N535" s="15">
        <v>6</v>
      </c>
      <c r="O535" t="s">
        <v>27</v>
      </c>
      <c r="P535" t="s">
        <v>28</v>
      </c>
      <c r="Q535" s="24">
        <v>0.65</v>
      </c>
      <c r="R535" s="5">
        <f t="shared" si="48"/>
        <v>1790.7574684931508</v>
      </c>
      <c r="S535" s="5">
        <f t="shared" si="49"/>
        <v>67.05721643835615</v>
      </c>
      <c r="T535" s="5">
        <f t="shared" si="50"/>
        <v>1723.7002520547946</v>
      </c>
      <c r="U535" s="15">
        <f t="shared" si="51"/>
        <v>84</v>
      </c>
      <c r="V535" s="3">
        <f t="shared" si="52"/>
        <v>2069.0815600000001</v>
      </c>
      <c r="W535" s="3">
        <f t="shared" si="53"/>
        <v>534</v>
      </c>
    </row>
    <row r="536" spans="1:23" x14ac:dyDescent="0.2">
      <c r="A536" t="s">
        <v>725</v>
      </c>
      <c r="B536" t="s">
        <v>47</v>
      </c>
      <c r="C536" t="s">
        <v>36</v>
      </c>
      <c r="D536" t="s">
        <v>48</v>
      </c>
      <c r="E536" t="s">
        <v>25</v>
      </c>
      <c r="F536" s="7">
        <v>6127831</v>
      </c>
      <c r="G536" t="s">
        <v>726</v>
      </c>
      <c r="H536" s="5">
        <v>37496</v>
      </c>
      <c r="I536" s="12">
        <v>45695</v>
      </c>
      <c r="J536" s="15">
        <v>60</v>
      </c>
      <c r="K536" s="15">
        <v>5</v>
      </c>
      <c r="L536" s="9">
        <v>0.12529999999999999</v>
      </c>
      <c r="M536" s="9">
        <v>5.6500000000000002E-2</v>
      </c>
      <c r="N536" s="15">
        <v>7</v>
      </c>
      <c r="O536" t="s">
        <v>28</v>
      </c>
      <c r="P536" t="s">
        <v>28</v>
      </c>
      <c r="Q536" s="24">
        <v>0.8</v>
      </c>
      <c r="R536" s="5">
        <f t="shared" si="48"/>
        <v>772.31487123287661</v>
      </c>
      <c r="S536" s="5">
        <f t="shared" si="49"/>
        <v>40.629227397260273</v>
      </c>
      <c r="T536" s="5">
        <f t="shared" si="50"/>
        <v>731.68564383561636</v>
      </c>
      <c r="U536" s="15">
        <f t="shared" si="51"/>
        <v>53</v>
      </c>
      <c r="V536" s="3">
        <f t="shared" si="52"/>
        <v>2063.7798400000001</v>
      </c>
      <c r="W536" s="3">
        <f t="shared" si="53"/>
        <v>535</v>
      </c>
    </row>
    <row r="537" spans="1:23" x14ac:dyDescent="0.2">
      <c r="A537" t="s">
        <v>189</v>
      </c>
      <c r="B537" t="s">
        <v>190</v>
      </c>
      <c r="C537" t="s">
        <v>36</v>
      </c>
      <c r="D537" t="s">
        <v>37</v>
      </c>
      <c r="E537" t="s">
        <v>49</v>
      </c>
      <c r="F537" s="7">
        <v>965613</v>
      </c>
      <c r="G537" t="s">
        <v>516</v>
      </c>
      <c r="H537" s="5">
        <v>63688</v>
      </c>
      <c r="I537" s="12">
        <v>46068</v>
      </c>
      <c r="J537" s="15">
        <v>30</v>
      </c>
      <c r="K537" s="15">
        <v>7</v>
      </c>
      <c r="L537" s="9">
        <v>0.1109</v>
      </c>
      <c r="M537" s="9">
        <v>4.6199999999999998E-2</v>
      </c>
      <c r="N537" s="15">
        <v>6</v>
      </c>
      <c r="O537" t="s">
        <v>28</v>
      </c>
      <c r="P537" t="s">
        <v>28</v>
      </c>
      <c r="Q537" s="24">
        <v>0.5</v>
      </c>
      <c r="R537" s="5">
        <f t="shared" si="48"/>
        <v>580.52048219178084</v>
      </c>
      <c r="S537" s="5">
        <f t="shared" si="49"/>
        <v>48.367982465753421</v>
      </c>
      <c r="T537" s="5">
        <f t="shared" si="50"/>
        <v>532.15249972602737</v>
      </c>
      <c r="U537" s="15">
        <f t="shared" si="51"/>
        <v>24</v>
      </c>
      <c r="V537" s="3">
        <f t="shared" si="52"/>
        <v>2060.3068000000003</v>
      </c>
      <c r="W537" s="3">
        <f t="shared" si="53"/>
        <v>536</v>
      </c>
    </row>
    <row r="538" spans="1:23" x14ac:dyDescent="0.2">
      <c r="A538" t="s">
        <v>142</v>
      </c>
      <c r="B538" t="s">
        <v>143</v>
      </c>
      <c r="C538" t="s">
        <v>36</v>
      </c>
      <c r="D538" t="s">
        <v>66</v>
      </c>
      <c r="E538" t="s">
        <v>49</v>
      </c>
      <c r="F538" s="7">
        <v>735440</v>
      </c>
      <c r="G538" t="s">
        <v>462</v>
      </c>
      <c r="H538" s="5">
        <v>43056</v>
      </c>
      <c r="I538" s="12">
        <v>45742</v>
      </c>
      <c r="J538" s="15">
        <v>45</v>
      </c>
      <c r="K538" s="15">
        <v>10</v>
      </c>
      <c r="L538" s="9">
        <v>0.13020000000000001</v>
      </c>
      <c r="M538" s="9">
        <v>5.6800000000000003E-2</v>
      </c>
      <c r="N538" s="15">
        <v>7</v>
      </c>
      <c r="O538" t="s">
        <v>27</v>
      </c>
      <c r="P538" t="s">
        <v>28</v>
      </c>
      <c r="Q538" s="24">
        <v>0.65</v>
      </c>
      <c r="R538" s="5">
        <f t="shared" si="48"/>
        <v>691.13727123287663</v>
      </c>
      <c r="S538" s="5">
        <f t="shared" si="49"/>
        <v>46.901549589041103</v>
      </c>
      <c r="T538" s="5">
        <f t="shared" si="50"/>
        <v>644.23572164383552</v>
      </c>
      <c r="U538" s="15">
        <f t="shared" si="51"/>
        <v>38</v>
      </c>
      <c r="V538" s="3">
        <f t="shared" si="52"/>
        <v>2054.2017600000004</v>
      </c>
      <c r="W538" s="3">
        <f t="shared" si="53"/>
        <v>537</v>
      </c>
    </row>
    <row r="539" spans="1:23" x14ac:dyDescent="0.2">
      <c r="A539" t="s">
        <v>549</v>
      </c>
      <c r="B539" t="s">
        <v>161</v>
      </c>
      <c r="C539" t="s">
        <v>77</v>
      </c>
      <c r="D539" t="s">
        <v>48</v>
      </c>
      <c r="E539" t="s">
        <v>56</v>
      </c>
      <c r="F539" s="7">
        <v>15837870</v>
      </c>
      <c r="G539" t="s">
        <v>1198</v>
      </c>
      <c r="H539" s="5">
        <v>93684</v>
      </c>
      <c r="I539" s="12">
        <v>45756</v>
      </c>
      <c r="J539" s="15">
        <v>90</v>
      </c>
      <c r="K539" s="15">
        <v>10</v>
      </c>
      <c r="L539" s="9">
        <v>0.1089</v>
      </c>
      <c r="M539" s="9">
        <v>4.6300000000000001E-2</v>
      </c>
      <c r="N539" s="15">
        <v>6</v>
      </c>
      <c r="O539" t="s">
        <v>27</v>
      </c>
      <c r="P539" t="s">
        <v>28</v>
      </c>
      <c r="Q539" s="24">
        <v>0.35</v>
      </c>
      <c r="R539" s="5">
        <f t="shared" si="48"/>
        <v>2515.6079013698627</v>
      </c>
      <c r="S539" s="5">
        <f t="shared" si="49"/>
        <v>71.302507397260271</v>
      </c>
      <c r="T539" s="5">
        <f t="shared" si="50"/>
        <v>2444.3053939726024</v>
      </c>
      <c r="U539" s="15">
        <f t="shared" si="51"/>
        <v>84</v>
      </c>
      <c r="V539" s="3">
        <f t="shared" si="52"/>
        <v>2052.6164399999998</v>
      </c>
      <c r="W539" s="3">
        <f t="shared" si="53"/>
        <v>538</v>
      </c>
    </row>
    <row r="540" spans="1:23" x14ac:dyDescent="0.2">
      <c r="A540" t="s">
        <v>156</v>
      </c>
      <c r="B540" t="s">
        <v>157</v>
      </c>
      <c r="C540" t="s">
        <v>23</v>
      </c>
      <c r="D540" t="s">
        <v>66</v>
      </c>
      <c r="E540" t="s">
        <v>49</v>
      </c>
      <c r="F540" s="7">
        <v>981924</v>
      </c>
      <c r="G540" t="s">
        <v>634</v>
      </c>
      <c r="H540" s="5">
        <v>87108</v>
      </c>
      <c r="I540" s="12">
        <v>45710</v>
      </c>
      <c r="J540" s="15">
        <v>60</v>
      </c>
      <c r="K540" s="15">
        <v>5</v>
      </c>
      <c r="L540" s="9">
        <v>0.17169999999999999</v>
      </c>
      <c r="M540" s="9">
        <v>5.3900000000000003E-2</v>
      </c>
      <c r="N540" s="15">
        <v>5</v>
      </c>
      <c r="O540" t="s">
        <v>27</v>
      </c>
      <c r="P540" t="s">
        <v>28</v>
      </c>
      <c r="Q540" s="24">
        <v>0.2</v>
      </c>
      <c r="R540" s="5">
        <f t="shared" si="48"/>
        <v>2458.5934684931503</v>
      </c>
      <c r="S540" s="5">
        <f t="shared" si="49"/>
        <v>64.316728767123294</v>
      </c>
      <c r="T540" s="5">
        <f t="shared" si="50"/>
        <v>2394.2767397260272</v>
      </c>
      <c r="U540" s="15">
        <f t="shared" si="51"/>
        <v>55</v>
      </c>
      <c r="V540" s="3">
        <f t="shared" si="52"/>
        <v>2052.2644799999998</v>
      </c>
      <c r="W540" s="3">
        <f t="shared" si="53"/>
        <v>539</v>
      </c>
    </row>
    <row r="541" spans="1:23" x14ac:dyDescent="0.2">
      <c r="A541" t="s">
        <v>448</v>
      </c>
      <c r="B541" t="s">
        <v>264</v>
      </c>
      <c r="C541" t="s">
        <v>77</v>
      </c>
      <c r="D541" t="s">
        <v>37</v>
      </c>
      <c r="E541" t="s">
        <v>25</v>
      </c>
      <c r="F541" s="7">
        <v>5041335</v>
      </c>
      <c r="G541" t="s">
        <v>1609</v>
      </c>
      <c r="H541" s="5">
        <v>83226</v>
      </c>
      <c r="I541" s="12">
        <v>45997</v>
      </c>
      <c r="J541" s="15">
        <v>60</v>
      </c>
      <c r="K541" s="15">
        <v>2</v>
      </c>
      <c r="L541" s="9">
        <v>0.1198</v>
      </c>
      <c r="M541" s="9">
        <v>4.9399999999999999E-2</v>
      </c>
      <c r="N541" s="15">
        <v>7</v>
      </c>
      <c r="O541" t="s">
        <v>27</v>
      </c>
      <c r="P541" t="s">
        <v>28</v>
      </c>
      <c r="Q541" s="24">
        <v>0.35</v>
      </c>
      <c r="R541" s="5">
        <f t="shared" si="48"/>
        <v>1638.9821589041094</v>
      </c>
      <c r="S541" s="5">
        <f t="shared" si="49"/>
        <v>78.848084383561655</v>
      </c>
      <c r="T541" s="5">
        <f t="shared" si="50"/>
        <v>1560.1340745205478</v>
      </c>
      <c r="U541" s="15">
        <f t="shared" si="51"/>
        <v>53</v>
      </c>
      <c r="V541" s="3">
        <f t="shared" si="52"/>
        <v>2050.6886399999999</v>
      </c>
      <c r="W541" s="3">
        <f t="shared" si="53"/>
        <v>540</v>
      </c>
    </row>
    <row r="542" spans="1:23" x14ac:dyDescent="0.2">
      <c r="A542" t="s">
        <v>386</v>
      </c>
      <c r="B542" t="s">
        <v>387</v>
      </c>
      <c r="C542" t="s">
        <v>31</v>
      </c>
      <c r="D542" t="s">
        <v>37</v>
      </c>
      <c r="E542" t="s">
        <v>25</v>
      </c>
      <c r="F542" s="7">
        <v>5617789</v>
      </c>
      <c r="G542" t="s">
        <v>708</v>
      </c>
      <c r="H542" s="5">
        <v>97792</v>
      </c>
      <c r="I542" s="12">
        <v>45791</v>
      </c>
      <c r="J542" s="15">
        <v>45</v>
      </c>
      <c r="K542" s="15">
        <v>4</v>
      </c>
      <c r="L542" s="9">
        <v>9.5100000000000004E-2</v>
      </c>
      <c r="M542" s="9">
        <v>5.3199999999999997E-2</v>
      </c>
      <c r="N542" s="15">
        <v>5</v>
      </c>
      <c r="O542" t="s">
        <v>28</v>
      </c>
      <c r="P542" t="s">
        <v>28</v>
      </c>
      <c r="Q542" s="24">
        <v>0.5</v>
      </c>
      <c r="R542" s="5">
        <f t="shared" si="48"/>
        <v>1146.5777095890412</v>
      </c>
      <c r="S542" s="5">
        <f t="shared" si="49"/>
        <v>71.267594520547931</v>
      </c>
      <c r="T542" s="5">
        <f t="shared" si="50"/>
        <v>1075.3101150684934</v>
      </c>
      <c r="U542" s="15">
        <f t="shared" si="51"/>
        <v>40</v>
      </c>
      <c r="V542" s="3">
        <f t="shared" si="52"/>
        <v>2048.7424000000005</v>
      </c>
      <c r="W542" s="3">
        <f t="shared" si="53"/>
        <v>541</v>
      </c>
    </row>
    <row r="543" spans="1:23" x14ac:dyDescent="0.2">
      <c r="A543" t="s">
        <v>474</v>
      </c>
      <c r="B543" t="s">
        <v>207</v>
      </c>
      <c r="C543" t="s">
        <v>31</v>
      </c>
      <c r="D543" t="s">
        <v>37</v>
      </c>
      <c r="E543" t="s">
        <v>25</v>
      </c>
      <c r="F543" s="7">
        <v>4395110</v>
      </c>
      <c r="G543" t="s">
        <v>1350</v>
      </c>
      <c r="H543" s="5">
        <v>42065</v>
      </c>
      <c r="I543" s="12">
        <v>45760</v>
      </c>
      <c r="J543" s="15">
        <v>45</v>
      </c>
      <c r="K543" s="15">
        <v>5</v>
      </c>
      <c r="L543" s="9">
        <v>0.1066</v>
      </c>
      <c r="M543" s="9">
        <v>4.58E-2</v>
      </c>
      <c r="N543" s="15">
        <v>6</v>
      </c>
      <c r="O543" t="s">
        <v>27</v>
      </c>
      <c r="P543" t="s">
        <v>28</v>
      </c>
      <c r="Q543" s="24">
        <v>0.8</v>
      </c>
      <c r="R543" s="5">
        <f t="shared" si="48"/>
        <v>552.83782191780813</v>
      </c>
      <c r="S543" s="5">
        <f t="shared" si="49"/>
        <v>31.669758904109585</v>
      </c>
      <c r="T543" s="5">
        <f t="shared" si="50"/>
        <v>521.16806301369854</v>
      </c>
      <c r="U543" s="15">
        <f t="shared" si="51"/>
        <v>39</v>
      </c>
      <c r="V543" s="3">
        <f t="shared" si="52"/>
        <v>2046.0416</v>
      </c>
      <c r="W543" s="3">
        <f t="shared" si="53"/>
        <v>542</v>
      </c>
    </row>
    <row r="544" spans="1:23" x14ac:dyDescent="0.2">
      <c r="A544" t="s">
        <v>268</v>
      </c>
      <c r="B544" t="s">
        <v>269</v>
      </c>
      <c r="C544" t="s">
        <v>36</v>
      </c>
      <c r="D544" t="s">
        <v>37</v>
      </c>
      <c r="E544" t="s">
        <v>25</v>
      </c>
      <c r="F544" s="7">
        <v>1810544</v>
      </c>
      <c r="G544" t="s">
        <v>1514</v>
      </c>
      <c r="H544" s="5">
        <v>93381</v>
      </c>
      <c r="I544" s="12">
        <v>46001</v>
      </c>
      <c r="J544" s="15">
        <v>60</v>
      </c>
      <c r="K544" s="15">
        <v>7</v>
      </c>
      <c r="L544" s="9">
        <v>9.6299999999999997E-2</v>
      </c>
      <c r="M544" s="9">
        <v>6.2600000000000003E-2</v>
      </c>
      <c r="N544" s="15">
        <v>5</v>
      </c>
      <c r="O544" t="s">
        <v>27</v>
      </c>
      <c r="P544" t="s">
        <v>28</v>
      </c>
      <c r="Q544" s="24">
        <v>0.65</v>
      </c>
      <c r="R544" s="5">
        <f t="shared" si="48"/>
        <v>1478.2340219178081</v>
      </c>
      <c r="S544" s="5">
        <f t="shared" si="49"/>
        <v>80.077405479452054</v>
      </c>
      <c r="T544" s="5">
        <f t="shared" si="50"/>
        <v>1398.1566164383562</v>
      </c>
      <c r="U544" s="15">
        <f t="shared" si="51"/>
        <v>55</v>
      </c>
      <c r="V544" s="3">
        <f t="shared" si="52"/>
        <v>2045.5108049999997</v>
      </c>
      <c r="W544" s="3">
        <f t="shared" si="53"/>
        <v>543</v>
      </c>
    </row>
    <row r="545" spans="1:23" x14ac:dyDescent="0.2">
      <c r="A545" t="s">
        <v>300</v>
      </c>
      <c r="B545" t="s">
        <v>301</v>
      </c>
      <c r="C545" t="s">
        <v>77</v>
      </c>
      <c r="D545" t="s">
        <v>66</v>
      </c>
      <c r="E545" t="s">
        <v>25</v>
      </c>
      <c r="F545" s="7">
        <v>2362296</v>
      </c>
      <c r="G545" t="s">
        <v>1434</v>
      </c>
      <c r="H545" s="5">
        <v>59683</v>
      </c>
      <c r="I545" s="12">
        <v>45869</v>
      </c>
      <c r="J545" s="15">
        <v>30</v>
      </c>
      <c r="K545" s="15">
        <v>4</v>
      </c>
      <c r="L545" s="9">
        <v>0.1077</v>
      </c>
      <c r="M545" s="9">
        <v>5.5E-2</v>
      </c>
      <c r="N545" s="15">
        <v>5</v>
      </c>
      <c r="O545" t="s">
        <v>27</v>
      </c>
      <c r="P545" t="s">
        <v>28</v>
      </c>
      <c r="Q545" s="24">
        <v>0.65</v>
      </c>
      <c r="R545" s="5">
        <f t="shared" si="48"/>
        <v>528.31718630136993</v>
      </c>
      <c r="S545" s="5">
        <f t="shared" si="49"/>
        <v>44.966643835616438</v>
      </c>
      <c r="T545" s="5">
        <f t="shared" si="50"/>
        <v>483.35054246575351</v>
      </c>
      <c r="U545" s="15">
        <f t="shared" si="51"/>
        <v>25</v>
      </c>
      <c r="V545" s="3">
        <f t="shared" si="52"/>
        <v>2044.441165</v>
      </c>
      <c r="W545" s="3">
        <f t="shared" si="53"/>
        <v>544</v>
      </c>
    </row>
    <row r="546" spans="1:23" x14ac:dyDescent="0.2">
      <c r="A546" t="s">
        <v>183</v>
      </c>
      <c r="B546" t="s">
        <v>184</v>
      </c>
      <c r="C546" t="s">
        <v>77</v>
      </c>
      <c r="D546" t="s">
        <v>32</v>
      </c>
      <c r="E546" t="s">
        <v>25</v>
      </c>
      <c r="F546" s="7">
        <v>6014522</v>
      </c>
      <c r="G546" t="s">
        <v>1137</v>
      </c>
      <c r="H546" s="5">
        <v>78294</v>
      </c>
      <c r="I546" s="12">
        <v>45891</v>
      </c>
      <c r="J546" s="15">
        <v>45</v>
      </c>
      <c r="K546" s="15">
        <v>10</v>
      </c>
      <c r="L546" s="9">
        <v>0.12870000000000001</v>
      </c>
      <c r="M546" s="9">
        <v>5.4199999999999998E-2</v>
      </c>
      <c r="N546" s="15">
        <v>10</v>
      </c>
      <c r="O546" t="s">
        <v>27</v>
      </c>
      <c r="P546" t="s">
        <v>28</v>
      </c>
      <c r="Q546" s="24">
        <v>0.35</v>
      </c>
      <c r="R546" s="5">
        <f t="shared" si="48"/>
        <v>1242.3005506849315</v>
      </c>
      <c r="S546" s="5">
        <f t="shared" si="49"/>
        <v>116.26122739726026</v>
      </c>
      <c r="T546" s="5">
        <f t="shared" si="50"/>
        <v>1126.0393232876713</v>
      </c>
      <c r="U546" s="15">
        <f t="shared" si="51"/>
        <v>35</v>
      </c>
      <c r="V546" s="3">
        <f t="shared" si="52"/>
        <v>2041.5160500000002</v>
      </c>
      <c r="W546" s="3">
        <f t="shared" si="53"/>
        <v>545</v>
      </c>
    </row>
    <row r="547" spans="1:23" x14ac:dyDescent="0.2">
      <c r="A547" t="s">
        <v>228</v>
      </c>
      <c r="B547" t="s">
        <v>62</v>
      </c>
      <c r="C547" t="s">
        <v>23</v>
      </c>
      <c r="D547" t="s">
        <v>66</v>
      </c>
      <c r="E547" t="s">
        <v>49</v>
      </c>
      <c r="F547" s="7">
        <v>1218251</v>
      </c>
      <c r="G547" t="s">
        <v>1718</v>
      </c>
      <c r="H547" s="5">
        <v>70150</v>
      </c>
      <c r="I547" s="12">
        <v>45739</v>
      </c>
      <c r="J547" s="15">
        <v>90</v>
      </c>
      <c r="K547" s="15">
        <v>3</v>
      </c>
      <c r="L547" s="9">
        <v>0.1227</v>
      </c>
      <c r="M547" s="9">
        <v>6.4500000000000002E-2</v>
      </c>
      <c r="N547" s="15">
        <v>10</v>
      </c>
      <c r="O547" t="s">
        <v>27</v>
      </c>
      <c r="P547" t="s">
        <v>28</v>
      </c>
      <c r="Q547" s="24">
        <v>0.5</v>
      </c>
      <c r="R547" s="5">
        <f t="shared" si="48"/>
        <v>2122.3738356164386</v>
      </c>
      <c r="S547" s="5">
        <f t="shared" si="49"/>
        <v>123.96369863013699</v>
      </c>
      <c r="T547" s="5">
        <f t="shared" si="50"/>
        <v>1998.4101369863015</v>
      </c>
      <c r="U547" s="15">
        <f t="shared" si="51"/>
        <v>80</v>
      </c>
      <c r="V547" s="3">
        <f t="shared" si="52"/>
        <v>2041.365</v>
      </c>
      <c r="W547" s="3">
        <f t="shared" si="53"/>
        <v>546</v>
      </c>
    </row>
    <row r="548" spans="1:23" x14ac:dyDescent="0.2">
      <c r="A548" t="s">
        <v>488</v>
      </c>
      <c r="B548" t="s">
        <v>489</v>
      </c>
      <c r="C548" t="s">
        <v>31</v>
      </c>
      <c r="D548" t="s">
        <v>37</v>
      </c>
      <c r="E548" t="s">
        <v>25</v>
      </c>
      <c r="F548" s="7">
        <v>6687670</v>
      </c>
      <c r="G548" t="s">
        <v>1206</v>
      </c>
      <c r="H548" s="5">
        <v>70262</v>
      </c>
      <c r="I548" s="12">
        <v>45897</v>
      </c>
      <c r="J548" s="15">
        <v>60</v>
      </c>
      <c r="K548" s="15">
        <v>3</v>
      </c>
      <c r="L548" s="9">
        <v>0.1013</v>
      </c>
      <c r="M548" s="9">
        <v>5.67E-2</v>
      </c>
      <c r="N548" s="15">
        <v>8</v>
      </c>
      <c r="O548" t="s">
        <v>27</v>
      </c>
      <c r="P548" t="s">
        <v>28</v>
      </c>
      <c r="Q548" s="24">
        <v>0.65</v>
      </c>
      <c r="R548" s="5">
        <f t="shared" si="48"/>
        <v>1170.0066739726028</v>
      </c>
      <c r="S548" s="5">
        <f t="shared" si="49"/>
        <v>87.317378630136986</v>
      </c>
      <c r="T548" s="5">
        <f t="shared" si="50"/>
        <v>1082.6892953424658</v>
      </c>
      <c r="U548" s="15">
        <f t="shared" si="51"/>
        <v>52</v>
      </c>
      <c r="V548" s="3">
        <f t="shared" si="52"/>
        <v>2036.8953800000002</v>
      </c>
      <c r="W548" s="3">
        <f t="shared" si="53"/>
        <v>547</v>
      </c>
    </row>
    <row r="549" spans="1:23" x14ac:dyDescent="0.2">
      <c r="A549" t="s">
        <v>392</v>
      </c>
      <c r="B549" t="s">
        <v>393</v>
      </c>
      <c r="C549" t="s">
        <v>23</v>
      </c>
      <c r="D549" t="s">
        <v>32</v>
      </c>
      <c r="E549" t="s">
        <v>56</v>
      </c>
      <c r="F549" s="7">
        <v>13101534</v>
      </c>
      <c r="G549" t="s">
        <v>394</v>
      </c>
      <c r="H549" s="5">
        <v>64022</v>
      </c>
      <c r="I549" s="12">
        <v>46081</v>
      </c>
      <c r="J549" s="15">
        <v>30</v>
      </c>
      <c r="K549" s="15">
        <v>5</v>
      </c>
      <c r="L549" s="9">
        <v>8.9499999999999996E-2</v>
      </c>
      <c r="M549" s="9">
        <v>5.4199999999999998E-2</v>
      </c>
      <c r="N549" s="15">
        <v>6</v>
      </c>
      <c r="O549" t="s">
        <v>27</v>
      </c>
      <c r="P549" t="s">
        <v>28</v>
      </c>
      <c r="Q549" s="24">
        <v>0.9</v>
      </c>
      <c r="R549" s="5">
        <f t="shared" si="48"/>
        <v>470.95635616438352</v>
      </c>
      <c r="S549" s="5">
        <f t="shared" si="49"/>
        <v>57.040970958904104</v>
      </c>
      <c r="T549" s="5">
        <f t="shared" si="50"/>
        <v>413.91538520547942</v>
      </c>
      <c r="U549" s="15">
        <f t="shared" si="51"/>
        <v>24</v>
      </c>
      <c r="V549" s="3">
        <f t="shared" si="52"/>
        <v>2033.97894</v>
      </c>
      <c r="W549" s="3">
        <f t="shared" si="53"/>
        <v>548</v>
      </c>
    </row>
    <row r="550" spans="1:23" x14ac:dyDescent="0.2">
      <c r="A550" t="s">
        <v>166</v>
      </c>
      <c r="B550" t="s">
        <v>167</v>
      </c>
      <c r="C550" t="s">
        <v>41</v>
      </c>
      <c r="D550" t="s">
        <v>24</v>
      </c>
      <c r="E550" t="s">
        <v>25</v>
      </c>
      <c r="F550" s="7">
        <v>6222733</v>
      </c>
      <c r="G550" t="s">
        <v>942</v>
      </c>
      <c r="H550" s="5">
        <v>27401</v>
      </c>
      <c r="I550" s="12">
        <v>45995</v>
      </c>
      <c r="J550" s="15">
        <v>90</v>
      </c>
      <c r="K550" s="15">
        <v>2</v>
      </c>
      <c r="L550" s="9">
        <v>0.13980000000000001</v>
      </c>
      <c r="M550" s="9">
        <v>5.74E-2</v>
      </c>
      <c r="N550" s="15">
        <v>10</v>
      </c>
      <c r="O550" t="s">
        <v>27</v>
      </c>
      <c r="P550" t="s">
        <v>28</v>
      </c>
      <c r="Q550" s="24">
        <v>0.9</v>
      </c>
      <c r="R550" s="5">
        <f t="shared" si="48"/>
        <v>944.54625205479454</v>
      </c>
      <c r="S550" s="5">
        <f t="shared" si="49"/>
        <v>43.090887671232871</v>
      </c>
      <c r="T550" s="5">
        <f t="shared" si="50"/>
        <v>901.45536438356169</v>
      </c>
      <c r="U550" s="15">
        <f t="shared" si="51"/>
        <v>80</v>
      </c>
      <c r="V550" s="3">
        <f t="shared" si="52"/>
        <v>2032.05816</v>
      </c>
      <c r="W550" s="3">
        <f t="shared" si="53"/>
        <v>549</v>
      </c>
    </row>
    <row r="551" spans="1:23" x14ac:dyDescent="0.2">
      <c r="A551" t="s">
        <v>213</v>
      </c>
      <c r="B551" t="s">
        <v>214</v>
      </c>
      <c r="C551" t="s">
        <v>77</v>
      </c>
      <c r="D551" t="s">
        <v>32</v>
      </c>
      <c r="E551" t="s">
        <v>56</v>
      </c>
      <c r="F551" s="7">
        <v>22426293</v>
      </c>
      <c r="G551" t="s">
        <v>1356</v>
      </c>
      <c r="H551" s="5">
        <v>59367</v>
      </c>
      <c r="I551" s="12">
        <v>45854</v>
      </c>
      <c r="J551" s="15">
        <v>60</v>
      </c>
      <c r="K551" s="15">
        <v>7</v>
      </c>
      <c r="L551" s="9">
        <v>9.8299999999999998E-2</v>
      </c>
      <c r="M551" s="9">
        <v>5.5599999999999997E-2</v>
      </c>
      <c r="N551" s="15">
        <v>7</v>
      </c>
      <c r="O551" t="s">
        <v>28</v>
      </c>
      <c r="P551" t="s">
        <v>28</v>
      </c>
      <c r="Q551" s="24">
        <v>0.8</v>
      </c>
      <c r="R551" s="5">
        <f t="shared" si="48"/>
        <v>959.30566027397253</v>
      </c>
      <c r="S551" s="5">
        <f t="shared" si="49"/>
        <v>63.303113424657532</v>
      </c>
      <c r="T551" s="5">
        <f t="shared" si="50"/>
        <v>896.00254684931497</v>
      </c>
      <c r="U551" s="15">
        <f t="shared" si="51"/>
        <v>53</v>
      </c>
      <c r="V551" s="3">
        <f t="shared" si="52"/>
        <v>2027.9767200000001</v>
      </c>
      <c r="W551" s="3">
        <f t="shared" si="53"/>
        <v>550</v>
      </c>
    </row>
    <row r="552" spans="1:23" x14ac:dyDescent="0.2">
      <c r="A552" t="s">
        <v>220</v>
      </c>
      <c r="B552" t="s">
        <v>221</v>
      </c>
      <c r="C552" t="s">
        <v>36</v>
      </c>
      <c r="D552" t="s">
        <v>37</v>
      </c>
      <c r="E552" t="s">
        <v>25</v>
      </c>
      <c r="F552" s="7">
        <v>6280246</v>
      </c>
      <c r="G552" t="s">
        <v>222</v>
      </c>
      <c r="H552" s="5">
        <v>94831</v>
      </c>
      <c r="I552" s="12">
        <v>45950</v>
      </c>
      <c r="J552" s="15">
        <v>60</v>
      </c>
      <c r="K552" s="15">
        <v>3</v>
      </c>
      <c r="L552" s="9">
        <v>0.1205</v>
      </c>
      <c r="M552" s="9">
        <v>5.9400000000000001E-2</v>
      </c>
      <c r="N552" s="15">
        <v>7</v>
      </c>
      <c r="O552" t="s">
        <v>27</v>
      </c>
      <c r="P552" t="s">
        <v>28</v>
      </c>
      <c r="Q552" s="24">
        <v>0.35</v>
      </c>
      <c r="R552" s="5">
        <f t="shared" si="48"/>
        <v>1878.4332328767123</v>
      </c>
      <c r="S552" s="5">
        <f t="shared" si="49"/>
        <v>108.02939671232878</v>
      </c>
      <c r="T552" s="5">
        <f t="shared" si="50"/>
        <v>1770.4038361643834</v>
      </c>
      <c r="U552" s="15">
        <f t="shared" si="51"/>
        <v>53</v>
      </c>
      <c r="V552" s="3">
        <f t="shared" si="52"/>
        <v>2027.9609349999998</v>
      </c>
      <c r="W552" s="3">
        <f t="shared" si="53"/>
        <v>551</v>
      </c>
    </row>
    <row r="553" spans="1:23" x14ac:dyDescent="0.2">
      <c r="A553" t="s">
        <v>160</v>
      </c>
      <c r="B553" t="s">
        <v>161</v>
      </c>
      <c r="C553" t="s">
        <v>23</v>
      </c>
      <c r="D553" t="s">
        <v>66</v>
      </c>
      <c r="E553" t="s">
        <v>56</v>
      </c>
      <c r="F553" s="7">
        <v>8479307</v>
      </c>
      <c r="G553" t="s">
        <v>405</v>
      </c>
      <c r="H553" s="5">
        <v>109708</v>
      </c>
      <c r="I553" s="12">
        <v>45962</v>
      </c>
      <c r="J553" s="15">
        <v>90</v>
      </c>
      <c r="K553" s="15">
        <v>2</v>
      </c>
      <c r="L553" s="9">
        <v>7.0099999999999996E-2</v>
      </c>
      <c r="M553" s="9">
        <v>4.7E-2</v>
      </c>
      <c r="N553" s="15">
        <v>6</v>
      </c>
      <c r="O553" t="s">
        <v>27</v>
      </c>
      <c r="P553" t="s">
        <v>28</v>
      </c>
      <c r="Q553" s="24">
        <v>0.8</v>
      </c>
      <c r="R553" s="5">
        <f t="shared" si="48"/>
        <v>1896.2952657534245</v>
      </c>
      <c r="S553" s="5">
        <f t="shared" si="49"/>
        <v>84.760701369863</v>
      </c>
      <c r="T553" s="5">
        <f t="shared" si="50"/>
        <v>1811.5345643835615</v>
      </c>
      <c r="U553" s="15">
        <f t="shared" si="51"/>
        <v>84</v>
      </c>
      <c r="V553" s="3">
        <f t="shared" si="52"/>
        <v>2027.4038399999997</v>
      </c>
      <c r="W553" s="3">
        <f t="shared" si="53"/>
        <v>552</v>
      </c>
    </row>
    <row r="554" spans="1:23" x14ac:dyDescent="0.2">
      <c r="A554" t="s">
        <v>117</v>
      </c>
      <c r="B554" t="s">
        <v>118</v>
      </c>
      <c r="C554" t="s">
        <v>77</v>
      </c>
      <c r="D554" t="s">
        <v>32</v>
      </c>
      <c r="E554" t="s">
        <v>25</v>
      </c>
      <c r="F554" s="7">
        <v>6024640</v>
      </c>
      <c r="G554" t="s">
        <v>623</v>
      </c>
      <c r="H554" s="5">
        <v>55078</v>
      </c>
      <c r="I554" s="12">
        <v>45751</v>
      </c>
      <c r="J554" s="15">
        <v>60</v>
      </c>
      <c r="K554" s="15">
        <v>5</v>
      </c>
      <c r="L554" s="9">
        <v>0.13769999999999999</v>
      </c>
      <c r="M554" s="9">
        <v>6.4100000000000004E-2</v>
      </c>
      <c r="N554" s="15">
        <v>7</v>
      </c>
      <c r="O554" t="s">
        <v>27</v>
      </c>
      <c r="P554" t="s">
        <v>28</v>
      </c>
      <c r="Q554" s="24">
        <v>0.5</v>
      </c>
      <c r="R554" s="5">
        <f t="shared" si="48"/>
        <v>1246.7244821917807</v>
      </c>
      <c r="S554" s="5">
        <f t="shared" si="49"/>
        <v>67.708215342465763</v>
      </c>
      <c r="T554" s="5">
        <f t="shared" si="50"/>
        <v>1179.0162668493149</v>
      </c>
      <c r="U554" s="15">
        <f t="shared" si="51"/>
        <v>53</v>
      </c>
      <c r="V554" s="3">
        <f t="shared" si="52"/>
        <v>2026.8703999999996</v>
      </c>
      <c r="W554" s="3">
        <f t="shared" si="53"/>
        <v>553</v>
      </c>
    </row>
    <row r="555" spans="1:23" x14ac:dyDescent="0.2">
      <c r="A555" t="s">
        <v>278</v>
      </c>
      <c r="B555" t="s">
        <v>279</v>
      </c>
      <c r="C555" t="s">
        <v>23</v>
      </c>
      <c r="D555" t="s">
        <v>37</v>
      </c>
      <c r="E555" t="s">
        <v>56</v>
      </c>
      <c r="F555" s="7">
        <v>15898738</v>
      </c>
      <c r="G555" t="s">
        <v>1303</v>
      </c>
      <c r="H555" s="5">
        <v>58607</v>
      </c>
      <c r="I555" s="12">
        <v>45880</v>
      </c>
      <c r="J555" s="15">
        <v>90</v>
      </c>
      <c r="K555" s="15">
        <v>3</v>
      </c>
      <c r="L555" s="9">
        <v>0.1071</v>
      </c>
      <c r="M555" s="9">
        <v>6.3899999999999998E-2</v>
      </c>
      <c r="N555" s="15">
        <v>5</v>
      </c>
      <c r="O555" t="s">
        <v>27</v>
      </c>
      <c r="P555" t="s">
        <v>28</v>
      </c>
      <c r="Q555" s="24">
        <v>0.8</v>
      </c>
      <c r="R555" s="5">
        <f t="shared" si="48"/>
        <v>1547.706501369863</v>
      </c>
      <c r="S555" s="5">
        <f t="shared" si="49"/>
        <v>51.301195890410952</v>
      </c>
      <c r="T555" s="5">
        <f t="shared" si="50"/>
        <v>1496.405305479452</v>
      </c>
      <c r="U555" s="15">
        <f t="shared" si="51"/>
        <v>85</v>
      </c>
      <c r="V555" s="3">
        <f t="shared" si="52"/>
        <v>2025.4579200000001</v>
      </c>
      <c r="W555" s="3">
        <f t="shared" si="53"/>
        <v>554</v>
      </c>
    </row>
    <row r="556" spans="1:23" x14ac:dyDescent="0.2">
      <c r="A556" t="s">
        <v>501</v>
      </c>
      <c r="B556" t="s">
        <v>502</v>
      </c>
      <c r="C556" t="s">
        <v>23</v>
      </c>
      <c r="D556" t="s">
        <v>32</v>
      </c>
      <c r="E556" t="s">
        <v>49</v>
      </c>
      <c r="F556" s="7">
        <v>412494</v>
      </c>
      <c r="G556" t="s">
        <v>1482</v>
      </c>
      <c r="H556" s="5">
        <v>29047</v>
      </c>
      <c r="I556" s="12">
        <v>45754</v>
      </c>
      <c r="J556" s="15">
        <v>45</v>
      </c>
      <c r="K556" s="15">
        <v>4</v>
      </c>
      <c r="L556" s="9">
        <v>0.15989999999999999</v>
      </c>
      <c r="M556" s="9">
        <v>5.2699999999999997E-2</v>
      </c>
      <c r="N556" s="15">
        <v>8</v>
      </c>
      <c r="O556" t="s">
        <v>27</v>
      </c>
      <c r="P556" t="s">
        <v>28</v>
      </c>
      <c r="Q556" s="24">
        <v>0.65</v>
      </c>
      <c r="R556" s="5">
        <f t="shared" si="48"/>
        <v>572.62380410958895</v>
      </c>
      <c r="S556" s="5">
        <f t="shared" si="49"/>
        <v>33.551274520547942</v>
      </c>
      <c r="T556" s="5">
        <f t="shared" si="50"/>
        <v>539.07252958904098</v>
      </c>
      <c r="U556" s="15">
        <f t="shared" si="51"/>
        <v>37</v>
      </c>
      <c r="V556" s="3">
        <f t="shared" si="52"/>
        <v>2023.9949599999998</v>
      </c>
      <c r="W556" s="3">
        <f t="shared" si="53"/>
        <v>555</v>
      </c>
    </row>
    <row r="557" spans="1:23" x14ac:dyDescent="0.2">
      <c r="A557" t="s">
        <v>448</v>
      </c>
      <c r="B557" t="s">
        <v>264</v>
      </c>
      <c r="C557" t="s">
        <v>77</v>
      </c>
      <c r="D557" t="s">
        <v>37</v>
      </c>
      <c r="E557" t="s">
        <v>25</v>
      </c>
      <c r="F557" s="7">
        <v>5041335</v>
      </c>
      <c r="G557" t="s">
        <v>1436</v>
      </c>
      <c r="H557" s="5">
        <v>35186</v>
      </c>
      <c r="I557" s="12">
        <v>45881</v>
      </c>
      <c r="J557" s="15">
        <v>60</v>
      </c>
      <c r="K557" s="15">
        <v>3</v>
      </c>
      <c r="L557" s="9">
        <v>0.1198</v>
      </c>
      <c r="M557" s="9">
        <v>5.5899999999999998E-2</v>
      </c>
      <c r="N557" s="15">
        <v>8</v>
      </c>
      <c r="O557" t="s">
        <v>27</v>
      </c>
      <c r="P557" t="s">
        <v>28</v>
      </c>
      <c r="Q557" s="24">
        <v>0.9</v>
      </c>
      <c r="R557" s="5">
        <f t="shared" si="48"/>
        <v>692.92319999999995</v>
      </c>
      <c r="S557" s="5">
        <f t="shared" si="49"/>
        <v>43.110079999999996</v>
      </c>
      <c r="T557" s="5">
        <f t="shared" si="50"/>
        <v>649.81311999999991</v>
      </c>
      <c r="U557" s="15">
        <f t="shared" si="51"/>
        <v>52</v>
      </c>
      <c r="V557" s="3">
        <f t="shared" si="52"/>
        <v>2023.5468600000004</v>
      </c>
      <c r="W557" s="3">
        <f t="shared" si="53"/>
        <v>556</v>
      </c>
    </row>
    <row r="558" spans="1:23" x14ac:dyDescent="0.2">
      <c r="A558" t="s">
        <v>186</v>
      </c>
      <c r="B558" t="s">
        <v>187</v>
      </c>
      <c r="C558" t="s">
        <v>41</v>
      </c>
      <c r="D558" t="s">
        <v>32</v>
      </c>
      <c r="E558" t="s">
        <v>25</v>
      </c>
      <c r="F558" s="7">
        <v>3649528</v>
      </c>
      <c r="G558" t="s">
        <v>1724</v>
      </c>
      <c r="H558" s="5">
        <v>75254</v>
      </c>
      <c r="I558" s="12">
        <v>46045</v>
      </c>
      <c r="J558" s="15">
        <v>45</v>
      </c>
      <c r="K558" s="15">
        <v>2</v>
      </c>
      <c r="L558" s="9">
        <v>0.1283</v>
      </c>
      <c r="M558" s="9">
        <v>5.16E-2</v>
      </c>
      <c r="N558" s="15">
        <v>5</v>
      </c>
      <c r="O558" t="s">
        <v>27</v>
      </c>
      <c r="P558" t="s">
        <v>28</v>
      </c>
      <c r="Q558" s="24">
        <v>0.35</v>
      </c>
      <c r="R558" s="5">
        <f t="shared" si="48"/>
        <v>1190.3533397260273</v>
      </c>
      <c r="S558" s="5">
        <f t="shared" si="49"/>
        <v>53.193238356164379</v>
      </c>
      <c r="T558" s="5">
        <f t="shared" si="50"/>
        <v>1137.160101369863</v>
      </c>
      <c r="U558" s="15">
        <f t="shared" si="51"/>
        <v>40</v>
      </c>
      <c r="V558" s="3">
        <f t="shared" si="52"/>
        <v>2020.1936299999995</v>
      </c>
      <c r="W558" s="3">
        <f t="shared" si="53"/>
        <v>557</v>
      </c>
    </row>
    <row r="559" spans="1:23" x14ac:dyDescent="0.2">
      <c r="A559" t="s">
        <v>186</v>
      </c>
      <c r="B559" t="s">
        <v>187</v>
      </c>
      <c r="C559" t="s">
        <v>41</v>
      </c>
      <c r="D559" t="s">
        <v>32</v>
      </c>
      <c r="E559" t="s">
        <v>25</v>
      </c>
      <c r="F559" s="7">
        <v>3649528</v>
      </c>
      <c r="G559" t="s">
        <v>641</v>
      </c>
      <c r="H559" s="5">
        <v>36979</v>
      </c>
      <c r="I559" s="12">
        <v>45721</v>
      </c>
      <c r="J559" s="15">
        <v>60</v>
      </c>
      <c r="K559" s="15">
        <v>2</v>
      </c>
      <c r="L559" s="9">
        <v>0.1283</v>
      </c>
      <c r="M559" s="9">
        <v>6.0100000000000001E-2</v>
      </c>
      <c r="N559" s="15">
        <v>5</v>
      </c>
      <c r="O559" t="s">
        <v>27</v>
      </c>
      <c r="P559" t="s">
        <v>28</v>
      </c>
      <c r="Q559" s="24">
        <v>0.8</v>
      </c>
      <c r="R559" s="5">
        <f t="shared" si="48"/>
        <v>779.9023068493151</v>
      </c>
      <c r="S559" s="5">
        <f t="shared" si="49"/>
        <v>30.444354794520546</v>
      </c>
      <c r="T559" s="5">
        <f t="shared" si="50"/>
        <v>749.45795205479453</v>
      </c>
      <c r="U559" s="15">
        <f t="shared" si="51"/>
        <v>55</v>
      </c>
      <c r="V559" s="3">
        <f t="shared" si="52"/>
        <v>2017.5742399999999</v>
      </c>
      <c r="W559" s="3">
        <f t="shared" si="53"/>
        <v>558</v>
      </c>
    </row>
    <row r="560" spans="1:23" x14ac:dyDescent="0.2">
      <c r="A560" t="s">
        <v>407</v>
      </c>
      <c r="B560" t="s">
        <v>218</v>
      </c>
      <c r="C560" t="s">
        <v>41</v>
      </c>
      <c r="D560" t="s">
        <v>32</v>
      </c>
      <c r="E560" t="s">
        <v>25</v>
      </c>
      <c r="F560" s="7">
        <v>1514188</v>
      </c>
      <c r="G560" t="s">
        <v>1462</v>
      </c>
      <c r="H560" s="5">
        <v>33921</v>
      </c>
      <c r="I560" s="12">
        <v>45929</v>
      </c>
      <c r="J560" s="15">
        <v>90</v>
      </c>
      <c r="K560" s="15">
        <v>7</v>
      </c>
      <c r="L560" s="9">
        <v>0.11600000000000001</v>
      </c>
      <c r="M560" s="9">
        <v>5.0099999999999999E-2</v>
      </c>
      <c r="N560" s="15">
        <v>8</v>
      </c>
      <c r="O560" t="s">
        <v>27</v>
      </c>
      <c r="P560" t="s">
        <v>28</v>
      </c>
      <c r="Q560" s="24">
        <v>0.9</v>
      </c>
      <c r="R560" s="5">
        <f t="shared" si="48"/>
        <v>970.23353424657535</v>
      </c>
      <c r="S560" s="5">
        <f t="shared" si="49"/>
        <v>37.248046027397258</v>
      </c>
      <c r="T560" s="5">
        <f t="shared" si="50"/>
        <v>932.98548821917814</v>
      </c>
      <c r="U560" s="15">
        <f t="shared" si="51"/>
        <v>82</v>
      </c>
      <c r="V560" s="3">
        <f t="shared" si="52"/>
        <v>2011.8545100000006</v>
      </c>
      <c r="W560" s="3">
        <f t="shared" si="53"/>
        <v>559</v>
      </c>
    </row>
    <row r="561" spans="1:23" x14ac:dyDescent="0.2">
      <c r="A561" t="s">
        <v>474</v>
      </c>
      <c r="B561" t="s">
        <v>207</v>
      </c>
      <c r="C561" t="s">
        <v>31</v>
      </c>
      <c r="D561" t="s">
        <v>37</v>
      </c>
      <c r="E561" t="s">
        <v>25</v>
      </c>
      <c r="F561" s="7">
        <v>4395110</v>
      </c>
      <c r="G561" t="s">
        <v>475</v>
      </c>
      <c r="H561" s="5">
        <v>69840</v>
      </c>
      <c r="I561" s="12">
        <v>45705</v>
      </c>
      <c r="J561" s="15">
        <v>60</v>
      </c>
      <c r="K561" s="15">
        <v>5</v>
      </c>
      <c r="L561" s="9">
        <v>0.1066</v>
      </c>
      <c r="M561" s="9">
        <v>4.9000000000000002E-2</v>
      </c>
      <c r="N561" s="15">
        <v>6</v>
      </c>
      <c r="O561" t="s">
        <v>27</v>
      </c>
      <c r="P561" t="s">
        <v>28</v>
      </c>
      <c r="Q561" s="24">
        <v>0.5</v>
      </c>
      <c r="R561" s="5">
        <f t="shared" si="48"/>
        <v>1223.826410958904</v>
      </c>
      <c r="S561" s="5">
        <f t="shared" si="49"/>
        <v>56.254684931506851</v>
      </c>
      <c r="T561" s="5">
        <f t="shared" si="50"/>
        <v>1167.5717260273973</v>
      </c>
      <c r="U561" s="15">
        <f t="shared" si="51"/>
        <v>54</v>
      </c>
      <c r="V561" s="3">
        <f t="shared" si="52"/>
        <v>2011.3920000000001</v>
      </c>
      <c r="W561" s="3">
        <f t="shared" si="53"/>
        <v>560</v>
      </c>
    </row>
    <row r="562" spans="1:23" x14ac:dyDescent="0.2">
      <c r="A562" t="s">
        <v>247</v>
      </c>
      <c r="B562" t="s">
        <v>47</v>
      </c>
      <c r="C562" t="s">
        <v>31</v>
      </c>
      <c r="D562" t="s">
        <v>48</v>
      </c>
      <c r="E562" t="s">
        <v>49</v>
      </c>
      <c r="F562" s="7">
        <v>1089809</v>
      </c>
      <c r="G562" t="s">
        <v>1249</v>
      </c>
      <c r="H562" s="5">
        <v>38789</v>
      </c>
      <c r="I562" s="12">
        <v>45726</v>
      </c>
      <c r="J562" s="15">
        <v>60</v>
      </c>
      <c r="K562" s="15">
        <v>3</v>
      </c>
      <c r="L562" s="9">
        <v>0.16689999999999999</v>
      </c>
      <c r="M562" s="9">
        <v>6.3500000000000001E-2</v>
      </c>
      <c r="N562" s="15">
        <v>10</v>
      </c>
      <c r="O562" t="s">
        <v>27</v>
      </c>
      <c r="P562" t="s">
        <v>28</v>
      </c>
      <c r="Q562" s="24">
        <v>0.5</v>
      </c>
      <c r="R562" s="5">
        <f t="shared" si="48"/>
        <v>1064.2001260273971</v>
      </c>
      <c r="S562" s="5">
        <f t="shared" si="49"/>
        <v>67.482232876712331</v>
      </c>
      <c r="T562" s="5">
        <f t="shared" si="50"/>
        <v>996.71789315068474</v>
      </c>
      <c r="U562" s="15">
        <f t="shared" si="51"/>
        <v>50</v>
      </c>
      <c r="V562" s="3">
        <f t="shared" si="52"/>
        <v>2005.3912999999998</v>
      </c>
      <c r="W562" s="3">
        <f t="shared" si="53"/>
        <v>561</v>
      </c>
    </row>
    <row r="563" spans="1:23" x14ac:dyDescent="0.2">
      <c r="A563" t="s">
        <v>314</v>
      </c>
      <c r="B563" t="s">
        <v>211</v>
      </c>
      <c r="C563" t="s">
        <v>36</v>
      </c>
      <c r="D563" t="s">
        <v>66</v>
      </c>
      <c r="E563" t="s">
        <v>56</v>
      </c>
      <c r="F563" s="7">
        <v>16270036</v>
      </c>
      <c r="G563" t="s">
        <v>732</v>
      </c>
      <c r="H563" s="5">
        <v>53139</v>
      </c>
      <c r="I563" s="12">
        <v>45781</v>
      </c>
      <c r="J563" s="15">
        <v>60</v>
      </c>
      <c r="K563" s="15">
        <v>7</v>
      </c>
      <c r="L563" s="9">
        <v>9.2200000000000004E-2</v>
      </c>
      <c r="M563" s="9">
        <v>5.04E-2</v>
      </c>
      <c r="N563" s="15">
        <v>6</v>
      </c>
      <c r="O563" t="s">
        <v>27</v>
      </c>
      <c r="P563" t="s">
        <v>28</v>
      </c>
      <c r="Q563" s="24">
        <v>0.9</v>
      </c>
      <c r="R563" s="5">
        <f t="shared" si="48"/>
        <v>805.38341917808225</v>
      </c>
      <c r="S563" s="5">
        <f t="shared" si="49"/>
        <v>44.025297534246576</v>
      </c>
      <c r="T563" s="5">
        <f t="shared" si="50"/>
        <v>761.35812164383572</v>
      </c>
      <c r="U563" s="15">
        <f t="shared" si="51"/>
        <v>54</v>
      </c>
      <c r="V563" s="3">
        <f t="shared" si="52"/>
        <v>1999.0891800000004</v>
      </c>
      <c r="W563" s="3">
        <f t="shared" si="53"/>
        <v>562</v>
      </c>
    </row>
    <row r="564" spans="1:23" x14ac:dyDescent="0.2">
      <c r="A564" t="s">
        <v>521</v>
      </c>
      <c r="B564" t="s">
        <v>522</v>
      </c>
      <c r="C564" t="s">
        <v>23</v>
      </c>
      <c r="D564" t="s">
        <v>66</v>
      </c>
      <c r="E564" t="s">
        <v>49</v>
      </c>
      <c r="F564" s="7">
        <v>617401</v>
      </c>
      <c r="G564" t="s">
        <v>1663</v>
      </c>
      <c r="H564" s="5">
        <v>61716</v>
      </c>
      <c r="I564" s="12">
        <v>45797</v>
      </c>
      <c r="J564" s="15">
        <v>60</v>
      </c>
      <c r="K564" s="15">
        <v>3</v>
      </c>
      <c r="L564" s="9">
        <v>0.1429</v>
      </c>
      <c r="M564" s="9">
        <v>5.0599999999999999E-2</v>
      </c>
      <c r="N564" s="15">
        <v>10</v>
      </c>
      <c r="O564" t="s">
        <v>27</v>
      </c>
      <c r="P564" t="s">
        <v>28</v>
      </c>
      <c r="Q564" s="24">
        <v>0.35</v>
      </c>
      <c r="R564" s="5">
        <f t="shared" si="48"/>
        <v>1449.7342027397258</v>
      </c>
      <c r="S564" s="5">
        <f t="shared" si="49"/>
        <v>85.556975342465748</v>
      </c>
      <c r="T564" s="5">
        <f t="shared" si="50"/>
        <v>1364.1772273972601</v>
      </c>
      <c r="U564" s="15">
        <f t="shared" si="51"/>
        <v>50</v>
      </c>
      <c r="V564" s="3">
        <f t="shared" si="52"/>
        <v>1993.7353799999996</v>
      </c>
      <c r="W564" s="3">
        <f t="shared" si="53"/>
        <v>563</v>
      </c>
    </row>
    <row r="565" spans="1:23" x14ac:dyDescent="0.2">
      <c r="A565" t="s">
        <v>156</v>
      </c>
      <c r="B565" t="s">
        <v>157</v>
      </c>
      <c r="C565" t="s">
        <v>23</v>
      </c>
      <c r="D565" t="s">
        <v>66</v>
      </c>
      <c r="E565" t="s">
        <v>49</v>
      </c>
      <c r="F565" s="7">
        <v>981924</v>
      </c>
      <c r="G565" t="s">
        <v>1504</v>
      </c>
      <c r="H565" s="5">
        <v>85156</v>
      </c>
      <c r="I565" s="12">
        <v>45769</v>
      </c>
      <c r="J565" s="15">
        <v>60</v>
      </c>
      <c r="K565" s="15">
        <v>4</v>
      </c>
      <c r="L565" s="9">
        <v>0.17169999999999999</v>
      </c>
      <c r="M565" s="9">
        <v>5.4699999999999999E-2</v>
      </c>
      <c r="N565" s="15">
        <v>5</v>
      </c>
      <c r="O565" t="s">
        <v>27</v>
      </c>
      <c r="P565" t="s">
        <v>28</v>
      </c>
      <c r="Q565" s="24">
        <v>0.2</v>
      </c>
      <c r="R565" s="5">
        <f t="shared" si="48"/>
        <v>2403.498936986301</v>
      </c>
      <c r="S565" s="5">
        <f t="shared" si="49"/>
        <v>63.808673972602733</v>
      </c>
      <c r="T565" s="5">
        <f t="shared" si="50"/>
        <v>2339.6902630136983</v>
      </c>
      <c r="U565" s="15">
        <f t="shared" si="51"/>
        <v>55</v>
      </c>
      <c r="V565" s="3">
        <f t="shared" si="52"/>
        <v>1992.6504</v>
      </c>
      <c r="W565" s="3">
        <f t="shared" si="53"/>
        <v>564</v>
      </c>
    </row>
    <row r="566" spans="1:23" x14ac:dyDescent="0.2">
      <c r="A566" t="s">
        <v>608</v>
      </c>
      <c r="B566" t="s">
        <v>609</v>
      </c>
      <c r="C566" t="s">
        <v>77</v>
      </c>
      <c r="D566" t="s">
        <v>48</v>
      </c>
      <c r="E566" t="s">
        <v>56</v>
      </c>
      <c r="F566" s="7">
        <v>24905394</v>
      </c>
      <c r="G566" t="s">
        <v>685</v>
      </c>
      <c r="H566" s="5">
        <v>107345</v>
      </c>
      <c r="I566" s="12">
        <v>45766</v>
      </c>
      <c r="J566" s="15">
        <v>30</v>
      </c>
      <c r="K566" s="15">
        <v>2</v>
      </c>
      <c r="L566" s="9">
        <v>8.5199999999999998E-2</v>
      </c>
      <c r="M566" s="9">
        <v>6.2E-2</v>
      </c>
      <c r="N566" s="15">
        <v>5</v>
      </c>
      <c r="O566" t="s">
        <v>27</v>
      </c>
      <c r="P566" t="s">
        <v>28</v>
      </c>
      <c r="Q566" s="24">
        <v>0.8</v>
      </c>
      <c r="R566" s="5">
        <f t="shared" si="48"/>
        <v>751.70909589041094</v>
      </c>
      <c r="S566" s="5">
        <f t="shared" si="49"/>
        <v>91.16972602739726</v>
      </c>
      <c r="T566" s="5">
        <f t="shared" si="50"/>
        <v>660.53936986301369</v>
      </c>
      <c r="U566" s="15">
        <f t="shared" si="51"/>
        <v>25</v>
      </c>
      <c r="V566" s="3">
        <f t="shared" si="52"/>
        <v>1992.3232</v>
      </c>
      <c r="W566" s="3">
        <f t="shared" si="53"/>
        <v>565</v>
      </c>
    </row>
    <row r="567" spans="1:23" x14ac:dyDescent="0.2">
      <c r="A567" t="s">
        <v>297</v>
      </c>
      <c r="B567" t="s">
        <v>298</v>
      </c>
      <c r="C567" t="s">
        <v>36</v>
      </c>
      <c r="D567" t="s">
        <v>24</v>
      </c>
      <c r="E567" t="s">
        <v>49</v>
      </c>
      <c r="F567" s="7">
        <v>1249897</v>
      </c>
      <c r="G567" t="s">
        <v>1688</v>
      </c>
      <c r="H567" s="5">
        <v>60866</v>
      </c>
      <c r="I567" s="12">
        <v>45875</v>
      </c>
      <c r="J567" s="15">
        <v>60</v>
      </c>
      <c r="K567" s="15">
        <v>10</v>
      </c>
      <c r="L567" s="9">
        <v>0.1452</v>
      </c>
      <c r="M567" s="9">
        <v>5.1700000000000003E-2</v>
      </c>
      <c r="N567" s="15">
        <v>10</v>
      </c>
      <c r="O567" t="s">
        <v>27</v>
      </c>
      <c r="P567" t="s">
        <v>28</v>
      </c>
      <c r="Q567" s="24">
        <v>0.35</v>
      </c>
      <c r="R567" s="5">
        <f t="shared" si="48"/>
        <v>1452.7797041095887</v>
      </c>
      <c r="S567" s="5">
        <f t="shared" si="49"/>
        <v>86.212936986301372</v>
      </c>
      <c r="T567" s="5">
        <f t="shared" si="50"/>
        <v>1366.5667671232873</v>
      </c>
      <c r="U567" s="15">
        <f t="shared" si="51"/>
        <v>50</v>
      </c>
      <c r="V567" s="3">
        <f t="shared" si="52"/>
        <v>1991.8398499999998</v>
      </c>
      <c r="W567" s="3">
        <f t="shared" si="53"/>
        <v>566</v>
      </c>
    </row>
    <row r="568" spans="1:23" x14ac:dyDescent="0.2">
      <c r="A568" t="s">
        <v>112</v>
      </c>
      <c r="B568" t="s">
        <v>113</v>
      </c>
      <c r="C568" t="s">
        <v>31</v>
      </c>
      <c r="D568" t="s">
        <v>24</v>
      </c>
      <c r="E568" t="s">
        <v>49</v>
      </c>
      <c r="F568" s="7">
        <v>1045125</v>
      </c>
      <c r="G568" t="s">
        <v>1378</v>
      </c>
      <c r="H568" s="5">
        <v>25938</v>
      </c>
      <c r="I568" s="12">
        <v>45885</v>
      </c>
      <c r="J568" s="15">
        <v>60</v>
      </c>
      <c r="K568" s="15">
        <v>4</v>
      </c>
      <c r="L568" s="9">
        <v>0.15740000000000001</v>
      </c>
      <c r="M568" s="9">
        <v>6.2100000000000002E-2</v>
      </c>
      <c r="N568" s="15">
        <v>5</v>
      </c>
      <c r="O568" t="s">
        <v>28</v>
      </c>
      <c r="P568" t="s">
        <v>28</v>
      </c>
      <c r="Q568" s="24">
        <v>0.8</v>
      </c>
      <c r="R568" s="5">
        <f t="shared" si="48"/>
        <v>671.11910136986307</v>
      </c>
      <c r="S568" s="5">
        <f t="shared" si="49"/>
        <v>22.065065753424658</v>
      </c>
      <c r="T568" s="5">
        <f t="shared" si="50"/>
        <v>649.05403561643845</v>
      </c>
      <c r="U568" s="15">
        <f t="shared" si="51"/>
        <v>55</v>
      </c>
      <c r="V568" s="3">
        <f t="shared" si="52"/>
        <v>1977.5131200000005</v>
      </c>
      <c r="W568" s="3">
        <f t="shared" si="53"/>
        <v>567</v>
      </c>
    </row>
    <row r="569" spans="1:23" x14ac:dyDescent="0.2">
      <c r="A569" t="s">
        <v>438</v>
      </c>
      <c r="B569" t="s">
        <v>439</v>
      </c>
      <c r="C569" t="s">
        <v>41</v>
      </c>
      <c r="D569" t="s">
        <v>48</v>
      </c>
      <c r="E569" t="s">
        <v>25</v>
      </c>
      <c r="F569" s="7">
        <v>2438415</v>
      </c>
      <c r="G569" t="s">
        <v>740</v>
      </c>
      <c r="H569" s="5">
        <v>66931</v>
      </c>
      <c r="I569" s="12">
        <v>45952</v>
      </c>
      <c r="J569" s="15">
        <v>60</v>
      </c>
      <c r="K569" s="15">
        <v>4</v>
      </c>
      <c r="L569" s="9">
        <v>0.13650000000000001</v>
      </c>
      <c r="M569" s="9">
        <v>5.2299999999999999E-2</v>
      </c>
      <c r="N569" s="15">
        <v>8</v>
      </c>
      <c r="O569" t="s">
        <v>27</v>
      </c>
      <c r="P569" t="s">
        <v>28</v>
      </c>
      <c r="Q569" s="24">
        <v>0.35</v>
      </c>
      <c r="R569" s="5">
        <f t="shared" si="48"/>
        <v>1501.8216164383562</v>
      </c>
      <c r="S569" s="5">
        <f t="shared" si="49"/>
        <v>76.723096986301371</v>
      </c>
      <c r="T569" s="5">
        <f t="shared" si="50"/>
        <v>1425.0985194520547</v>
      </c>
      <c r="U569" s="15">
        <f t="shared" si="51"/>
        <v>52</v>
      </c>
      <c r="V569" s="3">
        <f t="shared" si="52"/>
        <v>1972.4565700000003</v>
      </c>
      <c r="W569" s="3">
        <f t="shared" si="53"/>
        <v>568</v>
      </c>
    </row>
    <row r="570" spans="1:23" x14ac:dyDescent="0.2">
      <c r="A570" t="s">
        <v>716</v>
      </c>
      <c r="B570" t="s">
        <v>717</v>
      </c>
      <c r="C570" t="s">
        <v>31</v>
      </c>
      <c r="D570" t="s">
        <v>37</v>
      </c>
      <c r="E570" t="s">
        <v>49</v>
      </c>
      <c r="F570" s="7">
        <v>1439462</v>
      </c>
      <c r="G570" t="s">
        <v>1460</v>
      </c>
      <c r="H570" s="5">
        <v>33712</v>
      </c>
      <c r="I570" s="12">
        <v>45976</v>
      </c>
      <c r="J570" s="15">
        <v>60</v>
      </c>
      <c r="K570" s="15">
        <v>10</v>
      </c>
      <c r="L570" s="9">
        <v>0.17130000000000001</v>
      </c>
      <c r="M570" s="9">
        <v>5.4800000000000001E-2</v>
      </c>
      <c r="N570" s="15">
        <v>8</v>
      </c>
      <c r="O570" t="s">
        <v>27</v>
      </c>
      <c r="P570" t="s">
        <v>28</v>
      </c>
      <c r="Q570" s="24">
        <v>0.5</v>
      </c>
      <c r="R570" s="5">
        <f t="shared" si="48"/>
        <v>949.29297534246575</v>
      </c>
      <c r="S570" s="5">
        <f t="shared" si="49"/>
        <v>40.491344657534249</v>
      </c>
      <c r="T570" s="5">
        <f t="shared" si="50"/>
        <v>908.80163068493152</v>
      </c>
      <c r="U570" s="15">
        <f t="shared" si="51"/>
        <v>52</v>
      </c>
      <c r="V570" s="3">
        <f t="shared" si="52"/>
        <v>1963.7240000000002</v>
      </c>
      <c r="W570" s="3">
        <f t="shared" si="53"/>
        <v>569</v>
      </c>
    </row>
    <row r="571" spans="1:23" x14ac:dyDescent="0.2">
      <c r="A571" t="s">
        <v>289</v>
      </c>
      <c r="B571" t="s">
        <v>204</v>
      </c>
      <c r="C571" t="s">
        <v>31</v>
      </c>
      <c r="D571" t="s">
        <v>32</v>
      </c>
      <c r="E571" t="s">
        <v>49</v>
      </c>
      <c r="F571" s="7">
        <v>782629</v>
      </c>
      <c r="G571" t="s">
        <v>749</v>
      </c>
      <c r="H571" s="5">
        <v>33233</v>
      </c>
      <c r="I571" s="12">
        <v>45796</v>
      </c>
      <c r="J571" s="15">
        <v>60</v>
      </c>
      <c r="K571" s="15">
        <v>4</v>
      </c>
      <c r="L571" s="9">
        <v>0.14219999999999999</v>
      </c>
      <c r="M571" s="9">
        <v>5.1299999999999998E-2</v>
      </c>
      <c r="N571" s="15">
        <v>7</v>
      </c>
      <c r="O571" t="s">
        <v>27</v>
      </c>
      <c r="P571" t="s">
        <v>28</v>
      </c>
      <c r="Q571" s="24">
        <v>0.65</v>
      </c>
      <c r="R571" s="5">
        <f t="shared" si="48"/>
        <v>776.83275616438345</v>
      </c>
      <c r="S571" s="5">
        <f t="shared" si="49"/>
        <v>32.695809041095892</v>
      </c>
      <c r="T571" s="5">
        <f t="shared" si="50"/>
        <v>744.13694712328754</v>
      </c>
      <c r="U571" s="15">
        <f t="shared" si="51"/>
        <v>53</v>
      </c>
      <c r="V571" s="3">
        <f t="shared" si="52"/>
        <v>1963.571805</v>
      </c>
      <c r="W571" s="3">
        <f t="shared" si="53"/>
        <v>570</v>
      </c>
    </row>
    <row r="572" spans="1:23" x14ac:dyDescent="0.2">
      <c r="A572" t="s">
        <v>46</v>
      </c>
      <c r="B572" t="s">
        <v>47</v>
      </c>
      <c r="C572" t="s">
        <v>23</v>
      </c>
      <c r="D572" t="s">
        <v>48</v>
      </c>
      <c r="E572" t="s">
        <v>49</v>
      </c>
      <c r="F572" s="7">
        <v>372648</v>
      </c>
      <c r="G572" t="s">
        <v>1121</v>
      </c>
      <c r="H572" s="5">
        <v>101417</v>
      </c>
      <c r="I572" s="12">
        <v>45701</v>
      </c>
      <c r="J572" s="15">
        <v>60</v>
      </c>
      <c r="K572" s="15">
        <v>2</v>
      </c>
      <c r="L572" s="9">
        <v>0.15049999999999999</v>
      </c>
      <c r="M572" s="9">
        <v>5.3900000000000003E-2</v>
      </c>
      <c r="N572" s="15">
        <v>5</v>
      </c>
      <c r="O572" t="s">
        <v>27</v>
      </c>
      <c r="P572" t="s">
        <v>28</v>
      </c>
      <c r="Q572" s="24">
        <v>0.2</v>
      </c>
      <c r="R572" s="5">
        <f t="shared" si="48"/>
        <v>2509.0287945205478</v>
      </c>
      <c r="S572" s="5">
        <f t="shared" si="49"/>
        <v>74.881867123287662</v>
      </c>
      <c r="T572" s="5">
        <f t="shared" si="50"/>
        <v>2434.1469273972602</v>
      </c>
      <c r="U572" s="15">
        <f t="shared" si="51"/>
        <v>55</v>
      </c>
      <c r="V572" s="3">
        <f t="shared" si="52"/>
        <v>1959.37644</v>
      </c>
      <c r="W572" s="3">
        <f t="shared" si="53"/>
        <v>571</v>
      </c>
    </row>
    <row r="573" spans="1:23" x14ac:dyDescent="0.2">
      <c r="A573" t="s">
        <v>103</v>
      </c>
      <c r="B573" t="s">
        <v>62</v>
      </c>
      <c r="C573" t="s">
        <v>31</v>
      </c>
      <c r="D573" t="s">
        <v>37</v>
      </c>
      <c r="E573" t="s">
        <v>25</v>
      </c>
      <c r="F573" s="7">
        <v>3948313</v>
      </c>
      <c r="G573" t="s">
        <v>1513</v>
      </c>
      <c r="H573" s="5">
        <v>67170</v>
      </c>
      <c r="I573" s="12">
        <v>45723</v>
      </c>
      <c r="J573" s="15">
        <v>30</v>
      </c>
      <c r="K573" s="15">
        <v>3</v>
      </c>
      <c r="L573" s="9">
        <v>0.1154</v>
      </c>
      <c r="M573" s="9">
        <v>5.7299999999999997E-2</v>
      </c>
      <c r="N573" s="15">
        <v>7</v>
      </c>
      <c r="O573" t="s">
        <v>27</v>
      </c>
      <c r="P573" t="s">
        <v>28</v>
      </c>
      <c r="Q573" s="24">
        <v>0.5</v>
      </c>
      <c r="R573" s="5">
        <f t="shared" si="48"/>
        <v>637.10284931506851</v>
      </c>
      <c r="S573" s="5">
        <f t="shared" si="49"/>
        <v>73.813389041095888</v>
      </c>
      <c r="T573" s="5">
        <f t="shared" si="50"/>
        <v>563.28946027397262</v>
      </c>
      <c r="U573" s="15">
        <f t="shared" si="51"/>
        <v>23</v>
      </c>
      <c r="V573" s="3">
        <f t="shared" si="52"/>
        <v>1951.2885000000001</v>
      </c>
      <c r="W573" s="3">
        <f t="shared" si="53"/>
        <v>572</v>
      </c>
    </row>
    <row r="574" spans="1:23" x14ac:dyDescent="0.2">
      <c r="A574" t="s">
        <v>21</v>
      </c>
      <c r="B574" t="s">
        <v>22</v>
      </c>
      <c r="C574" t="s">
        <v>23</v>
      </c>
      <c r="D574" t="s">
        <v>24</v>
      </c>
      <c r="E574" t="s">
        <v>25</v>
      </c>
      <c r="F574" s="7">
        <v>2280589</v>
      </c>
      <c r="G574" t="s">
        <v>1444</v>
      </c>
      <c r="H574" s="5">
        <v>43697</v>
      </c>
      <c r="I574" s="12">
        <v>45877</v>
      </c>
      <c r="J574" s="15">
        <v>60</v>
      </c>
      <c r="K574" s="15">
        <v>5</v>
      </c>
      <c r="L574" s="9">
        <v>0.1047</v>
      </c>
      <c r="M574" s="9">
        <v>4.8899999999999999E-2</v>
      </c>
      <c r="N574" s="15">
        <v>8</v>
      </c>
      <c r="O574" t="s">
        <v>27</v>
      </c>
      <c r="P574" t="s">
        <v>28</v>
      </c>
      <c r="Q574" s="24">
        <v>0.8</v>
      </c>
      <c r="R574" s="5">
        <f t="shared" si="48"/>
        <v>752.06727123287669</v>
      </c>
      <c r="S574" s="5">
        <f t="shared" si="49"/>
        <v>46.833606575342465</v>
      </c>
      <c r="T574" s="5">
        <f t="shared" si="50"/>
        <v>705.23366465753418</v>
      </c>
      <c r="U574" s="15">
        <f t="shared" si="51"/>
        <v>52</v>
      </c>
      <c r="V574" s="3">
        <f t="shared" si="52"/>
        <v>1950.6340800000003</v>
      </c>
      <c r="W574" s="3">
        <f t="shared" si="53"/>
        <v>573</v>
      </c>
    </row>
    <row r="575" spans="1:23" x14ac:dyDescent="0.2">
      <c r="A575" t="s">
        <v>297</v>
      </c>
      <c r="B575" t="s">
        <v>298</v>
      </c>
      <c r="C575" t="s">
        <v>36</v>
      </c>
      <c r="D575" t="s">
        <v>24</v>
      </c>
      <c r="E575" t="s">
        <v>49</v>
      </c>
      <c r="F575" s="7">
        <v>1249897</v>
      </c>
      <c r="G575" t="s">
        <v>1388</v>
      </c>
      <c r="H575" s="5">
        <v>30961</v>
      </c>
      <c r="I575" s="12">
        <v>46013</v>
      </c>
      <c r="J575" s="15">
        <v>30</v>
      </c>
      <c r="K575" s="15">
        <v>3</v>
      </c>
      <c r="L575" s="9">
        <v>0.1452</v>
      </c>
      <c r="M575" s="9">
        <v>4.8599999999999997E-2</v>
      </c>
      <c r="N575" s="15">
        <v>8</v>
      </c>
      <c r="O575" t="s">
        <v>27</v>
      </c>
      <c r="P575" t="s">
        <v>28</v>
      </c>
      <c r="Q575" s="24">
        <v>0.65</v>
      </c>
      <c r="R575" s="5">
        <f t="shared" si="48"/>
        <v>369.49620821917802</v>
      </c>
      <c r="S575" s="5">
        <f t="shared" si="49"/>
        <v>32.979826849315067</v>
      </c>
      <c r="T575" s="5">
        <f t="shared" si="50"/>
        <v>336.51638136986293</v>
      </c>
      <c r="U575" s="15">
        <f t="shared" si="51"/>
        <v>22</v>
      </c>
      <c r="V575" s="3">
        <f t="shared" si="52"/>
        <v>1944.0411899999999</v>
      </c>
      <c r="W575" s="3">
        <f t="shared" si="53"/>
        <v>574</v>
      </c>
    </row>
    <row r="576" spans="1:23" x14ac:dyDescent="0.2">
      <c r="A576" t="s">
        <v>268</v>
      </c>
      <c r="B576" t="s">
        <v>269</v>
      </c>
      <c r="C576" t="s">
        <v>36</v>
      </c>
      <c r="D576" t="s">
        <v>37</v>
      </c>
      <c r="E576" t="s">
        <v>25</v>
      </c>
      <c r="F576" s="7">
        <v>1810544</v>
      </c>
      <c r="G576" t="s">
        <v>497</v>
      </c>
      <c r="H576" s="5">
        <v>44044</v>
      </c>
      <c r="I576" s="12">
        <v>45994</v>
      </c>
      <c r="J576" s="15">
        <v>30</v>
      </c>
      <c r="K576" s="15">
        <v>5</v>
      </c>
      <c r="L576" s="9">
        <v>9.6299999999999997E-2</v>
      </c>
      <c r="M576" s="9">
        <v>4.7300000000000002E-2</v>
      </c>
      <c r="N576" s="15">
        <v>10</v>
      </c>
      <c r="O576" t="s">
        <v>27</v>
      </c>
      <c r="P576" t="s">
        <v>28</v>
      </c>
      <c r="Q576" s="24">
        <v>0.9</v>
      </c>
      <c r="R576" s="5">
        <f t="shared" si="48"/>
        <v>348.61127671232879</v>
      </c>
      <c r="S576" s="5">
        <f t="shared" si="49"/>
        <v>57.076197260273965</v>
      </c>
      <c r="T576" s="5">
        <f t="shared" si="50"/>
        <v>291.53507945205484</v>
      </c>
      <c r="U576" s="15">
        <f t="shared" si="51"/>
        <v>20</v>
      </c>
      <c r="V576" s="3">
        <f t="shared" si="52"/>
        <v>1942.3403999999998</v>
      </c>
      <c r="W576" s="3">
        <f t="shared" si="53"/>
        <v>575</v>
      </c>
    </row>
    <row r="577" spans="1:23" x14ac:dyDescent="0.2">
      <c r="A577" t="s">
        <v>186</v>
      </c>
      <c r="B577" t="s">
        <v>187</v>
      </c>
      <c r="C577" t="s">
        <v>41</v>
      </c>
      <c r="D577" t="s">
        <v>32</v>
      </c>
      <c r="E577" t="s">
        <v>25</v>
      </c>
      <c r="F577" s="7">
        <v>3649528</v>
      </c>
      <c r="G577" t="s">
        <v>1766</v>
      </c>
      <c r="H577" s="5">
        <v>48289</v>
      </c>
      <c r="I577" s="12">
        <v>45890</v>
      </c>
      <c r="J577" s="15">
        <v>60</v>
      </c>
      <c r="K577" s="15">
        <v>10</v>
      </c>
      <c r="L577" s="9">
        <v>0.1283</v>
      </c>
      <c r="M577" s="9">
        <v>4.8000000000000001E-2</v>
      </c>
      <c r="N577" s="15">
        <v>7</v>
      </c>
      <c r="O577" t="s">
        <v>28</v>
      </c>
      <c r="P577" t="s">
        <v>28</v>
      </c>
      <c r="Q577" s="24">
        <v>0.5</v>
      </c>
      <c r="R577" s="5">
        <f t="shared" si="48"/>
        <v>1018.4348547945204</v>
      </c>
      <c r="S577" s="5">
        <f t="shared" si="49"/>
        <v>44.452339726027397</v>
      </c>
      <c r="T577" s="5">
        <f t="shared" si="50"/>
        <v>973.98251506849306</v>
      </c>
      <c r="U577" s="15">
        <f t="shared" si="51"/>
        <v>53</v>
      </c>
      <c r="V577" s="3">
        <f t="shared" si="52"/>
        <v>1938.8033499999999</v>
      </c>
      <c r="W577" s="3">
        <f t="shared" si="53"/>
        <v>576</v>
      </c>
    </row>
    <row r="578" spans="1:23" x14ac:dyDescent="0.2">
      <c r="A578" t="s">
        <v>518</v>
      </c>
      <c r="B578" t="s">
        <v>519</v>
      </c>
      <c r="C578" t="s">
        <v>41</v>
      </c>
      <c r="D578" t="s">
        <v>48</v>
      </c>
      <c r="E578" t="s">
        <v>25</v>
      </c>
      <c r="F578" s="7">
        <v>6967315</v>
      </c>
      <c r="G578" t="s">
        <v>520</v>
      </c>
      <c r="H578" s="5">
        <v>88638</v>
      </c>
      <c r="I578" s="12">
        <v>46052</v>
      </c>
      <c r="J578" s="15">
        <v>45</v>
      </c>
      <c r="K578" s="15">
        <v>2</v>
      </c>
      <c r="L578" s="9">
        <v>9.1999999999999998E-2</v>
      </c>
      <c r="M578" s="9">
        <v>4.8300000000000003E-2</v>
      </c>
      <c r="N578" s="15">
        <v>8</v>
      </c>
      <c r="O578" t="s">
        <v>27</v>
      </c>
      <c r="P578" t="s">
        <v>28</v>
      </c>
      <c r="Q578" s="24">
        <v>0.5</v>
      </c>
      <c r="R578" s="5">
        <f t="shared" ref="R578:R641" si="54">H578*L578*(J578/365)</f>
        <v>1005.3734794520548</v>
      </c>
      <c r="S578" s="5">
        <f t="shared" ref="S578:S641" si="55">H578*M578*(N578/365)</f>
        <v>93.834858082191786</v>
      </c>
      <c r="T578" s="5">
        <f t="shared" ref="T578:T641" si="56">R578-S578</f>
        <v>911.53862136986299</v>
      </c>
      <c r="U578" s="15">
        <f t="shared" ref="U578:U641" si="57">J578-N578</f>
        <v>37</v>
      </c>
      <c r="V578" s="3">
        <f t="shared" ref="V578:V641" si="58">Q578*(L578-M578)*H578</f>
        <v>1936.7402999999997</v>
      </c>
      <c r="W578" s="3">
        <f t="shared" ref="W578:W641" si="59">RANK(V578,$V$2:$V$1501)</f>
        <v>577</v>
      </c>
    </row>
    <row r="579" spans="1:23" x14ac:dyDescent="0.2">
      <c r="A579" t="s">
        <v>186</v>
      </c>
      <c r="B579" t="s">
        <v>187</v>
      </c>
      <c r="C579" t="s">
        <v>41</v>
      </c>
      <c r="D579" t="s">
        <v>32</v>
      </c>
      <c r="E579" t="s">
        <v>25</v>
      </c>
      <c r="F579" s="7">
        <v>3649528</v>
      </c>
      <c r="G579" t="s">
        <v>1074</v>
      </c>
      <c r="H579" s="5">
        <v>59263</v>
      </c>
      <c r="I579" s="12">
        <v>45922</v>
      </c>
      <c r="J579" s="15">
        <v>90</v>
      </c>
      <c r="K579" s="15">
        <v>4</v>
      </c>
      <c r="L579" s="9">
        <v>0.1283</v>
      </c>
      <c r="M579" s="9">
        <v>6.3100000000000003E-2</v>
      </c>
      <c r="N579" s="15">
        <v>7</v>
      </c>
      <c r="O579" t="s">
        <v>27</v>
      </c>
      <c r="P579" t="s">
        <v>28</v>
      </c>
      <c r="Q579" s="24">
        <v>0.5</v>
      </c>
      <c r="R579" s="5">
        <f t="shared" si="54"/>
        <v>1874.8215369863012</v>
      </c>
      <c r="S579" s="5">
        <f t="shared" si="55"/>
        <v>71.716348219178087</v>
      </c>
      <c r="T579" s="5">
        <f t="shared" si="56"/>
        <v>1803.1051887671231</v>
      </c>
      <c r="U579" s="15">
        <f t="shared" si="57"/>
        <v>83</v>
      </c>
      <c r="V579" s="3">
        <f t="shared" si="58"/>
        <v>1931.9737999999998</v>
      </c>
      <c r="W579" s="3">
        <f t="shared" si="59"/>
        <v>578</v>
      </c>
    </row>
    <row r="580" spans="1:23" x14ac:dyDescent="0.2">
      <c r="A580" t="s">
        <v>314</v>
      </c>
      <c r="B580" t="s">
        <v>211</v>
      </c>
      <c r="C580" t="s">
        <v>36</v>
      </c>
      <c r="D580" t="s">
        <v>66</v>
      </c>
      <c r="E580" t="s">
        <v>56</v>
      </c>
      <c r="F580" s="7">
        <v>16270036</v>
      </c>
      <c r="G580" t="s">
        <v>871</v>
      </c>
      <c r="H580" s="5">
        <v>53831</v>
      </c>
      <c r="I580" s="12">
        <v>45944</v>
      </c>
      <c r="J580" s="15">
        <v>60</v>
      </c>
      <c r="K580" s="15">
        <v>10</v>
      </c>
      <c r="L580" s="9">
        <v>9.2200000000000004E-2</v>
      </c>
      <c r="M580" s="9">
        <v>4.7399999999999998E-2</v>
      </c>
      <c r="N580" s="15">
        <v>6</v>
      </c>
      <c r="O580" t="s">
        <v>28</v>
      </c>
      <c r="P580" t="s">
        <v>28</v>
      </c>
      <c r="Q580" s="24">
        <v>0.8</v>
      </c>
      <c r="R580" s="5">
        <f t="shared" si="54"/>
        <v>815.87148493150687</v>
      </c>
      <c r="S580" s="5">
        <f t="shared" si="55"/>
        <v>41.94393534246575</v>
      </c>
      <c r="T580" s="5">
        <f t="shared" si="56"/>
        <v>773.92754958904106</v>
      </c>
      <c r="U580" s="15">
        <f t="shared" si="57"/>
        <v>54</v>
      </c>
      <c r="V580" s="3">
        <f t="shared" si="58"/>
        <v>1929.3030400000002</v>
      </c>
      <c r="W580" s="3">
        <f t="shared" si="59"/>
        <v>579</v>
      </c>
    </row>
    <row r="581" spans="1:23" x14ac:dyDescent="0.2">
      <c r="A581" t="s">
        <v>217</v>
      </c>
      <c r="B581" t="s">
        <v>218</v>
      </c>
      <c r="C581" t="s">
        <v>23</v>
      </c>
      <c r="D581" t="s">
        <v>48</v>
      </c>
      <c r="E581" t="s">
        <v>49</v>
      </c>
      <c r="F581" s="7">
        <v>1120197</v>
      </c>
      <c r="G581" t="s">
        <v>988</v>
      </c>
      <c r="H581" s="5">
        <v>76302</v>
      </c>
      <c r="I581" s="12">
        <v>45671</v>
      </c>
      <c r="J581" s="15">
        <v>30</v>
      </c>
      <c r="K581" s="15">
        <v>4</v>
      </c>
      <c r="L581" s="9">
        <v>0.1338</v>
      </c>
      <c r="M581" s="9">
        <v>6.1699999999999998E-2</v>
      </c>
      <c r="N581" s="15">
        <v>7</v>
      </c>
      <c r="O581" t="s">
        <v>27</v>
      </c>
      <c r="P581" t="s">
        <v>28</v>
      </c>
      <c r="Q581" s="24">
        <v>0.35</v>
      </c>
      <c r="R581" s="5">
        <f t="shared" si="54"/>
        <v>839.11295342465746</v>
      </c>
      <c r="S581" s="5">
        <f t="shared" si="55"/>
        <v>90.287215890410948</v>
      </c>
      <c r="T581" s="5">
        <f t="shared" si="56"/>
        <v>748.82573753424651</v>
      </c>
      <c r="U581" s="15">
        <f t="shared" si="57"/>
        <v>23</v>
      </c>
      <c r="V581" s="3">
        <f t="shared" si="58"/>
        <v>1925.4809699999998</v>
      </c>
      <c r="W581" s="3">
        <f t="shared" si="59"/>
        <v>580</v>
      </c>
    </row>
    <row r="582" spans="1:23" x14ac:dyDescent="0.2">
      <c r="A582" t="s">
        <v>239</v>
      </c>
      <c r="B582" t="s">
        <v>240</v>
      </c>
      <c r="C582" t="s">
        <v>31</v>
      </c>
      <c r="D582" t="s">
        <v>32</v>
      </c>
      <c r="E582" t="s">
        <v>49</v>
      </c>
      <c r="F582" s="7">
        <v>1485779</v>
      </c>
      <c r="G582" t="s">
        <v>1611</v>
      </c>
      <c r="H582" s="5">
        <v>75404</v>
      </c>
      <c r="I582" s="12">
        <v>46058</v>
      </c>
      <c r="J582" s="15">
        <v>60</v>
      </c>
      <c r="K582" s="15">
        <v>5</v>
      </c>
      <c r="L582" s="9">
        <v>0.1295</v>
      </c>
      <c r="M582" s="9">
        <v>5.7000000000000002E-2</v>
      </c>
      <c r="N582" s="15">
        <v>6</v>
      </c>
      <c r="O582" t="s">
        <v>28</v>
      </c>
      <c r="P582" t="s">
        <v>28</v>
      </c>
      <c r="Q582" s="24">
        <v>0.35</v>
      </c>
      <c r="R582" s="5">
        <f t="shared" si="54"/>
        <v>1605.1755616438356</v>
      </c>
      <c r="S582" s="5">
        <f t="shared" si="55"/>
        <v>70.652515068493145</v>
      </c>
      <c r="T582" s="5">
        <f t="shared" si="56"/>
        <v>1534.5230465753425</v>
      </c>
      <c r="U582" s="15">
        <f t="shared" si="57"/>
        <v>54</v>
      </c>
      <c r="V582" s="3">
        <f t="shared" si="58"/>
        <v>1913.3765000000001</v>
      </c>
      <c r="W582" s="3">
        <f t="shared" si="59"/>
        <v>581</v>
      </c>
    </row>
    <row r="583" spans="1:23" x14ac:dyDescent="0.2">
      <c r="A583" t="s">
        <v>263</v>
      </c>
      <c r="B583" t="s">
        <v>264</v>
      </c>
      <c r="C583" t="s">
        <v>77</v>
      </c>
      <c r="D583" t="s">
        <v>24</v>
      </c>
      <c r="E583" t="s">
        <v>25</v>
      </c>
      <c r="F583" s="7">
        <v>4450767</v>
      </c>
      <c r="G583" t="s">
        <v>265</v>
      </c>
      <c r="H583" s="5">
        <v>52539</v>
      </c>
      <c r="I583" s="12">
        <v>45695</v>
      </c>
      <c r="J583" s="15">
        <v>60</v>
      </c>
      <c r="K583" s="15">
        <v>10</v>
      </c>
      <c r="L583" s="9">
        <v>0.10489999999999999</v>
      </c>
      <c r="M583" s="9">
        <v>5.9400000000000001E-2</v>
      </c>
      <c r="N583" s="15">
        <v>10</v>
      </c>
      <c r="O583" t="s">
        <v>27</v>
      </c>
      <c r="P583" t="s">
        <v>28</v>
      </c>
      <c r="Q583" s="24">
        <v>0.8</v>
      </c>
      <c r="R583" s="5">
        <f t="shared" si="54"/>
        <v>905.97387945205469</v>
      </c>
      <c r="S583" s="5">
        <f t="shared" si="55"/>
        <v>85.501824657534243</v>
      </c>
      <c r="T583" s="5">
        <f t="shared" si="56"/>
        <v>820.47205479452043</v>
      </c>
      <c r="U583" s="15">
        <f t="shared" si="57"/>
        <v>50</v>
      </c>
      <c r="V583" s="3">
        <f t="shared" si="58"/>
        <v>1912.4195999999997</v>
      </c>
      <c r="W583" s="3">
        <f t="shared" si="59"/>
        <v>582</v>
      </c>
    </row>
    <row r="584" spans="1:23" x14ac:dyDescent="0.2">
      <c r="A584" t="s">
        <v>334</v>
      </c>
      <c r="B584" t="s">
        <v>335</v>
      </c>
      <c r="C584" t="s">
        <v>23</v>
      </c>
      <c r="D584" t="s">
        <v>66</v>
      </c>
      <c r="E584" t="s">
        <v>49</v>
      </c>
      <c r="F584" s="7">
        <v>1475965</v>
      </c>
      <c r="G584" t="s">
        <v>510</v>
      </c>
      <c r="H584" s="5">
        <v>72807</v>
      </c>
      <c r="I584" s="12">
        <v>45735</v>
      </c>
      <c r="J584" s="15">
        <v>60</v>
      </c>
      <c r="K584" s="15">
        <v>5</v>
      </c>
      <c r="L584" s="9">
        <v>0.14000000000000001</v>
      </c>
      <c r="M584" s="9">
        <v>6.5000000000000002E-2</v>
      </c>
      <c r="N584" s="15">
        <v>6</v>
      </c>
      <c r="O584" t="s">
        <v>27</v>
      </c>
      <c r="P584" t="s">
        <v>28</v>
      </c>
      <c r="Q584" s="24">
        <v>0.35</v>
      </c>
      <c r="R584" s="5">
        <f t="shared" si="54"/>
        <v>1675.5583561643837</v>
      </c>
      <c r="S584" s="5">
        <f t="shared" si="55"/>
        <v>77.793780821917792</v>
      </c>
      <c r="T584" s="5">
        <f t="shared" si="56"/>
        <v>1597.7645753424658</v>
      </c>
      <c r="U584" s="15">
        <f t="shared" si="57"/>
        <v>54</v>
      </c>
      <c r="V584" s="3">
        <f t="shared" si="58"/>
        <v>1911.1837500000001</v>
      </c>
      <c r="W584" s="3">
        <f t="shared" si="59"/>
        <v>583</v>
      </c>
    </row>
    <row r="585" spans="1:23" x14ac:dyDescent="0.2">
      <c r="A585" t="s">
        <v>263</v>
      </c>
      <c r="B585" t="s">
        <v>264</v>
      </c>
      <c r="C585" t="s">
        <v>77</v>
      </c>
      <c r="D585" t="s">
        <v>24</v>
      </c>
      <c r="E585" t="s">
        <v>25</v>
      </c>
      <c r="F585" s="7">
        <v>4450767</v>
      </c>
      <c r="G585" t="s">
        <v>1604</v>
      </c>
      <c r="H585" s="5">
        <v>95164</v>
      </c>
      <c r="I585" s="12">
        <v>45793</v>
      </c>
      <c r="J585" s="15">
        <v>60</v>
      </c>
      <c r="K585" s="15">
        <v>3</v>
      </c>
      <c r="L585" s="9">
        <v>0.10489999999999999</v>
      </c>
      <c r="M585" s="9">
        <v>4.7699999999999999E-2</v>
      </c>
      <c r="N585" s="15">
        <v>8</v>
      </c>
      <c r="O585" t="s">
        <v>27</v>
      </c>
      <c r="P585" t="s">
        <v>28</v>
      </c>
      <c r="Q585" s="24">
        <v>0.35</v>
      </c>
      <c r="R585" s="5">
        <f t="shared" si="54"/>
        <v>1640.9923726027394</v>
      </c>
      <c r="S585" s="5">
        <f t="shared" si="55"/>
        <v>99.492006575342458</v>
      </c>
      <c r="T585" s="5">
        <f t="shared" si="56"/>
        <v>1541.5003660273969</v>
      </c>
      <c r="U585" s="15">
        <f t="shared" si="57"/>
        <v>52</v>
      </c>
      <c r="V585" s="3">
        <f t="shared" si="58"/>
        <v>1905.1832799999997</v>
      </c>
      <c r="W585" s="3">
        <f t="shared" si="59"/>
        <v>584</v>
      </c>
    </row>
    <row r="586" spans="1:23" x14ac:dyDescent="0.2">
      <c r="A586" t="s">
        <v>43</v>
      </c>
      <c r="B586" t="s">
        <v>44</v>
      </c>
      <c r="C586" t="s">
        <v>23</v>
      </c>
      <c r="D586" t="s">
        <v>24</v>
      </c>
      <c r="E586" t="s">
        <v>25</v>
      </c>
      <c r="F586" s="7">
        <v>2577026</v>
      </c>
      <c r="G586" t="s">
        <v>1643</v>
      </c>
      <c r="H586" s="5">
        <v>89616</v>
      </c>
      <c r="I586" s="12">
        <v>45768</v>
      </c>
      <c r="J586" s="15">
        <v>60</v>
      </c>
      <c r="K586" s="15">
        <v>10</v>
      </c>
      <c r="L586" s="9">
        <v>0.123</v>
      </c>
      <c r="M586" s="9">
        <v>6.2399999999999997E-2</v>
      </c>
      <c r="N586" s="15">
        <v>8</v>
      </c>
      <c r="O586" t="s">
        <v>28</v>
      </c>
      <c r="P586" t="s">
        <v>28</v>
      </c>
      <c r="Q586" s="24">
        <v>0.35</v>
      </c>
      <c r="R586" s="5">
        <f t="shared" si="54"/>
        <v>1811.9618630136986</v>
      </c>
      <c r="S586" s="5">
        <f t="shared" si="55"/>
        <v>122.56522520547944</v>
      </c>
      <c r="T586" s="5">
        <f t="shared" si="56"/>
        <v>1689.3966378082191</v>
      </c>
      <c r="U586" s="15">
        <f t="shared" si="57"/>
        <v>52</v>
      </c>
      <c r="V586" s="3">
        <f t="shared" si="58"/>
        <v>1900.7553599999999</v>
      </c>
      <c r="W586" s="3">
        <f t="shared" si="59"/>
        <v>585</v>
      </c>
    </row>
    <row r="587" spans="1:23" x14ac:dyDescent="0.2">
      <c r="A587" t="s">
        <v>88</v>
      </c>
      <c r="B587" t="s">
        <v>89</v>
      </c>
      <c r="C587" t="s">
        <v>23</v>
      </c>
      <c r="D587" t="s">
        <v>66</v>
      </c>
      <c r="E587" t="s">
        <v>49</v>
      </c>
      <c r="F587" s="7">
        <v>896464</v>
      </c>
      <c r="G587" t="s">
        <v>1373</v>
      </c>
      <c r="H587" s="5">
        <v>24280</v>
      </c>
      <c r="I587" s="12">
        <v>45750</v>
      </c>
      <c r="J587" s="15">
        <v>60</v>
      </c>
      <c r="K587" s="15">
        <v>5</v>
      </c>
      <c r="L587" s="9">
        <v>0.13550000000000001</v>
      </c>
      <c r="M587" s="9">
        <v>4.87E-2</v>
      </c>
      <c r="N587" s="15">
        <v>6</v>
      </c>
      <c r="O587" t="s">
        <v>28</v>
      </c>
      <c r="P587" t="s">
        <v>28</v>
      </c>
      <c r="Q587" s="24">
        <v>0.9</v>
      </c>
      <c r="R587" s="5">
        <f t="shared" si="54"/>
        <v>540.81205479452058</v>
      </c>
      <c r="S587" s="5">
        <f t="shared" si="55"/>
        <v>19.437304109589039</v>
      </c>
      <c r="T587" s="5">
        <f t="shared" si="56"/>
        <v>521.37475068493154</v>
      </c>
      <c r="U587" s="15">
        <f t="shared" si="57"/>
        <v>54</v>
      </c>
      <c r="V587" s="3">
        <f t="shared" si="58"/>
        <v>1896.7536000000005</v>
      </c>
      <c r="W587" s="3">
        <f t="shared" si="59"/>
        <v>586</v>
      </c>
    </row>
    <row r="588" spans="1:23" x14ac:dyDescent="0.2">
      <c r="A588" t="s">
        <v>75</v>
      </c>
      <c r="B588" t="s">
        <v>76</v>
      </c>
      <c r="C588" t="s">
        <v>77</v>
      </c>
      <c r="D588" t="s">
        <v>37</v>
      </c>
      <c r="E588" t="s">
        <v>49</v>
      </c>
      <c r="F588" s="7">
        <v>1309806</v>
      </c>
      <c r="G588" t="s">
        <v>1534</v>
      </c>
      <c r="H588" s="5">
        <v>61063</v>
      </c>
      <c r="I588" s="12">
        <v>45984</v>
      </c>
      <c r="J588" s="15">
        <v>60</v>
      </c>
      <c r="K588" s="15">
        <v>2</v>
      </c>
      <c r="L588" s="9">
        <v>0.15210000000000001</v>
      </c>
      <c r="M588" s="9">
        <v>6.3500000000000001E-2</v>
      </c>
      <c r="N588" s="15">
        <v>7</v>
      </c>
      <c r="O588" t="s">
        <v>28</v>
      </c>
      <c r="P588" t="s">
        <v>28</v>
      </c>
      <c r="Q588" s="24">
        <v>0.35</v>
      </c>
      <c r="R588" s="5">
        <f t="shared" si="54"/>
        <v>1526.742295890411</v>
      </c>
      <c r="S588" s="5">
        <f t="shared" si="55"/>
        <v>74.36302328767124</v>
      </c>
      <c r="T588" s="5">
        <f t="shared" si="56"/>
        <v>1452.3792726027398</v>
      </c>
      <c r="U588" s="15">
        <f t="shared" si="57"/>
        <v>53</v>
      </c>
      <c r="V588" s="3">
        <f t="shared" si="58"/>
        <v>1893.5636300000001</v>
      </c>
      <c r="W588" s="3">
        <f t="shared" si="59"/>
        <v>587</v>
      </c>
    </row>
    <row r="589" spans="1:23" x14ac:dyDescent="0.2">
      <c r="A589" t="s">
        <v>88</v>
      </c>
      <c r="B589" t="s">
        <v>89</v>
      </c>
      <c r="C589" t="s">
        <v>23</v>
      </c>
      <c r="D589" t="s">
        <v>66</v>
      </c>
      <c r="E589" t="s">
        <v>49</v>
      </c>
      <c r="F589" s="7">
        <v>896464</v>
      </c>
      <c r="G589" t="s">
        <v>1193</v>
      </c>
      <c r="H589" s="5">
        <v>109003</v>
      </c>
      <c r="I589" s="12">
        <v>45942</v>
      </c>
      <c r="J589" s="15">
        <v>60</v>
      </c>
      <c r="K589" s="15">
        <v>5</v>
      </c>
      <c r="L589" s="9">
        <v>0.13550000000000001</v>
      </c>
      <c r="M589" s="9">
        <v>4.87E-2</v>
      </c>
      <c r="N589" s="15">
        <v>5</v>
      </c>
      <c r="O589" t="s">
        <v>27</v>
      </c>
      <c r="P589" t="s">
        <v>28</v>
      </c>
      <c r="Q589" s="24">
        <v>0.2</v>
      </c>
      <c r="R589" s="5">
        <f t="shared" si="54"/>
        <v>2427.9298356164386</v>
      </c>
      <c r="S589" s="5">
        <f t="shared" si="55"/>
        <v>72.718439726027398</v>
      </c>
      <c r="T589" s="5">
        <f t="shared" si="56"/>
        <v>2355.211395890411</v>
      </c>
      <c r="U589" s="15">
        <f t="shared" si="57"/>
        <v>55</v>
      </c>
      <c r="V589" s="3">
        <f t="shared" si="58"/>
        <v>1892.2920800000004</v>
      </c>
      <c r="W589" s="3">
        <f t="shared" si="59"/>
        <v>588</v>
      </c>
    </row>
    <row r="590" spans="1:23" x14ac:dyDescent="0.2">
      <c r="A590" t="s">
        <v>34</v>
      </c>
      <c r="B590" t="s">
        <v>35</v>
      </c>
      <c r="C590" t="s">
        <v>36</v>
      </c>
      <c r="D590" t="s">
        <v>37</v>
      </c>
      <c r="E590" t="s">
        <v>25</v>
      </c>
      <c r="F590" s="7">
        <v>3714458</v>
      </c>
      <c r="G590" t="s">
        <v>696</v>
      </c>
      <c r="H590" s="5">
        <v>42191</v>
      </c>
      <c r="I590" s="12">
        <v>45740</v>
      </c>
      <c r="J590" s="15">
        <v>60</v>
      </c>
      <c r="K590" s="15">
        <v>4</v>
      </c>
      <c r="L590" s="9">
        <v>0.1153</v>
      </c>
      <c r="M590" s="9">
        <v>5.9400000000000001E-2</v>
      </c>
      <c r="N590" s="15">
        <v>8</v>
      </c>
      <c r="O590" t="s">
        <v>27</v>
      </c>
      <c r="P590" t="s">
        <v>28</v>
      </c>
      <c r="Q590" s="24">
        <v>0.8</v>
      </c>
      <c r="R590" s="5">
        <f t="shared" si="54"/>
        <v>799.66393972602737</v>
      </c>
      <c r="S590" s="5">
        <f t="shared" si="55"/>
        <v>54.929214246575341</v>
      </c>
      <c r="T590" s="5">
        <f t="shared" si="56"/>
        <v>744.73472547945198</v>
      </c>
      <c r="U590" s="15">
        <f t="shared" si="57"/>
        <v>52</v>
      </c>
      <c r="V590" s="3">
        <f t="shared" si="58"/>
        <v>1886.7815200000002</v>
      </c>
      <c r="W590" s="3">
        <f t="shared" si="59"/>
        <v>589</v>
      </c>
    </row>
    <row r="591" spans="1:23" x14ac:dyDescent="0.2">
      <c r="A591" t="s">
        <v>109</v>
      </c>
      <c r="B591" t="s">
        <v>110</v>
      </c>
      <c r="C591" t="s">
        <v>41</v>
      </c>
      <c r="D591" t="s">
        <v>37</v>
      </c>
      <c r="E591" t="s">
        <v>49</v>
      </c>
      <c r="F591" s="7">
        <v>1383695</v>
      </c>
      <c r="G591" t="s">
        <v>1710</v>
      </c>
      <c r="H591" s="5">
        <v>48553</v>
      </c>
      <c r="I591" s="12">
        <v>45864</v>
      </c>
      <c r="J591" s="15">
        <v>60</v>
      </c>
      <c r="K591" s="15">
        <v>4</v>
      </c>
      <c r="L591" s="9">
        <v>0.16850000000000001</v>
      </c>
      <c r="M591" s="9">
        <v>5.7599999999999998E-2</v>
      </c>
      <c r="N591" s="15">
        <v>7</v>
      </c>
      <c r="O591" t="s">
        <v>27</v>
      </c>
      <c r="P591" t="s">
        <v>28</v>
      </c>
      <c r="Q591" s="24">
        <v>0.35</v>
      </c>
      <c r="R591" s="5">
        <f t="shared" si="54"/>
        <v>1344.8515890410958</v>
      </c>
      <c r="S591" s="5">
        <f t="shared" si="55"/>
        <v>53.63443726027397</v>
      </c>
      <c r="T591" s="5">
        <f t="shared" si="56"/>
        <v>1291.217151780822</v>
      </c>
      <c r="U591" s="15">
        <f t="shared" si="57"/>
        <v>53</v>
      </c>
      <c r="V591" s="3">
        <f t="shared" si="58"/>
        <v>1884.584695</v>
      </c>
      <c r="W591" s="3">
        <f t="shared" si="59"/>
        <v>590</v>
      </c>
    </row>
    <row r="592" spans="1:23" x14ac:dyDescent="0.2">
      <c r="A592" t="s">
        <v>64</v>
      </c>
      <c r="B592" t="s">
        <v>65</v>
      </c>
      <c r="C592" t="s">
        <v>36</v>
      </c>
      <c r="D592" t="s">
        <v>66</v>
      </c>
      <c r="E592" t="s">
        <v>56</v>
      </c>
      <c r="F592" s="7">
        <v>19529913</v>
      </c>
      <c r="G592" t="s">
        <v>971</v>
      </c>
      <c r="H592" s="5">
        <v>87851</v>
      </c>
      <c r="I592" s="12">
        <v>45885</v>
      </c>
      <c r="J592" s="15">
        <v>60</v>
      </c>
      <c r="K592" s="15">
        <v>10</v>
      </c>
      <c r="L592" s="9">
        <v>8.7499999999999994E-2</v>
      </c>
      <c r="M592" s="9">
        <v>6.0699999999999997E-2</v>
      </c>
      <c r="N592" s="15">
        <v>8</v>
      </c>
      <c r="O592" t="s">
        <v>27</v>
      </c>
      <c r="P592" t="s">
        <v>28</v>
      </c>
      <c r="Q592" s="24">
        <v>0.8</v>
      </c>
      <c r="R592" s="5">
        <f t="shared" si="54"/>
        <v>1263.6102739726025</v>
      </c>
      <c r="S592" s="5">
        <f t="shared" si="55"/>
        <v>116.87793315068492</v>
      </c>
      <c r="T592" s="5">
        <f t="shared" si="56"/>
        <v>1146.7323408219177</v>
      </c>
      <c r="U592" s="15">
        <f t="shared" si="57"/>
        <v>52</v>
      </c>
      <c r="V592" s="3">
        <f t="shared" si="58"/>
        <v>1883.5254400000001</v>
      </c>
      <c r="W592" s="3">
        <f t="shared" si="59"/>
        <v>591</v>
      </c>
    </row>
    <row r="593" spans="1:23" x14ac:dyDescent="0.2">
      <c r="A593" t="s">
        <v>130</v>
      </c>
      <c r="B593" t="s">
        <v>131</v>
      </c>
      <c r="C593" t="s">
        <v>36</v>
      </c>
      <c r="D593" t="s">
        <v>48</v>
      </c>
      <c r="E593" t="s">
        <v>56</v>
      </c>
      <c r="F593" s="7">
        <v>10372464</v>
      </c>
      <c r="G593" t="s">
        <v>132</v>
      </c>
      <c r="H593" s="5">
        <v>109794</v>
      </c>
      <c r="I593" s="12">
        <v>46055</v>
      </c>
      <c r="J593" s="15">
        <v>60</v>
      </c>
      <c r="K593" s="15">
        <v>5</v>
      </c>
      <c r="L593" s="9">
        <v>8.77E-2</v>
      </c>
      <c r="M593" s="9">
        <v>5.3400000000000003E-2</v>
      </c>
      <c r="N593" s="15">
        <v>7</v>
      </c>
      <c r="O593" t="s">
        <v>28</v>
      </c>
      <c r="P593" t="s">
        <v>28</v>
      </c>
      <c r="Q593" s="24">
        <v>0.5</v>
      </c>
      <c r="R593" s="5">
        <f t="shared" si="54"/>
        <v>1582.8384328767124</v>
      </c>
      <c r="S593" s="5">
        <f t="shared" si="55"/>
        <v>112.44108821917808</v>
      </c>
      <c r="T593" s="5">
        <f t="shared" si="56"/>
        <v>1470.3973446575344</v>
      </c>
      <c r="U593" s="15">
        <f t="shared" si="57"/>
        <v>53</v>
      </c>
      <c r="V593" s="3">
        <f t="shared" si="58"/>
        <v>1882.9670999999998</v>
      </c>
      <c r="W593" s="3">
        <f t="shared" si="59"/>
        <v>592</v>
      </c>
    </row>
    <row r="594" spans="1:23" x14ac:dyDescent="0.2">
      <c r="A594" t="s">
        <v>130</v>
      </c>
      <c r="B594" t="s">
        <v>131</v>
      </c>
      <c r="C594" t="s">
        <v>36</v>
      </c>
      <c r="D594" t="s">
        <v>48</v>
      </c>
      <c r="E594" t="s">
        <v>56</v>
      </c>
      <c r="F594" s="7">
        <v>10372464</v>
      </c>
      <c r="G594" t="s">
        <v>849</v>
      </c>
      <c r="H594" s="5">
        <v>100092</v>
      </c>
      <c r="I594" s="12">
        <v>46041</v>
      </c>
      <c r="J594" s="15">
        <v>45</v>
      </c>
      <c r="K594" s="15">
        <v>10</v>
      </c>
      <c r="L594" s="9">
        <v>8.77E-2</v>
      </c>
      <c r="M594" s="9">
        <v>5.8799999999999998E-2</v>
      </c>
      <c r="N594" s="15">
        <v>10</v>
      </c>
      <c r="O594" t="s">
        <v>27</v>
      </c>
      <c r="P594" t="s">
        <v>28</v>
      </c>
      <c r="Q594" s="24">
        <v>0.65</v>
      </c>
      <c r="R594" s="5">
        <f t="shared" si="54"/>
        <v>1082.2276109589041</v>
      </c>
      <c r="S594" s="5">
        <f t="shared" si="55"/>
        <v>161.24409863013699</v>
      </c>
      <c r="T594" s="5">
        <f t="shared" si="56"/>
        <v>920.98351232876712</v>
      </c>
      <c r="U594" s="15">
        <f t="shared" si="57"/>
        <v>35</v>
      </c>
      <c r="V594" s="3">
        <f t="shared" si="58"/>
        <v>1880.2282200000004</v>
      </c>
      <c r="W594" s="3">
        <f t="shared" si="59"/>
        <v>593</v>
      </c>
    </row>
    <row r="595" spans="1:23" x14ac:dyDescent="0.2">
      <c r="A595" t="s">
        <v>582</v>
      </c>
      <c r="B595" t="s">
        <v>76</v>
      </c>
      <c r="C595" t="s">
        <v>36</v>
      </c>
      <c r="D595" t="s">
        <v>37</v>
      </c>
      <c r="E595" t="s">
        <v>49</v>
      </c>
      <c r="F595" s="7">
        <v>1336236</v>
      </c>
      <c r="G595" t="s">
        <v>583</v>
      </c>
      <c r="H595" s="5">
        <v>64028</v>
      </c>
      <c r="I595" s="12">
        <v>45900</v>
      </c>
      <c r="J595" s="15">
        <v>60</v>
      </c>
      <c r="K595" s="15">
        <v>2</v>
      </c>
      <c r="L595" s="9">
        <v>0.14249999999999999</v>
      </c>
      <c r="M595" s="9">
        <v>5.8599999999999999E-2</v>
      </c>
      <c r="N595" s="15">
        <v>6</v>
      </c>
      <c r="O595" t="s">
        <v>27</v>
      </c>
      <c r="P595" t="s">
        <v>28</v>
      </c>
      <c r="Q595" s="24">
        <v>0.35</v>
      </c>
      <c r="R595" s="5">
        <f t="shared" si="54"/>
        <v>1499.8339726027395</v>
      </c>
      <c r="S595" s="5">
        <f t="shared" si="55"/>
        <v>61.677383013698623</v>
      </c>
      <c r="T595" s="5">
        <f t="shared" si="56"/>
        <v>1438.156589589041</v>
      </c>
      <c r="U595" s="15">
        <f t="shared" si="57"/>
        <v>54</v>
      </c>
      <c r="V595" s="3">
        <f t="shared" si="58"/>
        <v>1880.1822199999997</v>
      </c>
      <c r="W595" s="3">
        <f t="shared" si="59"/>
        <v>594</v>
      </c>
    </row>
    <row r="596" spans="1:23" x14ac:dyDescent="0.2">
      <c r="A596" t="s">
        <v>549</v>
      </c>
      <c r="B596" t="s">
        <v>161</v>
      </c>
      <c r="C596" t="s">
        <v>77</v>
      </c>
      <c r="D596" t="s">
        <v>48</v>
      </c>
      <c r="E596" t="s">
        <v>56</v>
      </c>
      <c r="F596" s="7">
        <v>15837870</v>
      </c>
      <c r="G596" t="s">
        <v>645</v>
      </c>
      <c r="H596" s="5">
        <v>91822</v>
      </c>
      <c r="I596" s="12">
        <v>45728</v>
      </c>
      <c r="J596" s="15">
        <v>90</v>
      </c>
      <c r="K596" s="15">
        <v>3</v>
      </c>
      <c r="L596" s="9">
        <v>0.1089</v>
      </c>
      <c r="M596" s="9">
        <v>5.0500000000000003E-2</v>
      </c>
      <c r="N596" s="15">
        <v>7</v>
      </c>
      <c r="O596" t="s">
        <v>27</v>
      </c>
      <c r="P596" t="s">
        <v>28</v>
      </c>
      <c r="Q596" s="24">
        <v>0.35</v>
      </c>
      <c r="R596" s="5">
        <f t="shared" si="54"/>
        <v>2465.6093753424652</v>
      </c>
      <c r="S596" s="5">
        <f t="shared" si="55"/>
        <v>88.92897808219179</v>
      </c>
      <c r="T596" s="5">
        <f t="shared" si="56"/>
        <v>2376.6803972602734</v>
      </c>
      <c r="U596" s="15">
        <f t="shared" si="57"/>
        <v>83</v>
      </c>
      <c r="V596" s="3">
        <f t="shared" si="58"/>
        <v>1876.8416799999998</v>
      </c>
      <c r="W596" s="3">
        <f t="shared" si="59"/>
        <v>595</v>
      </c>
    </row>
    <row r="597" spans="1:23" x14ac:dyDescent="0.2">
      <c r="A597" t="s">
        <v>189</v>
      </c>
      <c r="B597" t="s">
        <v>190</v>
      </c>
      <c r="C597" t="s">
        <v>36</v>
      </c>
      <c r="D597" t="s">
        <v>37</v>
      </c>
      <c r="E597" t="s">
        <v>49</v>
      </c>
      <c r="F597" s="7">
        <v>965613</v>
      </c>
      <c r="G597" t="s">
        <v>888</v>
      </c>
      <c r="H597" s="5">
        <v>57123</v>
      </c>
      <c r="I597" s="12">
        <v>45689</v>
      </c>
      <c r="J597" s="15">
        <v>90</v>
      </c>
      <c r="K597" s="15">
        <v>7</v>
      </c>
      <c r="L597" s="9">
        <v>0.1109</v>
      </c>
      <c r="M597" s="9">
        <v>4.5199999999999997E-2</v>
      </c>
      <c r="N597" s="15">
        <v>10</v>
      </c>
      <c r="O597" t="s">
        <v>27</v>
      </c>
      <c r="P597" t="s">
        <v>28</v>
      </c>
      <c r="Q597" s="24">
        <v>0.5</v>
      </c>
      <c r="R597" s="5">
        <f t="shared" si="54"/>
        <v>1562.0401726027396</v>
      </c>
      <c r="S597" s="5">
        <f t="shared" si="55"/>
        <v>70.738619178082175</v>
      </c>
      <c r="T597" s="5">
        <f t="shared" si="56"/>
        <v>1491.3015534246574</v>
      </c>
      <c r="U597" s="15">
        <f t="shared" si="57"/>
        <v>80</v>
      </c>
      <c r="V597" s="3">
        <f t="shared" si="58"/>
        <v>1876.4905500000002</v>
      </c>
      <c r="W597" s="3">
        <f t="shared" si="59"/>
        <v>596</v>
      </c>
    </row>
    <row r="598" spans="1:23" x14ac:dyDescent="0.2">
      <c r="A598" t="s">
        <v>58</v>
      </c>
      <c r="B598" t="s">
        <v>59</v>
      </c>
      <c r="C598" t="s">
        <v>23</v>
      </c>
      <c r="D598" t="s">
        <v>24</v>
      </c>
      <c r="E598" t="s">
        <v>25</v>
      </c>
      <c r="F598" s="7">
        <v>4269919</v>
      </c>
      <c r="G598" t="s">
        <v>775</v>
      </c>
      <c r="H598" s="5">
        <v>32669</v>
      </c>
      <c r="I598" s="12">
        <v>45932</v>
      </c>
      <c r="J598" s="15">
        <v>60</v>
      </c>
      <c r="K598" s="15">
        <v>10</v>
      </c>
      <c r="L598" s="9">
        <v>0.1212</v>
      </c>
      <c r="M598" s="9">
        <v>5.74E-2</v>
      </c>
      <c r="N598" s="15">
        <v>5</v>
      </c>
      <c r="O598" t="s">
        <v>28</v>
      </c>
      <c r="P598" t="s">
        <v>28</v>
      </c>
      <c r="Q598" s="24">
        <v>0.9</v>
      </c>
      <c r="R598" s="5">
        <f t="shared" si="54"/>
        <v>650.87388493150684</v>
      </c>
      <c r="S598" s="5">
        <f t="shared" si="55"/>
        <v>25.687679452054791</v>
      </c>
      <c r="T598" s="5">
        <f t="shared" si="56"/>
        <v>625.18620547945204</v>
      </c>
      <c r="U598" s="15">
        <f t="shared" si="57"/>
        <v>55</v>
      </c>
      <c r="V598" s="3">
        <f t="shared" si="58"/>
        <v>1875.8539799999999</v>
      </c>
      <c r="W598" s="3">
        <f t="shared" si="59"/>
        <v>597</v>
      </c>
    </row>
    <row r="599" spans="1:23" x14ac:dyDescent="0.2">
      <c r="A599" t="s">
        <v>29</v>
      </c>
      <c r="B599" t="s">
        <v>30</v>
      </c>
      <c r="C599" t="s">
        <v>31</v>
      </c>
      <c r="D599" t="s">
        <v>32</v>
      </c>
      <c r="E599" t="s">
        <v>25</v>
      </c>
      <c r="F599" s="7">
        <v>4331160</v>
      </c>
      <c r="G599" t="s">
        <v>71</v>
      </c>
      <c r="H599" s="5">
        <v>30320</v>
      </c>
      <c r="I599" s="12">
        <v>45727</v>
      </c>
      <c r="J599" s="15">
        <v>30</v>
      </c>
      <c r="K599" s="15">
        <v>2</v>
      </c>
      <c r="L599" s="9">
        <v>0.12809999999999999</v>
      </c>
      <c r="M599" s="9">
        <v>5.11E-2</v>
      </c>
      <c r="N599" s="15">
        <v>8</v>
      </c>
      <c r="O599" t="s">
        <v>28</v>
      </c>
      <c r="P599" t="s">
        <v>28</v>
      </c>
      <c r="Q599" s="24">
        <v>0.8</v>
      </c>
      <c r="R599" s="5">
        <f t="shared" si="54"/>
        <v>319.23221917808218</v>
      </c>
      <c r="S599" s="5">
        <f t="shared" si="55"/>
        <v>33.958400000000005</v>
      </c>
      <c r="T599" s="5">
        <f t="shared" si="56"/>
        <v>285.27381917808219</v>
      </c>
      <c r="U599" s="15">
        <f t="shared" si="57"/>
        <v>22</v>
      </c>
      <c r="V599" s="3">
        <f t="shared" si="58"/>
        <v>1867.7119999999995</v>
      </c>
      <c r="W599" s="3">
        <f t="shared" si="59"/>
        <v>598</v>
      </c>
    </row>
    <row r="600" spans="1:23" x14ac:dyDescent="0.2">
      <c r="A600" t="s">
        <v>29</v>
      </c>
      <c r="B600" t="s">
        <v>30</v>
      </c>
      <c r="C600" t="s">
        <v>31</v>
      </c>
      <c r="D600" t="s">
        <v>32</v>
      </c>
      <c r="E600" t="s">
        <v>25</v>
      </c>
      <c r="F600" s="7">
        <v>4331160</v>
      </c>
      <c r="G600" t="s">
        <v>1143</v>
      </c>
      <c r="H600" s="5">
        <v>29407</v>
      </c>
      <c r="I600" s="12">
        <v>45824</v>
      </c>
      <c r="J600" s="15">
        <v>60</v>
      </c>
      <c r="K600" s="15">
        <v>7</v>
      </c>
      <c r="L600" s="9">
        <v>0.12809999999999999</v>
      </c>
      <c r="M600" s="9">
        <v>5.7700000000000001E-2</v>
      </c>
      <c r="N600" s="15">
        <v>8</v>
      </c>
      <c r="O600" t="s">
        <v>27</v>
      </c>
      <c r="P600" t="s">
        <v>28</v>
      </c>
      <c r="Q600" s="24">
        <v>0.9</v>
      </c>
      <c r="R600" s="5">
        <f t="shared" si="54"/>
        <v>619.23890958904099</v>
      </c>
      <c r="S600" s="5">
        <f t="shared" si="55"/>
        <v>37.189784109589041</v>
      </c>
      <c r="T600" s="5">
        <f t="shared" si="56"/>
        <v>582.04912547945196</v>
      </c>
      <c r="U600" s="15">
        <f t="shared" si="57"/>
        <v>52</v>
      </c>
      <c r="V600" s="3">
        <f t="shared" si="58"/>
        <v>1863.2275199999999</v>
      </c>
      <c r="W600" s="3">
        <f t="shared" si="59"/>
        <v>599</v>
      </c>
    </row>
    <row r="601" spans="1:23" x14ac:dyDescent="0.2">
      <c r="A601" t="s">
        <v>401</v>
      </c>
      <c r="B601" t="s">
        <v>402</v>
      </c>
      <c r="C601" t="s">
        <v>41</v>
      </c>
      <c r="D601" t="s">
        <v>32</v>
      </c>
      <c r="E601" t="s">
        <v>25</v>
      </c>
      <c r="F601" s="7">
        <v>4153903</v>
      </c>
      <c r="G601" t="s">
        <v>403</v>
      </c>
      <c r="H601" s="5">
        <v>30899</v>
      </c>
      <c r="I601" s="12">
        <v>45857</v>
      </c>
      <c r="J601" s="15">
        <v>60</v>
      </c>
      <c r="K601" s="15">
        <v>10</v>
      </c>
      <c r="L601" s="9">
        <v>0.13669999999999999</v>
      </c>
      <c r="M601" s="9">
        <v>6.1400000000000003E-2</v>
      </c>
      <c r="N601" s="15">
        <v>5</v>
      </c>
      <c r="O601" t="s">
        <v>27</v>
      </c>
      <c r="P601" t="s">
        <v>28</v>
      </c>
      <c r="Q601" s="24">
        <v>0.8</v>
      </c>
      <c r="R601" s="5">
        <f t="shared" si="54"/>
        <v>694.33862465753418</v>
      </c>
      <c r="S601" s="5">
        <f t="shared" si="55"/>
        <v>25.98902191780822</v>
      </c>
      <c r="T601" s="5">
        <f t="shared" si="56"/>
        <v>668.34960273972592</v>
      </c>
      <c r="U601" s="15">
        <f t="shared" si="57"/>
        <v>55</v>
      </c>
      <c r="V601" s="3">
        <f t="shared" si="58"/>
        <v>1861.3557599999997</v>
      </c>
      <c r="W601" s="3">
        <f t="shared" si="59"/>
        <v>600</v>
      </c>
    </row>
    <row r="602" spans="1:23" x14ac:dyDescent="0.2">
      <c r="A602" t="s">
        <v>201</v>
      </c>
      <c r="B602" t="s">
        <v>76</v>
      </c>
      <c r="C602" t="s">
        <v>23</v>
      </c>
      <c r="D602" t="s">
        <v>37</v>
      </c>
      <c r="E602" t="s">
        <v>56</v>
      </c>
      <c r="F602" s="7">
        <v>21198154</v>
      </c>
      <c r="G602" t="s">
        <v>842</v>
      </c>
      <c r="H602" s="5">
        <v>32958</v>
      </c>
      <c r="I602" s="12">
        <v>45734</v>
      </c>
      <c r="J602" s="15">
        <v>60</v>
      </c>
      <c r="K602" s="15">
        <v>5</v>
      </c>
      <c r="L602" s="9">
        <v>0.1086</v>
      </c>
      <c r="M602" s="9">
        <v>4.5900000000000003E-2</v>
      </c>
      <c r="N602" s="15">
        <v>6</v>
      </c>
      <c r="O602" t="s">
        <v>27</v>
      </c>
      <c r="P602" t="s">
        <v>28</v>
      </c>
      <c r="Q602" s="24">
        <v>0.9</v>
      </c>
      <c r="R602" s="5">
        <f t="shared" si="54"/>
        <v>588.36802191780816</v>
      </c>
      <c r="S602" s="5">
        <f t="shared" si="55"/>
        <v>24.867488219178082</v>
      </c>
      <c r="T602" s="5">
        <f t="shared" si="56"/>
        <v>563.50053369863008</v>
      </c>
      <c r="U602" s="15">
        <f t="shared" si="57"/>
        <v>54</v>
      </c>
      <c r="V602" s="3">
        <f t="shared" si="58"/>
        <v>1859.8199400000003</v>
      </c>
      <c r="W602" s="3">
        <f t="shared" si="59"/>
        <v>601</v>
      </c>
    </row>
    <row r="603" spans="1:23" x14ac:dyDescent="0.2">
      <c r="A603" t="s">
        <v>174</v>
      </c>
      <c r="B603" t="s">
        <v>175</v>
      </c>
      <c r="C603" t="s">
        <v>41</v>
      </c>
      <c r="D603" t="s">
        <v>37</v>
      </c>
      <c r="E603" t="s">
        <v>49</v>
      </c>
      <c r="F603" s="7">
        <v>1267987</v>
      </c>
      <c r="G603" t="s">
        <v>1355</v>
      </c>
      <c r="H603" s="5">
        <v>55815</v>
      </c>
      <c r="I603" s="12">
        <v>46037</v>
      </c>
      <c r="J603" s="15">
        <v>60</v>
      </c>
      <c r="K603" s="15">
        <v>2</v>
      </c>
      <c r="L603" s="9">
        <v>0.125</v>
      </c>
      <c r="M603" s="9">
        <v>5.8400000000000001E-2</v>
      </c>
      <c r="N603" s="15">
        <v>10</v>
      </c>
      <c r="O603" t="s">
        <v>27</v>
      </c>
      <c r="P603" t="s">
        <v>28</v>
      </c>
      <c r="Q603" s="24">
        <v>0.5</v>
      </c>
      <c r="R603" s="5">
        <f t="shared" si="54"/>
        <v>1146.8835616438355</v>
      </c>
      <c r="S603" s="5">
        <f t="shared" si="55"/>
        <v>89.304000000000002</v>
      </c>
      <c r="T603" s="5">
        <f t="shared" si="56"/>
        <v>1057.5795616438354</v>
      </c>
      <c r="U603" s="15">
        <f t="shared" si="57"/>
        <v>50</v>
      </c>
      <c r="V603" s="3">
        <f t="shared" si="58"/>
        <v>1858.6394999999998</v>
      </c>
      <c r="W603" s="3">
        <f t="shared" si="59"/>
        <v>602</v>
      </c>
    </row>
    <row r="604" spans="1:23" x14ac:dyDescent="0.2">
      <c r="A604" t="s">
        <v>273</v>
      </c>
      <c r="B604" t="s">
        <v>274</v>
      </c>
      <c r="C604" t="s">
        <v>41</v>
      </c>
      <c r="D604" t="s">
        <v>37</v>
      </c>
      <c r="E604" t="s">
        <v>56</v>
      </c>
      <c r="F604" s="7">
        <v>12001432</v>
      </c>
      <c r="G604" t="s">
        <v>1324</v>
      </c>
      <c r="H604" s="5">
        <v>47527</v>
      </c>
      <c r="I604" s="12">
        <v>46061</v>
      </c>
      <c r="J604" s="15">
        <v>60</v>
      </c>
      <c r="K604" s="15">
        <v>2</v>
      </c>
      <c r="L604" s="9">
        <v>9.1800000000000007E-2</v>
      </c>
      <c r="M604" s="9">
        <v>4.8399999999999999E-2</v>
      </c>
      <c r="N604" s="15">
        <v>8</v>
      </c>
      <c r="O604" t="s">
        <v>28</v>
      </c>
      <c r="P604" t="s">
        <v>28</v>
      </c>
      <c r="Q604" s="24">
        <v>0.9</v>
      </c>
      <c r="R604" s="5">
        <f t="shared" si="54"/>
        <v>717.2019616438356</v>
      </c>
      <c r="S604" s="5">
        <f t="shared" si="55"/>
        <v>50.417683287671231</v>
      </c>
      <c r="T604" s="5">
        <f t="shared" si="56"/>
        <v>666.78427835616435</v>
      </c>
      <c r="U604" s="15">
        <f t="shared" si="57"/>
        <v>52</v>
      </c>
      <c r="V604" s="3">
        <f t="shared" si="58"/>
        <v>1856.4046200000005</v>
      </c>
      <c r="W604" s="3">
        <f t="shared" si="59"/>
        <v>603</v>
      </c>
    </row>
    <row r="605" spans="1:23" x14ac:dyDescent="0.2">
      <c r="A605" t="s">
        <v>474</v>
      </c>
      <c r="B605" t="s">
        <v>207</v>
      </c>
      <c r="C605" t="s">
        <v>31</v>
      </c>
      <c r="D605" t="s">
        <v>37</v>
      </c>
      <c r="E605" t="s">
        <v>25</v>
      </c>
      <c r="F605" s="7">
        <v>4395110</v>
      </c>
      <c r="G605" t="s">
        <v>1295</v>
      </c>
      <c r="H605" s="5">
        <v>94716</v>
      </c>
      <c r="I605" s="12">
        <v>46081</v>
      </c>
      <c r="J605" s="15">
        <v>60</v>
      </c>
      <c r="K605" s="15">
        <v>5</v>
      </c>
      <c r="L605" s="9">
        <v>0.1066</v>
      </c>
      <c r="M605" s="9">
        <v>5.0799999999999998E-2</v>
      </c>
      <c r="N605" s="15">
        <v>8</v>
      </c>
      <c r="O605" t="s">
        <v>28</v>
      </c>
      <c r="P605" t="s">
        <v>28</v>
      </c>
      <c r="Q605" s="24">
        <v>0.35</v>
      </c>
      <c r="R605" s="5">
        <f t="shared" si="54"/>
        <v>1659.7357150684929</v>
      </c>
      <c r="S605" s="5">
        <f t="shared" si="55"/>
        <v>105.4591298630137</v>
      </c>
      <c r="T605" s="5">
        <f t="shared" si="56"/>
        <v>1554.2765852054793</v>
      </c>
      <c r="U605" s="15">
        <f t="shared" si="57"/>
        <v>52</v>
      </c>
      <c r="V605" s="3">
        <f t="shared" si="58"/>
        <v>1849.8034799999998</v>
      </c>
      <c r="W605" s="3">
        <f t="shared" si="59"/>
        <v>604</v>
      </c>
    </row>
    <row r="606" spans="1:23" x14ac:dyDescent="0.2">
      <c r="A606" t="s">
        <v>244</v>
      </c>
      <c r="B606" t="s">
        <v>245</v>
      </c>
      <c r="C606" t="s">
        <v>77</v>
      </c>
      <c r="D606" t="s">
        <v>48</v>
      </c>
      <c r="E606" t="s">
        <v>49</v>
      </c>
      <c r="F606" s="7">
        <v>759292</v>
      </c>
      <c r="G606" t="s">
        <v>1379</v>
      </c>
      <c r="H606" s="5">
        <v>33383</v>
      </c>
      <c r="I606" s="12">
        <v>45721</v>
      </c>
      <c r="J606" s="15">
        <v>60</v>
      </c>
      <c r="K606" s="15">
        <v>5</v>
      </c>
      <c r="L606" s="9">
        <v>0.1171</v>
      </c>
      <c r="M606" s="9">
        <v>4.8099999999999997E-2</v>
      </c>
      <c r="N606" s="15">
        <v>5</v>
      </c>
      <c r="O606" t="s">
        <v>27</v>
      </c>
      <c r="P606" t="s">
        <v>28</v>
      </c>
      <c r="Q606" s="24">
        <v>0.8</v>
      </c>
      <c r="R606" s="5">
        <f t="shared" si="54"/>
        <v>642.59988493150684</v>
      </c>
      <c r="S606" s="5">
        <f t="shared" si="55"/>
        <v>21.996195890410956</v>
      </c>
      <c r="T606" s="5">
        <f t="shared" si="56"/>
        <v>620.60368904109589</v>
      </c>
      <c r="U606" s="15">
        <f t="shared" si="57"/>
        <v>55</v>
      </c>
      <c r="V606" s="3">
        <f t="shared" si="58"/>
        <v>1842.7416000000003</v>
      </c>
      <c r="W606" s="3">
        <f t="shared" si="59"/>
        <v>605</v>
      </c>
    </row>
    <row r="607" spans="1:23" x14ac:dyDescent="0.2">
      <c r="A607" t="s">
        <v>627</v>
      </c>
      <c r="B607" t="s">
        <v>383</v>
      </c>
      <c r="C607" t="s">
        <v>77</v>
      </c>
      <c r="D607" t="s">
        <v>37</v>
      </c>
      <c r="E607" t="s">
        <v>56</v>
      </c>
      <c r="F607" s="7">
        <v>17195029</v>
      </c>
      <c r="G607" t="s">
        <v>955</v>
      </c>
      <c r="H607" s="5">
        <v>73689</v>
      </c>
      <c r="I607" s="12">
        <v>46078</v>
      </c>
      <c r="J607" s="15">
        <v>60</v>
      </c>
      <c r="K607" s="15">
        <v>7</v>
      </c>
      <c r="L607" s="9">
        <v>7.3400000000000007E-2</v>
      </c>
      <c r="M607" s="9">
        <v>4.5699999999999998E-2</v>
      </c>
      <c r="N607" s="15">
        <v>10</v>
      </c>
      <c r="O607" t="s">
        <v>27</v>
      </c>
      <c r="P607" t="s">
        <v>28</v>
      </c>
      <c r="Q607" s="24">
        <v>0.9</v>
      </c>
      <c r="R607" s="5">
        <f t="shared" si="54"/>
        <v>889.11330410958908</v>
      </c>
      <c r="S607" s="5">
        <f t="shared" si="55"/>
        <v>92.262665753424642</v>
      </c>
      <c r="T607" s="5">
        <f t="shared" si="56"/>
        <v>796.85063835616438</v>
      </c>
      <c r="U607" s="15">
        <f t="shared" si="57"/>
        <v>50</v>
      </c>
      <c r="V607" s="3">
        <f t="shared" si="58"/>
        <v>1837.0667700000006</v>
      </c>
      <c r="W607" s="3">
        <f t="shared" si="59"/>
        <v>606</v>
      </c>
    </row>
    <row r="608" spans="1:23" x14ac:dyDescent="0.2">
      <c r="A608" t="s">
        <v>94</v>
      </c>
      <c r="B608" t="s">
        <v>95</v>
      </c>
      <c r="C608" t="s">
        <v>41</v>
      </c>
      <c r="D608" t="s">
        <v>66</v>
      </c>
      <c r="E608" t="s">
        <v>25</v>
      </c>
      <c r="F608" s="7">
        <v>2406772</v>
      </c>
      <c r="G608" t="s">
        <v>661</v>
      </c>
      <c r="H608" s="5">
        <v>98755</v>
      </c>
      <c r="I608" s="12">
        <v>45752</v>
      </c>
      <c r="J608" s="15">
        <v>60</v>
      </c>
      <c r="K608" s="15">
        <v>7</v>
      </c>
      <c r="L608" s="9">
        <v>0.1091</v>
      </c>
      <c r="M608" s="9">
        <v>5.6000000000000001E-2</v>
      </c>
      <c r="N608" s="15">
        <v>5</v>
      </c>
      <c r="O608" t="s">
        <v>27</v>
      </c>
      <c r="P608" t="s">
        <v>28</v>
      </c>
      <c r="Q608" s="24">
        <v>0.35</v>
      </c>
      <c r="R608" s="5">
        <f t="shared" si="54"/>
        <v>1771.0965205479451</v>
      </c>
      <c r="S608" s="5">
        <f t="shared" si="55"/>
        <v>75.757260273972591</v>
      </c>
      <c r="T608" s="5">
        <f t="shared" si="56"/>
        <v>1695.3392602739725</v>
      </c>
      <c r="U608" s="15">
        <f t="shared" si="57"/>
        <v>55</v>
      </c>
      <c r="V608" s="3">
        <f t="shared" si="58"/>
        <v>1835.3616750000001</v>
      </c>
      <c r="W608" s="3">
        <f t="shared" si="59"/>
        <v>607</v>
      </c>
    </row>
    <row r="609" spans="1:23" x14ac:dyDescent="0.2">
      <c r="A609" t="s">
        <v>103</v>
      </c>
      <c r="B609" t="s">
        <v>62</v>
      </c>
      <c r="C609" t="s">
        <v>31</v>
      </c>
      <c r="D609" t="s">
        <v>37</v>
      </c>
      <c r="E609" t="s">
        <v>25</v>
      </c>
      <c r="F609" s="7">
        <v>3948313</v>
      </c>
      <c r="G609" t="s">
        <v>1470</v>
      </c>
      <c r="H609" s="5">
        <v>29178</v>
      </c>
      <c r="I609" s="12">
        <v>45666</v>
      </c>
      <c r="J609" s="15">
        <v>60</v>
      </c>
      <c r="K609" s="15">
        <v>5</v>
      </c>
      <c r="L609" s="9">
        <v>0.1154</v>
      </c>
      <c r="M609" s="9">
        <v>4.5699999999999998E-2</v>
      </c>
      <c r="N609" s="15">
        <v>10</v>
      </c>
      <c r="O609" t="s">
        <v>27</v>
      </c>
      <c r="P609" t="s">
        <v>28</v>
      </c>
      <c r="Q609" s="24">
        <v>0.9</v>
      </c>
      <c r="R609" s="5">
        <f t="shared" si="54"/>
        <v>553.50266301369857</v>
      </c>
      <c r="S609" s="5">
        <f t="shared" si="55"/>
        <v>36.53245479452054</v>
      </c>
      <c r="T609" s="5">
        <f t="shared" si="56"/>
        <v>516.97020821917806</v>
      </c>
      <c r="U609" s="15">
        <f t="shared" si="57"/>
        <v>50</v>
      </c>
      <c r="V609" s="3">
        <f t="shared" si="58"/>
        <v>1830.3359400000002</v>
      </c>
      <c r="W609" s="3">
        <f t="shared" si="59"/>
        <v>608</v>
      </c>
    </row>
    <row r="610" spans="1:23" x14ac:dyDescent="0.2">
      <c r="A610" t="s">
        <v>438</v>
      </c>
      <c r="B610" t="s">
        <v>439</v>
      </c>
      <c r="C610" t="s">
        <v>41</v>
      </c>
      <c r="D610" t="s">
        <v>48</v>
      </c>
      <c r="E610" t="s">
        <v>25</v>
      </c>
      <c r="F610" s="7">
        <v>2438415</v>
      </c>
      <c r="G610" t="s">
        <v>440</v>
      </c>
      <c r="H610" s="5">
        <v>107702</v>
      </c>
      <c r="I610" s="12">
        <v>45882</v>
      </c>
      <c r="J610" s="15">
        <v>45</v>
      </c>
      <c r="K610" s="15">
        <v>4</v>
      </c>
      <c r="L610" s="9">
        <v>0.13650000000000001</v>
      </c>
      <c r="M610" s="9">
        <v>5.1900000000000002E-2</v>
      </c>
      <c r="N610" s="15">
        <v>6</v>
      </c>
      <c r="O610" t="s">
        <v>27</v>
      </c>
      <c r="P610" t="s">
        <v>28</v>
      </c>
      <c r="Q610" s="24">
        <v>0.2</v>
      </c>
      <c r="R610" s="5">
        <f t="shared" si="54"/>
        <v>1812.4918767123288</v>
      </c>
      <c r="S610" s="5">
        <f t="shared" si="55"/>
        <v>91.886035068493143</v>
      </c>
      <c r="T610" s="5">
        <f t="shared" si="56"/>
        <v>1720.6058416438357</v>
      </c>
      <c r="U610" s="15">
        <f t="shared" si="57"/>
        <v>39</v>
      </c>
      <c r="V610" s="3">
        <f t="shared" si="58"/>
        <v>1822.3178400000002</v>
      </c>
      <c r="W610" s="3">
        <f t="shared" si="59"/>
        <v>609</v>
      </c>
    </row>
    <row r="611" spans="1:23" x14ac:dyDescent="0.2">
      <c r="A611" t="s">
        <v>236</v>
      </c>
      <c r="B611" t="s">
        <v>204</v>
      </c>
      <c r="C611" t="s">
        <v>41</v>
      </c>
      <c r="D611" t="s">
        <v>66</v>
      </c>
      <c r="E611" t="s">
        <v>25</v>
      </c>
      <c r="F611" s="7">
        <v>2121447</v>
      </c>
      <c r="G611" t="s">
        <v>237</v>
      </c>
      <c r="H611" s="5">
        <v>49501</v>
      </c>
      <c r="I611" s="12">
        <v>45862</v>
      </c>
      <c r="J611" s="15">
        <v>60</v>
      </c>
      <c r="K611" s="15">
        <v>2</v>
      </c>
      <c r="L611" s="9">
        <v>0.11890000000000001</v>
      </c>
      <c r="M611" s="9">
        <v>6.2300000000000001E-2</v>
      </c>
      <c r="N611" s="15">
        <v>7</v>
      </c>
      <c r="O611" t="s">
        <v>27</v>
      </c>
      <c r="P611" t="s">
        <v>28</v>
      </c>
      <c r="Q611" s="24">
        <v>0.65</v>
      </c>
      <c r="R611" s="5">
        <f t="shared" si="54"/>
        <v>967.50721643835618</v>
      </c>
      <c r="S611" s="5">
        <f t="shared" si="55"/>
        <v>59.143523561643839</v>
      </c>
      <c r="T611" s="5">
        <f t="shared" si="56"/>
        <v>908.36369287671232</v>
      </c>
      <c r="U611" s="15">
        <f t="shared" si="57"/>
        <v>53</v>
      </c>
      <c r="V611" s="3">
        <f t="shared" si="58"/>
        <v>1821.1417900000001</v>
      </c>
      <c r="W611" s="3">
        <f t="shared" si="59"/>
        <v>610</v>
      </c>
    </row>
    <row r="612" spans="1:23" x14ac:dyDescent="0.2">
      <c r="A612" t="s">
        <v>521</v>
      </c>
      <c r="B612" t="s">
        <v>522</v>
      </c>
      <c r="C612" t="s">
        <v>23</v>
      </c>
      <c r="D612" t="s">
        <v>66</v>
      </c>
      <c r="E612" t="s">
        <v>49</v>
      </c>
      <c r="F612" s="7">
        <v>617401</v>
      </c>
      <c r="G612" t="s">
        <v>523</v>
      </c>
      <c r="H612" s="5">
        <v>39215</v>
      </c>
      <c r="I612" s="12">
        <v>46081</v>
      </c>
      <c r="J612" s="15">
        <v>60</v>
      </c>
      <c r="K612" s="15">
        <v>5</v>
      </c>
      <c r="L612" s="9">
        <v>0.1429</v>
      </c>
      <c r="M612" s="9">
        <v>5.0299999999999997E-2</v>
      </c>
      <c r="N612" s="15">
        <v>5</v>
      </c>
      <c r="O612" t="s">
        <v>28</v>
      </c>
      <c r="P612" t="s">
        <v>28</v>
      </c>
      <c r="Q612" s="24">
        <v>0.5</v>
      </c>
      <c r="R612" s="5">
        <f t="shared" si="54"/>
        <v>921.17646575342462</v>
      </c>
      <c r="S612" s="5">
        <f t="shared" si="55"/>
        <v>27.020746575342464</v>
      </c>
      <c r="T612" s="5">
        <f t="shared" si="56"/>
        <v>894.15571917808211</v>
      </c>
      <c r="U612" s="15">
        <f t="shared" si="57"/>
        <v>55</v>
      </c>
      <c r="V612" s="3">
        <f t="shared" si="58"/>
        <v>1815.6545000000001</v>
      </c>
      <c r="W612" s="3">
        <f t="shared" si="59"/>
        <v>611</v>
      </c>
    </row>
    <row r="613" spans="1:23" x14ac:dyDescent="0.2">
      <c r="A613" t="s">
        <v>448</v>
      </c>
      <c r="B613" t="s">
        <v>264</v>
      </c>
      <c r="C613" t="s">
        <v>77</v>
      </c>
      <c r="D613" t="s">
        <v>37</v>
      </c>
      <c r="E613" t="s">
        <v>25</v>
      </c>
      <c r="F613" s="7">
        <v>5041335</v>
      </c>
      <c r="G613" t="s">
        <v>1332</v>
      </c>
      <c r="H613" s="5">
        <v>28343</v>
      </c>
      <c r="I613" s="12">
        <v>45834</v>
      </c>
      <c r="J613" s="15">
        <v>60</v>
      </c>
      <c r="K613" s="15">
        <v>7</v>
      </c>
      <c r="L613" s="9">
        <v>0.1198</v>
      </c>
      <c r="M613" s="9">
        <v>4.8800000000000003E-2</v>
      </c>
      <c r="N613" s="15">
        <v>5</v>
      </c>
      <c r="O613" t="s">
        <v>27</v>
      </c>
      <c r="P613" t="s">
        <v>28</v>
      </c>
      <c r="Q613" s="24">
        <v>0.9</v>
      </c>
      <c r="R613" s="5">
        <f t="shared" si="54"/>
        <v>558.1629698630137</v>
      </c>
      <c r="S613" s="5">
        <f t="shared" si="55"/>
        <v>18.947101369863013</v>
      </c>
      <c r="T613" s="5">
        <f t="shared" si="56"/>
        <v>539.21586849315065</v>
      </c>
      <c r="U613" s="15">
        <f t="shared" si="57"/>
        <v>55</v>
      </c>
      <c r="V613" s="3">
        <f t="shared" si="58"/>
        <v>1811.1177000000002</v>
      </c>
      <c r="W613" s="3">
        <f t="shared" si="59"/>
        <v>612</v>
      </c>
    </row>
    <row r="614" spans="1:23" x14ac:dyDescent="0.2">
      <c r="A614" t="s">
        <v>82</v>
      </c>
      <c r="B614" t="s">
        <v>83</v>
      </c>
      <c r="C614" t="s">
        <v>23</v>
      </c>
      <c r="D614" t="s">
        <v>66</v>
      </c>
      <c r="E614" t="s">
        <v>49</v>
      </c>
      <c r="F614" s="7">
        <v>946643</v>
      </c>
      <c r="G614" t="s">
        <v>84</v>
      </c>
      <c r="H614" s="5">
        <v>19936</v>
      </c>
      <c r="I614" s="12">
        <v>45963</v>
      </c>
      <c r="J614" s="15">
        <v>60</v>
      </c>
      <c r="K614" s="15">
        <v>3</v>
      </c>
      <c r="L614" s="9">
        <v>0.1648</v>
      </c>
      <c r="M614" s="9">
        <v>6.4399999999999999E-2</v>
      </c>
      <c r="N614" s="15">
        <v>8</v>
      </c>
      <c r="O614" t="s">
        <v>28</v>
      </c>
      <c r="P614" t="s">
        <v>28</v>
      </c>
      <c r="Q614" s="24">
        <v>0.9</v>
      </c>
      <c r="R614" s="5">
        <f t="shared" si="54"/>
        <v>540.07443287671231</v>
      </c>
      <c r="S614" s="5">
        <f t="shared" si="55"/>
        <v>28.139800547945207</v>
      </c>
      <c r="T614" s="5">
        <f t="shared" si="56"/>
        <v>511.93463232876712</v>
      </c>
      <c r="U614" s="15">
        <f t="shared" si="57"/>
        <v>52</v>
      </c>
      <c r="V614" s="3">
        <f t="shared" si="58"/>
        <v>1801.4169600000002</v>
      </c>
      <c r="W614" s="3">
        <f t="shared" si="59"/>
        <v>613</v>
      </c>
    </row>
    <row r="615" spans="1:23" x14ac:dyDescent="0.2">
      <c r="A615" t="s">
        <v>82</v>
      </c>
      <c r="B615" t="s">
        <v>83</v>
      </c>
      <c r="C615" t="s">
        <v>23</v>
      </c>
      <c r="D615" t="s">
        <v>66</v>
      </c>
      <c r="E615" t="s">
        <v>49</v>
      </c>
      <c r="F615" s="7">
        <v>946643</v>
      </c>
      <c r="G615" t="s">
        <v>1780</v>
      </c>
      <c r="H615" s="5">
        <v>30378</v>
      </c>
      <c r="I615" s="12">
        <v>45974</v>
      </c>
      <c r="J615" s="15">
        <v>60</v>
      </c>
      <c r="K615" s="15">
        <v>2</v>
      </c>
      <c r="L615" s="9">
        <v>0.1648</v>
      </c>
      <c r="M615" s="9">
        <v>4.6199999999999998E-2</v>
      </c>
      <c r="N615" s="15">
        <v>6</v>
      </c>
      <c r="O615" t="s">
        <v>27</v>
      </c>
      <c r="P615" t="s">
        <v>28</v>
      </c>
      <c r="Q615" s="24">
        <v>0.5</v>
      </c>
      <c r="R615" s="5">
        <f t="shared" si="54"/>
        <v>822.95250410958897</v>
      </c>
      <c r="S615" s="5">
        <f t="shared" si="55"/>
        <v>23.070634520547944</v>
      </c>
      <c r="T615" s="5">
        <f t="shared" si="56"/>
        <v>799.881869589041</v>
      </c>
      <c r="U615" s="15">
        <f t="shared" si="57"/>
        <v>54</v>
      </c>
      <c r="V615" s="3">
        <f t="shared" si="58"/>
        <v>1801.4154000000001</v>
      </c>
      <c r="W615" s="3">
        <f t="shared" si="59"/>
        <v>614</v>
      </c>
    </row>
    <row r="616" spans="1:23" x14ac:dyDescent="0.2">
      <c r="A616" t="s">
        <v>117</v>
      </c>
      <c r="B616" t="s">
        <v>118</v>
      </c>
      <c r="C616" t="s">
        <v>77</v>
      </c>
      <c r="D616" t="s">
        <v>32</v>
      </c>
      <c r="E616" t="s">
        <v>25</v>
      </c>
      <c r="F616" s="7">
        <v>6024640</v>
      </c>
      <c r="G616" t="s">
        <v>1649</v>
      </c>
      <c r="H616" s="5">
        <v>59931</v>
      </c>
      <c r="I616" s="12">
        <v>45853</v>
      </c>
      <c r="J616" s="15">
        <v>90</v>
      </c>
      <c r="K616" s="15">
        <v>10</v>
      </c>
      <c r="L616" s="9">
        <v>0.13769999999999999</v>
      </c>
      <c r="M616" s="9">
        <v>5.1900000000000002E-2</v>
      </c>
      <c r="N616" s="15">
        <v>8</v>
      </c>
      <c r="O616" t="s">
        <v>28</v>
      </c>
      <c r="P616" t="s">
        <v>28</v>
      </c>
      <c r="Q616" s="24">
        <v>0.35</v>
      </c>
      <c r="R616" s="5">
        <f t="shared" si="54"/>
        <v>2034.8626931506849</v>
      </c>
      <c r="S616" s="5">
        <f t="shared" si="55"/>
        <v>68.173564931506846</v>
      </c>
      <c r="T616" s="5">
        <f t="shared" si="56"/>
        <v>1966.689128219178</v>
      </c>
      <c r="U616" s="15">
        <f t="shared" si="57"/>
        <v>82</v>
      </c>
      <c r="V616" s="3">
        <f t="shared" si="58"/>
        <v>1799.7279299999996</v>
      </c>
      <c r="W616" s="3">
        <f t="shared" si="59"/>
        <v>615</v>
      </c>
    </row>
    <row r="617" spans="1:23" x14ac:dyDescent="0.2">
      <c r="A617" t="s">
        <v>39</v>
      </c>
      <c r="B617" t="s">
        <v>40</v>
      </c>
      <c r="C617" t="s">
        <v>41</v>
      </c>
      <c r="D617" t="s">
        <v>32</v>
      </c>
      <c r="E617" t="s">
        <v>25</v>
      </c>
      <c r="F617" s="7">
        <v>6162123</v>
      </c>
      <c r="G617" t="s">
        <v>1682</v>
      </c>
      <c r="H617" s="5">
        <v>77726</v>
      </c>
      <c r="I617" s="12">
        <v>45913</v>
      </c>
      <c r="J617" s="15">
        <v>60</v>
      </c>
      <c r="K617" s="15">
        <v>7</v>
      </c>
      <c r="L617" s="9">
        <v>0.1231</v>
      </c>
      <c r="M617" s="9">
        <v>5.7000000000000002E-2</v>
      </c>
      <c r="N617" s="15">
        <v>8</v>
      </c>
      <c r="O617" t="s">
        <v>27</v>
      </c>
      <c r="P617" t="s">
        <v>28</v>
      </c>
      <c r="Q617" s="24">
        <v>0.35</v>
      </c>
      <c r="R617" s="5">
        <f t="shared" si="54"/>
        <v>1572.8335232876714</v>
      </c>
      <c r="S617" s="5">
        <f t="shared" si="55"/>
        <v>97.104263013698642</v>
      </c>
      <c r="T617" s="5">
        <f t="shared" si="56"/>
        <v>1475.7292602739726</v>
      </c>
      <c r="U617" s="15">
        <f t="shared" si="57"/>
        <v>52</v>
      </c>
      <c r="V617" s="3">
        <f t="shared" si="58"/>
        <v>1798.1910099999998</v>
      </c>
      <c r="W617" s="3">
        <f t="shared" si="59"/>
        <v>616</v>
      </c>
    </row>
    <row r="618" spans="1:23" x14ac:dyDescent="0.2">
      <c r="A618" t="s">
        <v>308</v>
      </c>
      <c r="B618" t="s">
        <v>309</v>
      </c>
      <c r="C618" t="s">
        <v>31</v>
      </c>
      <c r="D618" t="s">
        <v>24</v>
      </c>
      <c r="E618" t="s">
        <v>49</v>
      </c>
      <c r="F618" s="7">
        <v>1224427</v>
      </c>
      <c r="G618" t="s">
        <v>1409</v>
      </c>
      <c r="H618" s="5">
        <v>50026</v>
      </c>
      <c r="I618" s="12">
        <v>46071</v>
      </c>
      <c r="J618" s="15">
        <v>45</v>
      </c>
      <c r="K618" s="15">
        <v>10</v>
      </c>
      <c r="L618" s="9">
        <v>0.15670000000000001</v>
      </c>
      <c r="M618" s="9">
        <v>5.4300000000000001E-2</v>
      </c>
      <c r="N618" s="15">
        <v>5</v>
      </c>
      <c r="O618" t="s">
        <v>27</v>
      </c>
      <c r="P618" t="s">
        <v>28</v>
      </c>
      <c r="Q618" s="24">
        <v>0.35</v>
      </c>
      <c r="R618" s="5">
        <f t="shared" si="54"/>
        <v>966.46120273972599</v>
      </c>
      <c r="S618" s="5">
        <f t="shared" si="55"/>
        <v>37.2111205479452</v>
      </c>
      <c r="T618" s="5">
        <f t="shared" si="56"/>
        <v>929.25008219178085</v>
      </c>
      <c r="U618" s="15">
        <f t="shared" si="57"/>
        <v>40</v>
      </c>
      <c r="V618" s="3">
        <f t="shared" si="58"/>
        <v>1792.9318399999997</v>
      </c>
      <c r="W618" s="3">
        <f t="shared" si="59"/>
        <v>617</v>
      </c>
    </row>
    <row r="619" spans="1:23" x14ac:dyDescent="0.2">
      <c r="A619" t="s">
        <v>233</v>
      </c>
      <c r="B619" t="s">
        <v>59</v>
      </c>
      <c r="C619" t="s">
        <v>77</v>
      </c>
      <c r="D619" t="s">
        <v>66</v>
      </c>
      <c r="E619" t="s">
        <v>49</v>
      </c>
      <c r="F619" s="7">
        <v>809893</v>
      </c>
      <c r="G619" t="s">
        <v>782</v>
      </c>
      <c r="H619" s="5">
        <v>80690</v>
      </c>
      <c r="I619" s="12">
        <v>45707</v>
      </c>
      <c r="J619" s="15">
        <v>60</v>
      </c>
      <c r="K619" s="15">
        <v>7</v>
      </c>
      <c r="L619" s="9">
        <v>0.15909999999999999</v>
      </c>
      <c r="M619" s="9">
        <v>4.8099999999999997E-2</v>
      </c>
      <c r="N619" s="15">
        <v>7</v>
      </c>
      <c r="O619" t="s">
        <v>27</v>
      </c>
      <c r="P619" t="s">
        <v>28</v>
      </c>
      <c r="Q619" s="24">
        <v>0.2</v>
      </c>
      <c r="R619" s="5">
        <f t="shared" si="54"/>
        <v>2110.319835616438</v>
      </c>
      <c r="S619" s="5">
        <f t="shared" si="55"/>
        <v>74.433761643835624</v>
      </c>
      <c r="T619" s="5">
        <f t="shared" si="56"/>
        <v>2035.8860739726024</v>
      </c>
      <c r="U619" s="15">
        <f t="shared" si="57"/>
        <v>53</v>
      </c>
      <c r="V619" s="3">
        <f t="shared" si="58"/>
        <v>1791.3179999999998</v>
      </c>
      <c r="W619" s="3">
        <f t="shared" si="59"/>
        <v>618</v>
      </c>
    </row>
    <row r="620" spans="1:23" x14ac:dyDescent="0.2">
      <c r="A620" t="s">
        <v>434</v>
      </c>
      <c r="B620" t="s">
        <v>335</v>
      </c>
      <c r="C620" t="s">
        <v>31</v>
      </c>
      <c r="D620" t="s">
        <v>66</v>
      </c>
      <c r="E620" t="s">
        <v>49</v>
      </c>
      <c r="F620" s="7">
        <v>303851</v>
      </c>
      <c r="G620" t="s">
        <v>466</v>
      </c>
      <c r="H620" s="5">
        <v>31168</v>
      </c>
      <c r="I620" s="12">
        <v>45979</v>
      </c>
      <c r="J620" s="15">
        <v>60</v>
      </c>
      <c r="K620" s="15">
        <v>3</v>
      </c>
      <c r="L620" s="9">
        <v>0.17499999999999999</v>
      </c>
      <c r="M620" s="9">
        <v>6.0199999999999997E-2</v>
      </c>
      <c r="N620" s="15">
        <v>8</v>
      </c>
      <c r="O620" t="s">
        <v>27</v>
      </c>
      <c r="P620" t="s">
        <v>28</v>
      </c>
      <c r="Q620" s="24">
        <v>0.5</v>
      </c>
      <c r="R620" s="5">
        <f t="shared" si="54"/>
        <v>896.61369863013692</v>
      </c>
      <c r="S620" s="5">
        <f t="shared" si="55"/>
        <v>41.124681643835615</v>
      </c>
      <c r="T620" s="5">
        <f t="shared" si="56"/>
        <v>855.48901698630129</v>
      </c>
      <c r="U620" s="15">
        <f t="shared" si="57"/>
        <v>52</v>
      </c>
      <c r="V620" s="3">
        <f t="shared" si="58"/>
        <v>1789.0431999999998</v>
      </c>
      <c r="W620" s="3">
        <f t="shared" si="59"/>
        <v>619</v>
      </c>
    </row>
    <row r="621" spans="1:23" x14ac:dyDescent="0.2">
      <c r="A621" t="s">
        <v>518</v>
      </c>
      <c r="B621" t="s">
        <v>519</v>
      </c>
      <c r="C621" t="s">
        <v>41</v>
      </c>
      <c r="D621" t="s">
        <v>48</v>
      </c>
      <c r="E621" t="s">
        <v>25</v>
      </c>
      <c r="F621" s="7">
        <v>6967315</v>
      </c>
      <c r="G621" t="s">
        <v>912</v>
      </c>
      <c r="H621" s="5">
        <v>47432</v>
      </c>
      <c r="I621" s="12">
        <v>45781</v>
      </c>
      <c r="J621" s="15">
        <v>45</v>
      </c>
      <c r="K621" s="15">
        <v>2</v>
      </c>
      <c r="L621" s="9">
        <v>9.1999999999999998E-2</v>
      </c>
      <c r="M621" s="9">
        <v>5.0099999999999999E-2</v>
      </c>
      <c r="N621" s="15">
        <v>10</v>
      </c>
      <c r="O621" t="s">
        <v>27</v>
      </c>
      <c r="P621" t="s">
        <v>28</v>
      </c>
      <c r="Q621" s="24">
        <v>0.9</v>
      </c>
      <c r="R621" s="5">
        <f t="shared" si="54"/>
        <v>537.99583561643828</v>
      </c>
      <c r="S621" s="5">
        <f t="shared" si="55"/>
        <v>65.105293150684929</v>
      </c>
      <c r="T621" s="5">
        <f t="shared" si="56"/>
        <v>472.89054246575336</v>
      </c>
      <c r="U621" s="15">
        <f t="shared" si="57"/>
        <v>35</v>
      </c>
      <c r="V621" s="3">
        <f t="shared" si="58"/>
        <v>1788.6607200000001</v>
      </c>
      <c r="W621" s="3">
        <f t="shared" si="59"/>
        <v>620</v>
      </c>
    </row>
    <row r="622" spans="1:23" x14ac:dyDescent="0.2">
      <c r="A622" t="s">
        <v>518</v>
      </c>
      <c r="B622" t="s">
        <v>519</v>
      </c>
      <c r="C622" t="s">
        <v>41</v>
      </c>
      <c r="D622" t="s">
        <v>48</v>
      </c>
      <c r="E622" t="s">
        <v>25</v>
      </c>
      <c r="F622" s="7">
        <v>6967315</v>
      </c>
      <c r="G622" t="s">
        <v>1612</v>
      </c>
      <c r="H622" s="5">
        <v>65609</v>
      </c>
      <c r="I622" s="12">
        <v>45862</v>
      </c>
      <c r="J622" s="15">
        <v>30</v>
      </c>
      <c r="K622" s="15">
        <v>4</v>
      </c>
      <c r="L622" s="9">
        <v>9.1999999999999998E-2</v>
      </c>
      <c r="M622" s="9">
        <v>5.0200000000000002E-2</v>
      </c>
      <c r="N622" s="15">
        <v>7</v>
      </c>
      <c r="O622" t="s">
        <v>27</v>
      </c>
      <c r="P622" t="s">
        <v>28</v>
      </c>
      <c r="Q622" s="24">
        <v>0.65</v>
      </c>
      <c r="R622" s="5">
        <f t="shared" si="54"/>
        <v>496.11189041095889</v>
      </c>
      <c r="S622" s="5">
        <f t="shared" si="55"/>
        <v>63.164390684931512</v>
      </c>
      <c r="T622" s="5">
        <f t="shared" si="56"/>
        <v>432.94749972602739</v>
      </c>
      <c r="U622" s="15">
        <f t="shared" si="57"/>
        <v>23</v>
      </c>
      <c r="V622" s="3">
        <f t="shared" si="58"/>
        <v>1782.59653</v>
      </c>
      <c r="W622" s="3">
        <f t="shared" si="59"/>
        <v>621</v>
      </c>
    </row>
    <row r="623" spans="1:23" x14ac:dyDescent="0.2">
      <c r="A623" t="s">
        <v>228</v>
      </c>
      <c r="B623" t="s">
        <v>62</v>
      </c>
      <c r="C623" t="s">
        <v>23</v>
      </c>
      <c r="D623" t="s">
        <v>66</v>
      </c>
      <c r="E623" t="s">
        <v>49</v>
      </c>
      <c r="F623" s="7">
        <v>1218251</v>
      </c>
      <c r="G623" t="s">
        <v>1498</v>
      </c>
      <c r="H623" s="5">
        <v>75485</v>
      </c>
      <c r="I623" s="12">
        <v>45995</v>
      </c>
      <c r="J623" s="15">
        <v>45</v>
      </c>
      <c r="K623" s="15">
        <v>10</v>
      </c>
      <c r="L623" s="9">
        <v>0.1227</v>
      </c>
      <c r="M623" s="9">
        <v>5.5399999999999998E-2</v>
      </c>
      <c r="N623" s="15">
        <v>5</v>
      </c>
      <c r="O623" t="s">
        <v>28</v>
      </c>
      <c r="P623" t="s">
        <v>28</v>
      </c>
      <c r="Q623" s="24">
        <v>0.35</v>
      </c>
      <c r="R623" s="5">
        <f t="shared" si="54"/>
        <v>1141.8915821917808</v>
      </c>
      <c r="S623" s="5">
        <f t="shared" si="55"/>
        <v>57.285876712328758</v>
      </c>
      <c r="T623" s="5">
        <f t="shared" si="56"/>
        <v>1084.6057054794521</v>
      </c>
      <c r="U623" s="15">
        <f t="shared" si="57"/>
        <v>40</v>
      </c>
      <c r="V623" s="3">
        <f t="shared" si="58"/>
        <v>1778.0491749999999</v>
      </c>
      <c r="W623" s="3">
        <f t="shared" si="59"/>
        <v>622</v>
      </c>
    </row>
    <row r="624" spans="1:23" x14ac:dyDescent="0.2">
      <c r="A624" t="s">
        <v>85</v>
      </c>
      <c r="B624" t="s">
        <v>86</v>
      </c>
      <c r="C624" t="s">
        <v>36</v>
      </c>
      <c r="D624" t="s">
        <v>37</v>
      </c>
      <c r="E624" t="s">
        <v>25</v>
      </c>
      <c r="F624" s="7">
        <v>1954421</v>
      </c>
      <c r="G624" t="s">
        <v>345</v>
      </c>
      <c r="H624" s="5">
        <v>29294</v>
      </c>
      <c r="I624" s="12">
        <v>45669</v>
      </c>
      <c r="J624" s="15">
        <v>60</v>
      </c>
      <c r="K624" s="15">
        <v>5</v>
      </c>
      <c r="L624" s="9">
        <v>0.1237</v>
      </c>
      <c r="M624" s="9">
        <v>5.6300000000000003E-2</v>
      </c>
      <c r="N624" s="15">
        <v>10</v>
      </c>
      <c r="O624" t="s">
        <v>27</v>
      </c>
      <c r="P624" t="s">
        <v>28</v>
      </c>
      <c r="Q624" s="24">
        <v>0.9</v>
      </c>
      <c r="R624" s="5">
        <f t="shared" si="54"/>
        <v>595.67141917808215</v>
      </c>
      <c r="S624" s="5">
        <f t="shared" si="55"/>
        <v>45.184991780821917</v>
      </c>
      <c r="T624" s="5">
        <f t="shared" si="56"/>
        <v>550.48642739726029</v>
      </c>
      <c r="U624" s="15">
        <f t="shared" si="57"/>
        <v>50</v>
      </c>
      <c r="V624" s="3">
        <f t="shared" si="58"/>
        <v>1776.9740400000001</v>
      </c>
      <c r="W624" s="3">
        <f t="shared" si="59"/>
        <v>623</v>
      </c>
    </row>
    <row r="625" spans="1:23" x14ac:dyDescent="0.2">
      <c r="A625" t="s">
        <v>438</v>
      </c>
      <c r="B625" t="s">
        <v>439</v>
      </c>
      <c r="C625" t="s">
        <v>41</v>
      </c>
      <c r="D625" t="s">
        <v>48</v>
      </c>
      <c r="E625" t="s">
        <v>25</v>
      </c>
      <c r="F625" s="7">
        <v>2438415</v>
      </c>
      <c r="G625" t="s">
        <v>1667</v>
      </c>
      <c r="H625" s="5">
        <v>109403</v>
      </c>
      <c r="I625" s="12">
        <v>45717</v>
      </c>
      <c r="J625" s="15">
        <v>60</v>
      </c>
      <c r="K625" s="15">
        <v>2</v>
      </c>
      <c r="L625" s="9">
        <v>0.13650000000000001</v>
      </c>
      <c r="M625" s="9">
        <v>5.5300000000000002E-2</v>
      </c>
      <c r="N625" s="15">
        <v>6</v>
      </c>
      <c r="O625" t="s">
        <v>27</v>
      </c>
      <c r="P625" t="s">
        <v>28</v>
      </c>
      <c r="Q625" s="24">
        <v>0.2</v>
      </c>
      <c r="R625" s="5">
        <f t="shared" si="54"/>
        <v>2454.8234794520549</v>
      </c>
      <c r="S625" s="5">
        <f t="shared" si="55"/>
        <v>99.451823013698629</v>
      </c>
      <c r="T625" s="5">
        <f t="shared" si="56"/>
        <v>2355.3716564383562</v>
      </c>
      <c r="U625" s="15">
        <f t="shared" si="57"/>
        <v>54</v>
      </c>
      <c r="V625" s="3">
        <f t="shared" si="58"/>
        <v>1776.7047200000002</v>
      </c>
      <c r="W625" s="3">
        <f t="shared" si="59"/>
        <v>624</v>
      </c>
    </row>
    <row r="626" spans="1:23" x14ac:dyDescent="0.2">
      <c r="A626" t="s">
        <v>334</v>
      </c>
      <c r="B626" t="s">
        <v>335</v>
      </c>
      <c r="C626" t="s">
        <v>23</v>
      </c>
      <c r="D626" t="s">
        <v>66</v>
      </c>
      <c r="E626" t="s">
        <v>49</v>
      </c>
      <c r="F626" s="7">
        <v>1475965</v>
      </c>
      <c r="G626" t="s">
        <v>765</v>
      </c>
      <c r="H626" s="5">
        <v>93625</v>
      </c>
      <c r="I626" s="12">
        <v>45802</v>
      </c>
      <c r="J626" s="15">
        <v>60</v>
      </c>
      <c r="K626" s="15">
        <v>4</v>
      </c>
      <c r="L626" s="9">
        <v>0.14000000000000001</v>
      </c>
      <c r="M626" s="9">
        <v>4.5400000000000003E-2</v>
      </c>
      <c r="N626" s="15">
        <v>5</v>
      </c>
      <c r="O626" t="s">
        <v>27</v>
      </c>
      <c r="P626" t="s">
        <v>28</v>
      </c>
      <c r="Q626" s="24">
        <v>0.2</v>
      </c>
      <c r="R626" s="5">
        <f t="shared" si="54"/>
        <v>2154.6575342465753</v>
      </c>
      <c r="S626" s="5">
        <f t="shared" si="55"/>
        <v>58.227054794520541</v>
      </c>
      <c r="T626" s="5">
        <f t="shared" si="56"/>
        <v>2096.4304794520549</v>
      </c>
      <c r="U626" s="15">
        <f t="shared" si="57"/>
        <v>55</v>
      </c>
      <c r="V626" s="3">
        <f t="shared" si="58"/>
        <v>1771.3850000000007</v>
      </c>
      <c r="W626" s="3">
        <f t="shared" si="59"/>
        <v>625</v>
      </c>
    </row>
    <row r="627" spans="1:23" x14ac:dyDescent="0.2">
      <c r="A627" t="s">
        <v>82</v>
      </c>
      <c r="B627" t="s">
        <v>83</v>
      </c>
      <c r="C627" t="s">
        <v>23</v>
      </c>
      <c r="D627" t="s">
        <v>66</v>
      </c>
      <c r="E627" t="s">
        <v>49</v>
      </c>
      <c r="F627" s="7">
        <v>946643</v>
      </c>
      <c r="G627" t="s">
        <v>855</v>
      </c>
      <c r="H627" s="5">
        <v>76553</v>
      </c>
      <c r="I627" s="12">
        <v>45896</v>
      </c>
      <c r="J627" s="15">
        <v>60</v>
      </c>
      <c r="K627" s="15">
        <v>7</v>
      </c>
      <c r="L627" s="9">
        <v>0.1648</v>
      </c>
      <c r="M627" s="9">
        <v>4.9700000000000001E-2</v>
      </c>
      <c r="N627" s="15">
        <v>7</v>
      </c>
      <c r="O627" t="s">
        <v>27</v>
      </c>
      <c r="P627" t="s">
        <v>28</v>
      </c>
      <c r="Q627" s="24">
        <v>0.2</v>
      </c>
      <c r="R627" s="5">
        <f t="shared" si="54"/>
        <v>2073.8522301369862</v>
      </c>
      <c r="S627" s="5">
        <f t="shared" si="55"/>
        <v>72.96654438356164</v>
      </c>
      <c r="T627" s="5">
        <f t="shared" si="56"/>
        <v>2000.8856857534247</v>
      </c>
      <c r="U627" s="15">
        <f t="shared" si="57"/>
        <v>53</v>
      </c>
      <c r="V627" s="3">
        <f t="shared" si="58"/>
        <v>1762.2500600000001</v>
      </c>
      <c r="W627" s="3">
        <f t="shared" si="59"/>
        <v>626</v>
      </c>
    </row>
    <row r="628" spans="1:23" x14ac:dyDescent="0.2">
      <c r="A628" t="s">
        <v>223</v>
      </c>
      <c r="B628" t="s">
        <v>224</v>
      </c>
      <c r="C628" t="s">
        <v>36</v>
      </c>
      <c r="D628" t="s">
        <v>48</v>
      </c>
      <c r="E628" t="s">
        <v>25</v>
      </c>
      <c r="F628" s="7">
        <v>3916164</v>
      </c>
      <c r="G628" t="s">
        <v>1522</v>
      </c>
      <c r="H628" s="5">
        <v>92892</v>
      </c>
      <c r="I628" s="12">
        <v>45745</v>
      </c>
      <c r="J628" s="15">
        <v>45</v>
      </c>
      <c r="K628" s="15">
        <v>3</v>
      </c>
      <c r="L628" s="9">
        <v>0.1119</v>
      </c>
      <c r="M628" s="9">
        <v>5.7700000000000001E-2</v>
      </c>
      <c r="N628" s="15">
        <v>6</v>
      </c>
      <c r="O628" t="s">
        <v>28</v>
      </c>
      <c r="P628" t="s">
        <v>28</v>
      </c>
      <c r="Q628" s="24">
        <v>0.35</v>
      </c>
      <c r="R628" s="5">
        <f t="shared" si="54"/>
        <v>1281.5278520547943</v>
      </c>
      <c r="S628" s="5">
        <f t="shared" si="55"/>
        <v>88.10742575342465</v>
      </c>
      <c r="T628" s="5">
        <f t="shared" si="56"/>
        <v>1193.4204263013696</v>
      </c>
      <c r="U628" s="15">
        <f t="shared" si="57"/>
        <v>39</v>
      </c>
      <c r="V628" s="3">
        <f t="shared" si="58"/>
        <v>1762.1612399999997</v>
      </c>
      <c r="W628" s="3">
        <f t="shared" si="59"/>
        <v>627</v>
      </c>
    </row>
    <row r="629" spans="1:23" x14ac:dyDescent="0.2">
      <c r="A629" t="s">
        <v>183</v>
      </c>
      <c r="B629" t="s">
        <v>184</v>
      </c>
      <c r="C629" t="s">
        <v>77</v>
      </c>
      <c r="D629" t="s">
        <v>32</v>
      </c>
      <c r="E629" t="s">
        <v>25</v>
      </c>
      <c r="F629" s="7">
        <v>6014522</v>
      </c>
      <c r="G629" t="s">
        <v>1259</v>
      </c>
      <c r="H629" s="5">
        <v>61171</v>
      </c>
      <c r="I629" s="12">
        <v>45660</v>
      </c>
      <c r="J629" s="15">
        <v>60</v>
      </c>
      <c r="K629" s="15">
        <v>5</v>
      </c>
      <c r="L629" s="9">
        <v>0.12870000000000001</v>
      </c>
      <c r="M629" s="9">
        <v>4.6399999999999997E-2</v>
      </c>
      <c r="N629" s="15">
        <v>6</v>
      </c>
      <c r="O629" t="s">
        <v>27</v>
      </c>
      <c r="P629" t="s">
        <v>28</v>
      </c>
      <c r="Q629" s="24">
        <v>0.35</v>
      </c>
      <c r="R629" s="5">
        <f t="shared" si="54"/>
        <v>1294.1437315068495</v>
      </c>
      <c r="S629" s="5">
        <f t="shared" si="55"/>
        <v>46.657551780821912</v>
      </c>
      <c r="T629" s="5">
        <f t="shared" si="56"/>
        <v>1247.4861797260276</v>
      </c>
      <c r="U629" s="15">
        <f t="shared" si="57"/>
        <v>54</v>
      </c>
      <c r="V629" s="3">
        <f t="shared" si="58"/>
        <v>1762.030655</v>
      </c>
      <c r="W629" s="3">
        <f t="shared" si="59"/>
        <v>628</v>
      </c>
    </row>
    <row r="630" spans="1:23" x14ac:dyDescent="0.2">
      <c r="A630" t="s">
        <v>72</v>
      </c>
      <c r="B630" t="s">
        <v>73</v>
      </c>
      <c r="C630" t="s">
        <v>31</v>
      </c>
      <c r="D630" t="s">
        <v>32</v>
      </c>
      <c r="E630" t="s">
        <v>56</v>
      </c>
      <c r="F630" s="7">
        <v>21625874</v>
      </c>
      <c r="G630" t="s">
        <v>1702</v>
      </c>
      <c r="H630" s="5">
        <v>92135</v>
      </c>
      <c r="I630" s="12">
        <v>45935</v>
      </c>
      <c r="J630" s="15">
        <v>45</v>
      </c>
      <c r="K630" s="15">
        <v>10</v>
      </c>
      <c r="L630" s="9">
        <v>9.5399999999999999E-2</v>
      </c>
      <c r="M630" s="9">
        <v>5.7200000000000001E-2</v>
      </c>
      <c r="N630" s="15">
        <v>8</v>
      </c>
      <c r="O630" t="s">
        <v>27</v>
      </c>
      <c r="P630" t="s">
        <v>28</v>
      </c>
      <c r="Q630" s="24">
        <v>0.5</v>
      </c>
      <c r="R630" s="5">
        <f t="shared" si="54"/>
        <v>1083.6590547945204</v>
      </c>
      <c r="S630" s="5">
        <f t="shared" si="55"/>
        <v>115.50952328767124</v>
      </c>
      <c r="T630" s="5">
        <f t="shared" si="56"/>
        <v>968.14953150684914</v>
      </c>
      <c r="U630" s="15">
        <f t="shared" si="57"/>
        <v>37</v>
      </c>
      <c r="V630" s="3">
        <f t="shared" si="58"/>
        <v>1759.7784999999999</v>
      </c>
      <c r="W630" s="3">
        <f t="shared" si="59"/>
        <v>629</v>
      </c>
    </row>
    <row r="631" spans="1:23" x14ac:dyDescent="0.2">
      <c r="A631" t="s">
        <v>421</v>
      </c>
      <c r="B631" t="s">
        <v>422</v>
      </c>
      <c r="C631" t="s">
        <v>41</v>
      </c>
      <c r="D631" t="s">
        <v>66</v>
      </c>
      <c r="E631" t="s">
        <v>56</v>
      </c>
      <c r="F631" s="7">
        <v>13972206</v>
      </c>
      <c r="G631" t="s">
        <v>1072</v>
      </c>
      <c r="H631" s="5">
        <v>88085</v>
      </c>
      <c r="I631" s="12">
        <v>46021</v>
      </c>
      <c r="J631" s="15">
        <v>45</v>
      </c>
      <c r="K631" s="15">
        <v>3</v>
      </c>
      <c r="L631" s="9">
        <v>9.5000000000000001E-2</v>
      </c>
      <c r="M631" s="9">
        <v>5.5100000000000003E-2</v>
      </c>
      <c r="N631" s="15">
        <v>7</v>
      </c>
      <c r="O631" t="s">
        <v>27</v>
      </c>
      <c r="P631" t="s">
        <v>28</v>
      </c>
      <c r="Q631" s="24">
        <v>0.5</v>
      </c>
      <c r="R631" s="5">
        <f t="shared" si="54"/>
        <v>1031.6804794520549</v>
      </c>
      <c r="S631" s="5">
        <f t="shared" si="55"/>
        <v>93.080505479452071</v>
      </c>
      <c r="T631" s="5">
        <f t="shared" si="56"/>
        <v>938.59997397260281</v>
      </c>
      <c r="U631" s="15">
        <f t="shared" si="57"/>
        <v>38</v>
      </c>
      <c r="V631" s="3">
        <f t="shared" si="58"/>
        <v>1757.29575</v>
      </c>
      <c r="W631" s="3">
        <f t="shared" si="59"/>
        <v>630</v>
      </c>
    </row>
    <row r="632" spans="1:23" x14ac:dyDescent="0.2">
      <c r="A632" t="s">
        <v>488</v>
      </c>
      <c r="B632" t="s">
        <v>489</v>
      </c>
      <c r="C632" t="s">
        <v>31</v>
      </c>
      <c r="D632" t="s">
        <v>37</v>
      </c>
      <c r="E632" t="s">
        <v>25</v>
      </c>
      <c r="F632" s="7">
        <v>6687670</v>
      </c>
      <c r="G632" t="s">
        <v>1600</v>
      </c>
      <c r="H632" s="5">
        <v>105880</v>
      </c>
      <c r="I632" s="12">
        <v>45800</v>
      </c>
      <c r="J632" s="15">
        <v>60</v>
      </c>
      <c r="K632" s="15">
        <v>2</v>
      </c>
      <c r="L632" s="9">
        <v>0.1013</v>
      </c>
      <c r="M632" s="9">
        <v>5.3900000000000003E-2</v>
      </c>
      <c r="N632" s="15">
        <v>8</v>
      </c>
      <c r="O632" t="s">
        <v>27</v>
      </c>
      <c r="P632" t="s">
        <v>28</v>
      </c>
      <c r="Q632" s="24">
        <v>0.35</v>
      </c>
      <c r="R632" s="5">
        <f t="shared" si="54"/>
        <v>1763.1195616438356</v>
      </c>
      <c r="S632" s="5">
        <f t="shared" si="55"/>
        <v>125.08344109589042</v>
      </c>
      <c r="T632" s="5">
        <f t="shared" si="56"/>
        <v>1638.0361205479451</v>
      </c>
      <c r="U632" s="15">
        <f t="shared" si="57"/>
        <v>52</v>
      </c>
      <c r="V632" s="3">
        <f t="shared" si="58"/>
        <v>1756.5491999999997</v>
      </c>
      <c r="W632" s="3">
        <f t="shared" si="59"/>
        <v>631</v>
      </c>
    </row>
    <row r="633" spans="1:23" x14ac:dyDescent="0.2">
      <c r="A633" t="s">
        <v>247</v>
      </c>
      <c r="B633" t="s">
        <v>47</v>
      </c>
      <c r="C633" t="s">
        <v>31</v>
      </c>
      <c r="D633" t="s">
        <v>48</v>
      </c>
      <c r="E633" t="s">
        <v>49</v>
      </c>
      <c r="F633" s="7">
        <v>1089809</v>
      </c>
      <c r="G633" t="s">
        <v>1619</v>
      </c>
      <c r="H633" s="5">
        <v>75556</v>
      </c>
      <c r="I633" s="12">
        <v>45797</v>
      </c>
      <c r="J633" s="15">
        <v>30</v>
      </c>
      <c r="K633" s="15">
        <v>4</v>
      </c>
      <c r="L633" s="9">
        <v>0.16689999999999999</v>
      </c>
      <c r="M633" s="9">
        <v>5.0999999999999997E-2</v>
      </c>
      <c r="N633" s="15">
        <v>6</v>
      </c>
      <c r="O633" t="s">
        <v>27</v>
      </c>
      <c r="P633" t="s">
        <v>28</v>
      </c>
      <c r="Q633" s="24">
        <v>0.2</v>
      </c>
      <c r="R633" s="5">
        <f t="shared" si="54"/>
        <v>1036.4627178082192</v>
      </c>
      <c r="S633" s="5">
        <f t="shared" si="55"/>
        <v>63.342838356164371</v>
      </c>
      <c r="T633" s="5">
        <f t="shared" si="56"/>
        <v>973.11987945205476</v>
      </c>
      <c r="U633" s="15">
        <f t="shared" si="57"/>
        <v>24</v>
      </c>
      <c r="V633" s="3">
        <f t="shared" si="58"/>
        <v>1751.3880800000002</v>
      </c>
      <c r="W633" s="3">
        <f t="shared" si="59"/>
        <v>632</v>
      </c>
    </row>
    <row r="634" spans="1:23" x14ac:dyDescent="0.2">
      <c r="A634" t="s">
        <v>396</v>
      </c>
      <c r="B634" t="s">
        <v>397</v>
      </c>
      <c r="C634" t="s">
        <v>77</v>
      </c>
      <c r="D634" t="s">
        <v>66</v>
      </c>
      <c r="E634" t="s">
        <v>49</v>
      </c>
      <c r="F634" s="7">
        <v>1043844</v>
      </c>
      <c r="G634" t="s">
        <v>891</v>
      </c>
      <c r="H634" s="5">
        <v>42833</v>
      </c>
      <c r="I634" s="12">
        <v>45937</v>
      </c>
      <c r="J634" s="15">
        <v>60</v>
      </c>
      <c r="K634" s="15">
        <v>7</v>
      </c>
      <c r="L634" s="9">
        <v>0.11550000000000001</v>
      </c>
      <c r="M634" s="9">
        <v>5.2900000000000003E-2</v>
      </c>
      <c r="N634" s="15">
        <v>7</v>
      </c>
      <c r="O634" t="s">
        <v>27</v>
      </c>
      <c r="P634" t="s">
        <v>28</v>
      </c>
      <c r="Q634" s="24">
        <v>0.65</v>
      </c>
      <c r="R634" s="5">
        <f t="shared" si="54"/>
        <v>813.24024657534244</v>
      </c>
      <c r="S634" s="5">
        <f t="shared" si="55"/>
        <v>43.454958630136993</v>
      </c>
      <c r="T634" s="5">
        <f t="shared" si="56"/>
        <v>769.78528794520548</v>
      </c>
      <c r="U634" s="15">
        <f t="shared" si="57"/>
        <v>53</v>
      </c>
      <c r="V634" s="3">
        <f t="shared" si="58"/>
        <v>1742.8747700000001</v>
      </c>
      <c r="W634" s="3">
        <f t="shared" si="59"/>
        <v>633</v>
      </c>
    </row>
    <row r="635" spans="1:23" x14ac:dyDescent="0.2">
      <c r="A635" t="s">
        <v>457</v>
      </c>
      <c r="B635" t="s">
        <v>184</v>
      </c>
      <c r="C635" t="s">
        <v>36</v>
      </c>
      <c r="D635" t="s">
        <v>66</v>
      </c>
      <c r="E635" t="s">
        <v>49</v>
      </c>
      <c r="F635" s="7">
        <v>1104797</v>
      </c>
      <c r="G635" t="s">
        <v>1096</v>
      </c>
      <c r="H635" s="5">
        <v>36535</v>
      </c>
      <c r="I635" s="12">
        <v>45931</v>
      </c>
      <c r="J635" s="15">
        <v>45</v>
      </c>
      <c r="K635" s="15">
        <v>2</v>
      </c>
      <c r="L635" s="9">
        <v>0.13320000000000001</v>
      </c>
      <c r="M635" s="9">
        <v>5.9900000000000002E-2</v>
      </c>
      <c r="N635" s="15">
        <v>10</v>
      </c>
      <c r="O635" t="s">
        <v>27</v>
      </c>
      <c r="P635" t="s">
        <v>28</v>
      </c>
      <c r="Q635" s="24">
        <v>0.65</v>
      </c>
      <c r="R635" s="5">
        <f t="shared" si="54"/>
        <v>599.97476712328773</v>
      </c>
      <c r="S635" s="5">
        <f t="shared" si="55"/>
        <v>59.957438356164381</v>
      </c>
      <c r="T635" s="5">
        <f t="shared" si="56"/>
        <v>540.01732876712333</v>
      </c>
      <c r="U635" s="15">
        <f t="shared" si="57"/>
        <v>35</v>
      </c>
      <c r="V635" s="3">
        <f t="shared" si="58"/>
        <v>1740.7100750000002</v>
      </c>
      <c r="W635" s="3">
        <f t="shared" si="59"/>
        <v>634</v>
      </c>
    </row>
    <row r="636" spans="1:23" x14ac:dyDescent="0.2">
      <c r="A636" t="s">
        <v>293</v>
      </c>
      <c r="B636" t="s">
        <v>231</v>
      </c>
      <c r="C636" t="s">
        <v>36</v>
      </c>
      <c r="D636" t="s">
        <v>32</v>
      </c>
      <c r="E636" t="s">
        <v>25</v>
      </c>
      <c r="F636" s="7">
        <v>3723173</v>
      </c>
      <c r="G636" t="s">
        <v>294</v>
      </c>
      <c r="H636" s="5">
        <v>92090</v>
      </c>
      <c r="I636" s="12">
        <v>45759</v>
      </c>
      <c r="J636" s="15">
        <v>45</v>
      </c>
      <c r="K636" s="15">
        <v>2</v>
      </c>
      <c r="L636" s="9">
        <v>0.1069</v>
      </c>
      <c r="M636" s="9">
        <v>5.2900000000000003E-2</v>
      </c>
      <c r="N636" s="15">
        <v>7</v>
      </c>
      <c r="O636" t="s">
        <v>27</v>
      </c>
      <c r="P636" t="s">
        <v>28</v>
      </c>
      <c r="Q636" s="24">
        <v>0.35</v>
      </c>
      <c r="R636" s="5">
        <f t="shared" si="54"/>
        <v>1213.6957397260273</v>
      </c>
      <c r="S636" s="5">
        <f t="shared" si="55"/>
        <v>93.427197260273985</v>
      </c>
      <c r="T636" s="5">
        <f t="shared" si="56"/>
        <v>1120.2685424657534</v>
      </c>
      <c r="U636" s="15">
        <f t="shared" si="57"/>
        <v>38</v>
      </c>
      <c r="V636" s="3">
        <f t="shared" si="58"/>
        <v>1740.5009999999997</v>
      </c>
      <c r="W636" s="3">
        <f t="shared" si="59"/>
        <v>635</v>
      </c>
    </row>
    <row r="637" spans="1:23" x14ac:dyDescent="0.2">
      <c r="A637" t="s">
        <v>596</v>
      </c>
      <c r="B637" t="s">
        <v>439</v>
      </c>
      <c r="C637" t="s">
        <v>77</v>
      </c>
      <c r="D637" t="s">
        <v>24</v>
      </c>
      <c r="E637" t="s">
        <v>56</v>
      </c>
      <c r="F637" s="7">
        <v>9396117</v>
      </c>
      <c r="G637" t="s">
        <v>679</v>
      </c>
      <c r="H637" s="5">
        <v>83939</v>
      </c>
      <c r="I637" s="12">
        <v>45907</v>
      </c>
      <c r="J637" s="15">
        <v>60</v>
      </c>
      <c r="K637" s="15">
        <v>7</v>
      </c>
      <c r="L637" s="9">
        <v>7.2400000000000006E-2</v>
      </c>
      <c r="M637" s="9">
        <v>4.65E-2</v>
      </c>
      <c r="N637" s="15">
        <v>5</v>
      </c>
      <c r="O637" t="s">
        <v>27</v>
      </c>
      <c r="P637" t="s">
        <v>28</v>
      </c>
      <c r="Q637" s="24">
        <v>0.8</v>
      </c>
      <c r="R637" s="5">
        <f t="shared" si="54"/>
        <v>998.9890849315068</v>
      </c>
      <c r="S637" s="5">
        <f t="shared" si="55"/>
        <v>53.467993150684933</v>
      </c>
      <c r="T637" s="5">
        <f t="shared" si="56"/>
        <v>945.52109178082185</v>
      </c>
      <c r="U637" s="15">
        <f t="shared" si="57"/>
        <v>55</v>
      </c>
      <c r="V637" s="3">
        <f t="shared" si="58"/>
        <v>1739.2160800000004</v>
      </c>
      <c r="W637" s="3">
        <f t="shared" si="59"/>
        <v>636</v>
      </c>
    </row>
    <row r="638" spans="1:23" x14ac:dyDescent="0.2">
      <c r="A638" t="s">
        <v>197</v>
      </c>
      <c r="B638" t="s">
        <v>198</v>
      </c>
      <c r="C638" t="s">
        <v>23</v>
      </c>
      <c r="D638" t="s">
        <v>48</v>
      </c>
      <c r="E638" t="s">
        <v>56</v>
      </c>
      <c r="F638" s="7">
        <v>13513506</v>
      </c>
      <c r="G638" t="s">
        <v>1423</v>
      </c>
      <c r="H638" s="5">
        <v>95914</v>
      </c>
      <c r="I638" s="12">
        <v>46062</v>
      </c>
      <c r="J638" s="15">
        <v>45</v>
      </c>
      <c r="K638" s="15">
        <v>7</v>
      </c>
      <c r="L638" s="9">
        <v>8.1799999999999998E-2</v>
      </c>
      <c r="M638" s="9">
        <v>4.5600000000000002E-2</v>
      </c>
      <c r="N638" s="15">
        <v>10</v>
      </c>
      <c r="O638" t="s">
        <v>27</v>
      </c>
      <c r="P638" t="s">
        <v>28</v>
      </c>
      <c r="Q638" s="24">
        <v>0.5</v>
      </c>
      <c r="R638" s="5">
        <f t="shared" si="54"/>
        <v>967.28612054794507</v>
      </c>
      <c r="S638" s="5">
        <f t="shared" si="55"/>
        <v>119.82680547945205</v>
      </c>
      <c r="T638" s="5">
        <f t="shared" si="56"/>
        <v>847.45931506849297</v>
      </c>
      <c r="U638" s="15">
        <f t="shared" si="57"/>
        <v>35</v>
      </c>
      <c r="V638" s="3">
        <f t="shared" si="58"/>
        <v>1736.0433999999998</v>
      </c>
      <c r="W638" s="3">
        <f t="shared" si="59"/>
        <v>637</v>
      </c>
    </row>
    <row r="639" spans="1:23" x14ac:dyDescent="0.2">
      <c r="A639" t="s">
        <v>341</v>
      </c>
      <c r="B639" t="s">
        <v>342</v>
      </c>
      <c r="C639" t="s">
        <v>77</v>
      </c>
      <c r="D639" t="s">
        <v>48</v>
      </c>
      <c r="E639" t="s">
        <v>49</v>
      </c>
      <c r="F639" s="7">
        <v>927954</v>
      </c>
      <c r="G639" t="s">
        <v>1449</v>
      </c>
      <c r="H639" s="5">
        <v>71468</v>
      </c>
      <c r="I639" s="12">
        <v>46029</v>
      </c>
      <c r="J639" s="15">
        <v>60</v>
      </c>
      <c r="K639" s="15">
        <v>4</v>
      </c>
      <c r="L639" s="9">
        <v>0.1181</v>
      </c>
      <c r="M639" s="9">
        <v>4.87E-2</v>
      </c>
      <c r="N639" s="15">
        <v>6</v>
      </c>
      <c r="O639" t="s">
        <v>27</v>
      </c>
      <c r="P639" t="s">
        <v>28</v>
      </c>
      <c r="Q639" s="24">
        <v>0.35</v>
      </c>
      <c r="R639" s="5">
        <f t="shared" si="54"/>
        <v>1387.4582136986301</v>
      </c>
      <c r="S639" s="5">
        <f t="shared" si="55"/>
        <v>57.2135605479452</v>
      </c>
      <c r="T639" s="5">
        <f t="shared" si="56"/>
        <v>1330.2446531506848</v>
      </c>
      <c r="U639" s="15">
        <f t="shared" si="57"/>
        <v>54</v>
      </c>
      <c r="V639" s="3">
        <f t="shared" si="58"/>
        <v>1735.9577199999997</v>
      </c>
      <c r="W639" s="3">
        <f t="shared" si="59"/>
        <v>638</v>
      </c>
    </row>
    <row r="640" spans="1:23" x14ac:dyDescent="0.2">
      <c r="A640" t="s">
        <v>355</v>
      </c>
      <c r="B640" t="s">
        <v>356</v>
      </c>
      <c r="C640" t="s">
        <v>23</v>
      </c>
      <c r="D640" t="s">
        <v>66</v>
      </c>
      <c r="E640" t="s">
        <v>25</v>
      </c>
      <c r="F640" s="7">
        <v>2561855</v>
      </c>
      <c r="G640" t="s">
        <v>1787</v>
      </c>
      <c r="H640" s="5">
        <v>54320</v>
      </c>
      <c r="I640" s="12">
        <v>45758</v>
      </c>
      <c r="J640" s="15">
        <v>60</v>
      </c>
      <c r="K640" s="15">
        <v>4</v>
      </c>
      <c r="L640" s="9">
        <v>0.1037</v>
      </c>
      <c r="M640" s="9">
        <v>6.4100000000000004E-2</v>
      </c>
      <c r="N640" s="15">
        <v>5</v>
      </c>
      <c r="O640" t="s">
        <v>27</v>
      </c>
      <c r="P640" t="s">
        <v>28</v>
      </c>
      <c r="Q640" s="24">
        <v>0.8</v>
      </c>
      <c r="R640" s="5">
        <f t="shared" si="54"/>
        <v>925.96997260273974</v>
      </c>
      <c r="S640" s="5">
        <f t="shared" si="55"/>
        <v>47.697424657534249</v>
      </c>
      <c r="T640" s="5">
        <f t="shared" si="56"/>
        <v>878.27254794520547</v>
      </c>
      <c r="U640" s="15">
        <f t="shared" si="57"/>
        <v>55</v>
      </c>
      <c r="V640" s="3">
        <f t="shared" si="58"/>
        <v>1720.8576</v>
      </c>
      <c r="W640" s="3">
        <f t="shared" si="59"/>
        <v>639</v>
      </c>
    </row>
    <row r="641" spans="1:23" x14ac:dyDescent="0.2">
      <c r="A641" t="s">
        <v>319</v>
      </c>
      <c r="B641" t="s">
        <v>320</v>
      </c>
      <c r="C641" t="s">
        <v>41</v>
      </c>
      <c r="D641" t="s">
        <v>37</v>
      </c>
      <c r="E641" t="s">
        <v>56</v>
      </c>
      <c r="F641" s="7">
        <v>23937545</v>
      </c>
      <c r="G641" t="s">
        <v>799</v>
      </c>
      <c r="H641" s="5">
        <v>87527</v>
      </c>
      <c r="I641" s="12">
        <v>45698</v>
      </c>
      <c r="J641" s="15">
        <v>60</v>
      </c>
      <c r="K641" s="15">
        <v>2</v>
      </c>
      <c r="L641" s="9">
        <v>8.7099999999999997E-2</v>
      </c>
      <c r="M641" s="9">
        <v>5.6899999999999999E-2</v>
      </c>
      <c r="N641" s="15">
        <v>7</v>
      </c>
      <c r="O641" t="s">
        <v>28</v>
      </c>
      <c r="P641" t="s">
        <v>28</v>
      </c>
      <c r="Q641" s="24">
        <v>0.65</v>
      </c>
      <c r="R641" s="5">
        <f t="shared" si="54"/>
        <v>1253.1948</v>
      </c>
      <c r="S641" s="5">
        <f t="shared" si="55"/>
        <v>95.512339999999995</v>
      </c>
      <c r="T641" s="5">
        <f t="shared" si="56"/>
        <v>1157.68246</v>
      </c>
      <c r="U641" s="15">
        <f t="shared" si="57"/>
        <v>53</v>
      </c>
      <c r="V641" s="3">
        <f t="shared" si="58"/>
        <v>1718.1550099999999</v>
      </c>
      <c r="W641" s="3">
        <f t="shared" si="59"/>
        <v>640</v>
      </c>
    </row>
    <row r="642" spans="1:23" x14ac:dyDescent="0.2">
      <c r="A642" t="s">
        <v>334</v>
      </c>
      <c r="B642" t="s">
        <v>335</v>
      </c>
      <c r="C642" t="s">
        <v>23</v>
      </c>
      <c r="D642" t="s">
        <v>66</v>
      </c>
      <c r="E642" t="s">
        <v>49</v>
      </c>
      <c r="F642" s="7">
        <v>1475965</v>
      </c>
      <c r="G642" t="s">
        <v>1254</v>
      </c>
      <c r="H642" s="5">
        <v>24027</v>
      </c>
      <c r="I642" s="12">
        <v>45897</v>
      </c>
      <c r="J642" s="15">
        <v>45</v>
      </c>
      <c r="K642" s="15">
        <v>7</v>
      </c>
      <c r="L642" s="9">
        <v>0.14000000000000001</v>
      </c>
      <c r="M642" s="9">
        <v>6.1600000000000002E-2</v>
      </c>
      <c r="N642" s="15">
        <v>6</v>
      </c>
      <c r="O642" t="s">
        <v>28</v>
      </c>
      <c r="P642" t="s">
        <v>28</v>
      </c>
      <c r="Q642" s="24">
        <v>0.9</v>
      </c>
      <c r="R642" s="5">
        <f t="shared" ref="R642:R705" si="60">H642*L642*(J642/365)</f>
        <v>414.71260273972604</v>
      </c>
      <c r="S642" s="5">
        <f t="shared" ref="S642:S705" si="61">H642*M642*(N642/365)</f>
        <v>24.329806027397257</v>
      </c>
      <c r="T642" s="5">
        <f t="shared" ref="T642:T705" si="62">R642-S642</f>
        <v>390.3827967123288</v>
      </c>
      <c r="U642" s="15">
        <f t="shared" ref="U642:U705" si="63">J642-N642</f>
        <v>39</v>
      </c>
      <c r="V642" s="3">
        <f t="shared" ref="V642:V705" si="64">Q642*(L642-M642)*H642</f>
        <v>1695.3451200000002</v>
      </c>
      <c r="W642" s="3">
        <f t="shared" ref="W642:W705" si="65">RANK(V642,$V$2:$V$1501)</f>
        <v>641</v>
      </c>
    </row>
    <row r="643" spans="1:23" x14ac:dyDescent="0.2">
      <c r="A643" t="s">
        <v>297</v>
      </c>
      <c r="B643" t="s">
        <v>298</v>
      </c>
      <c r="C643" t="s">
        <v>36</v>
      </c>
      <c r="D643" t="s">
        <v>24</v>
      </c>
      <c r="E643" t="s">
        <v>49</v>
      </c>
      <c r="F643" s="7">
        <v>1249897</v>
      </c>
      <c r="G643" t="s">
        <v>973</v>
      </c>
      <c r="H643" s="5">
        <v>49767</v>
      </c>
      <c r="I643" s="12">
        <v>46022</v>
      </c>
      <c r="J643" s="15">
        <v>60</v>
      </c>
      <c r="K643" s="15">
        <v>2</v>
      </c>
      <c r="L643" s="9">
        <v>0.1452</v>
      </c>
      <c r="M643" s="9">
        <v>4.8000000000000001E-2</v>
      </c>
      <c r="N643" s="15">
        <v>7</v>
      </c>
      <c r="O643" t="s">
        <v>27</v>
      </c>
      <c r="P643" t="s">
        <v>28</v>
      </c>
      <c r="Q643" s="24">
        <v>0.35</v>
      </c>
      <c r="R643" s="5">
        <f t="shared" si="60"/>
        <v>1187.8632986301368</v>
      </c>
      <c r="S643" s="5">
        <f t="shared" si="61"/>
        <v>45.812909589041105</v>
      </c>
      <c r="T643" s="5">
        <f t="shared" si="62"/>
        <v>1142.0503890410957</v>
      </c>
      <c r="U643" s="15">
        <f t="shared" si="63"/>
        <v>53</v>
      </c>
      <c r="V643" s="3">
        <f t="shared" si="64"/>
        <v>1693.0733399999997</v>
      </c>
      <c r="W643" s="3">
        <f t="shared" si="65"/>
        <v>642</v>
      </c>
    </row>
    <row r="644" spans="1:23" x14ac:dyDescent="0.2">
      <c r="A644" t="s">
        <v>450</v>
      </c>
      <c r="B644" t="s">
        <v>76</v>
      </c>
      <c r="C644" t="s">
        <v>41</v>
      </c>
      <c r="D644" t="s">
        <v>32</v>
      </c>
      <c r="E644" t="s">
        <v>56</v>
      </c>
      <c r="F644" s="7">
        <v>13637712</v>
      </c>
      <c r="G644" t="s">
        <v>1183</v>
      </c>
      <c r="H644" s="5">
        <v>98471</v>
      </c>
      <c r="I644" s="12">
        <v>45991</v>
      </c>
      <c r="J644" s="15">
        <v>60</v>
      </c>
      <c r="K644" s="15">
        <v>5</v>
      </c>
      <c r="L644" s="9">
        <v>8.6999999999999994E-2</v>
      </c>
      <c r="M644" s="9">
        <v>5.2699999999999997E-2</v>
      </c>
      <c r="N644" s="15">
        <v>8</v>
      </c>
      <c r="O644" t="s">
        <v>27</v>
      </c>
      <c r="P644" t="s">
        <v>28</v>
      </c>
      <c r="Q644" s="24">
        <v>0.5</v>
      </c>
      <c r="R644" s="5">
        <f t="shared" si="60"/>
        <v>1408.2701917808217</v>
      </c>
      <c r="S644" s="5">
        <f t="shared" si="61"/>
        <v>113.74074958904109</v>
      </c>
      <c r="T644" s="5">
        <f t="shared" si="62"/>
        <v>1294.5294421917806</v>
      </c>
      <c r="U644" s="15">
        <f t="shared" si="63"/>
        <v>52</v>
      </c>
      <c r="V644" s="3">
        <f t="shared" si="64"/>
        <v>1688.7776499999998</v>
      </c>
      <c r="W644" s="3">
        <f t="shared" si="65"/>
        <v>643</v>
      </c>
    </row>
    <row r="645" spans="1:23" x14ac:dyDescent="0.2">
      <c r="A645" t="s">
        <v>314</v>
      </c>
      <c r="B645" t="s">
        <v>211</v>
      </c>
      <c r="C645" t="s">
        <v>36</v>
      </c>
      <c r="D645" t="s">
        <v>66</v>
      </c>
      <c r="E645" t="s">
        <v>56</v>
      </c>
      <c r="F645" s="7">
        <v>16270036</v>
      </c>
      <c r="G645" t="s">
        <v>315</v>
      </c>
      <c r="H645" s="5">
        <v>96319</v>
      </c>
      <c r="I645" s="12">
        <v>45773</v>
      </c>
      <c r="J645" s="15">
        <v>60</v>
      </c>
      <c r="K645" s="15">
        <v>4</v>
      </c>
      <c r="L645" s="9">
        <v>9.2200000000000004E-2</v>
      </c>
      <c r="M645" s="9">
        <v>5.7200000000000001E-2</v>
      </c>
      <c r="N645" s="15">
        <v>6</v>
      </c>
      <c r="O645" t="s">
        <v>27</v>
      </c>
      <c r="P645" t="s">
        <v>28</v>
      </c>
      <c r="Q645" s="24">
        <v>0.5</v>
      </c>
      <c r="R645" s="5">
        <f t="shared" si="60"/>
        <v>1459.826597260274</v>
      </c>
      <c r="S645" s="5">
        <f t="shared" si="61"/>
        <v>90.56624876712327</v>
      </c>
      <c r="T645" s="5">
        <f t="shared" si="62"/>
        <v>1369.2603484931508</v>
      </c>
      <c r="U645" s="15">
        <f t="shared" si="63"/>
        <v>54</v>
      </c>
      <c r="V645" s="3">
        <f t="shared" si="64"/>
        <v>1685.5825000000002</v>
      </c>
      <c r="W645" s="3">
        <f t="shared" si="65"/>
        <v>644</v>
      </c>
    </row>
    <row r="646" spans="1:23" x14ac:dyDescent="0.2">
      <c r="A646" t="s">
        <v>183</v>
      </c>
      <c r="B646" t="s">
        <v>184</v>
      </c>
      <c r="C646" t="s">
        <v>77</v>
      </c>
      <c r="D646" t="s">
        <v>32</v>
      </c>
      <c r="E646" t="s">
        <v>25</v>
      </c>
      <c r="F646" s="7">
        <v>6014522</v>
      </c>
      <c r="G646" t="s">
        <v>1002</v>
      </c>
      <c r="H646" s="5">
        <v>102546</v>
      </c>
      <c r="I646" s="12">
        <v>45674</v>
      </c>
      <c r="J646" s="15">
        <v>60</v>
      </c>
      <c r="K646" s="15">
        <v>2</v>
      </c>
      <c r="L646" s="9">
        <v>0.12870000000000001</v>
      </c>
      <c r="M646" s="9">
        <v>4.6600000000000003E-2</v>
      </c>
      <c r="N646" s="15">
        <v>8</v>
      </c>
      <c r="O646" t="s">
        <v>27</v>
      </c>
      <c r="P646" t="s">
        <v>28</v>
      </c>
      <c r="Q646" s="24">
        <v>0.2</v>
      </c>
      <c r="R646" s="5">
        <f t="shared" si="60"/>
        <v>2169.4800328767124</v>
      </c>
      <c r="S646" s="5">
        <f t="shared" si="61"/>
        <v>104.73739397260275</v>
      </c>
      <c r="T646" s="5">
        <f t="shared" si="62"/>
        <v>2064.7426389041098</v>
      </c>
      <c r="U646" s="15">
        <f t="shared" si="63"/>
        <v>52</v>
      </c>
      <c r="V646" s="3">
        <f t="shared" si="64"/>
        <v>1683.8053200000002</v>
      </c>
      <c r="W646" s="3">
        <f t="shared" si="65"/>
        <v>645</v>
      </c>
    </row>
    <row r="647" spans="1:23" x14ac:dyDescent="0.2">
      <c r="A647" t="s">
        <v>722</v>
      </c>
      <c r="B647" t="s">
        <v>723</v>
      </c>
      <c r="C647" t="s">
        <v>77</v>
      </c>
      <c r="D647" t="s">
        <v>24</v>
      </c>
      <c r="E647" t="s">
        <v>49</v>
      </c>
      <c r="F647" s="7">
        <v>1097913</v>
      </c>
      <c r="G647" t="s">
        <v>724</v>
      </c>
      <c r="H647" s="5">
        <v>49289</v>
      </c>
      <c r="I647" s="12">
        <v>45968</v>
      </c>
      <c r="J647" s="15">
        <v>60</v>
      </c>
      <c r="K647" s="15">
        <v>7</v>
      </c>
      <c r="L647" s="9">
        <v>0.16070000000000001</v>
      </c>
      <c r="M647" s="9">
        <v>6.3299999999999995E-2</v>
      </c>
      <c r="N647" s="15">
        <v>7</v>
      </c>
      <c r="O647" t="s">
        <v>27</v>
      </c>
      <c r="P647" t="s">
        <v>28</v>
      </c>
      <c r="Q647" s="24">
        <v>0.35</v>
      </c>
      <c r="R647" s="5">
        <f t="shared" si="60"/>
        <v>1302.0398301369864</v>
      </c>
      <c r="S647" s="5">
        <f t="shared" si="61"/>
        <v>59.835495616438351</v>
      </c>
      <c r="T647" s="5">
        <f t="shared" si="62"/>
        <v>1242.2043345205482</v>
      </c>
      <c r="U647" s="15">
        <f t="shared" si="63"/>
        <v>53</v>
      </c>
      <c r="V647" s="3">
        <f t="shared" si="64"/>
        <v>1680.2620100000001</v>
      </c>
      <c r="W647" s="3">
        <f t="shared" si="65"/>
        <v>646</v>
      </c>
    </row>
    <row r="648" spans="1:23" x14ac:dyDescent="0.2">
      <c r="A648" t="s">
        <v>151</v>
      </c>
      <c r="B648" t="s">
        <v>131</v>
      </c>
      <c r="C648" t="s">
        <v>77</v>
      </c>
      <c r="D648" t="s">
        <v>66</v>
      </c>
      <c r="E648" t="s">
        <v>49</v>
      </c>
      <c r="F648" s="7">
        <v>1106462</v>
      </c>
      <c r="G648" t="s">
        <v>913</v>
      </c>
      <c r="H648" s="5">
        <v>108247</v>
      </c>
      <c r="I648" s="12">
        <v>45692</v>
      </c>
      <c r="J648" s="15">
        <v>60</v>
      </c>
      <c r="K648" s="15">
        <v>3</v>
      </c>
      <c r="L648" s="9">
        <v>0.1328</v>
      </c>
      <c r="M648" s="9">
        <v>5.5399999999999998E-2</v>
      </c>
      <c r="N648" s="15">
        <v>6</v>
      </c>
      <c r="O648" t="s">
        <v>27</v>
      </c>
      <c r="P648" t="s">
        <v>28</v>
      </c>
      <c r="Q648" s="24">
        <v>0.2</v>
      </c>
      <c r="R648" s="5">
        <f t="shared" si="60"/>
        <v>2363.0468383561642</v>
      </c>
      <c r="S648" s="5">
        <f t="shared" si="61"/>
        <v>98.578911780821898</v>
      </c>
      <c r="T648" s="5">
        <f t="shared" si="62"/>
        <v>2264.4679265753425</v>
      </c>
      <c r="U648" s="15">
        <f t="shared" si="63"/>
        <v>54</v>
      </c>
      <c r="V648" s="3">
        <f t="shared" si="64"/>
        <v>1675.6635600000002</v>
      </c>
      <c r="W648" s="3">
        <f t="shared" si="65"/>
        <v>647</v>
      </c>
    </row>
    <row r="649" spans="1:23" x14ac:dyDescent="0.2">
      <c r="A649" t="s">
        <v>450</v>
      </c>
      <c r="B649" t="s">
        <v>76</v>
      </c>
      <c r="C649" t="s">
        <v>41</v>
      </c>
      <c r="D649" t="s">
        <v>32</v>
      </c>
      <c r="E649" t="s">
        <v>56</v>
      </c>
      <c r="F649" s="7">
        <v>13637712</v>
      </c>
      <c r="G649" t="s">
        <v>1200</v>
      </c>
      <c r="H649" s="5">
        <v>92744</v>
      </c>
      <c r="I649" s="12">
        <v>45722</v>
      </c>
      <c r="J649" s="15">
        <v>60</v>
      </c>
      <c r="K649" s="15">
        <v>7</v>
      </c>
      <c r="L649" s="9">
        <v>8.6999999999999994E-2</v>
      </c>
      <c r="M649" s="9">
        <v>5.0900000000000001E-2</v>
      </c>
      <c r="N649" s="15">
        <v>6</v>
      </c>
      <c r="O649" t="s">
        <v>27</v>
      </c>
      <c r="P649" t="s">
        <v>28</v>
      </c>
      <c r="Q649" s="24">
        <v>0.5</v>
      </c>
      <c r="R649" s="5">
        <f t="shared" si="60"/>
        <v>1326.3662465753423</v>
      </c>
      <c r="S649" s="5">
        <f t="shared" si="61"/>
        <v>77.600048219178078</v>
      </c>
      <c r="T649" s="5">
        <f t="shared" si="62"/>
        <v>1248.7661983561643</v>
      </c>
      <c r="U649" s="15">
        <f t="shared" si="63"/>
        <v>54</v>
      </c>
      <c r="V649" s="3">
        <f t="shared" si="64"/>
        <v>1674.0291999999997</v>
      </c>
      <c r="W649" s="3">
        <f t="shared" si="65"/>
        <v>648</v>
      </c>
    </row>
    <row r="650" spans="1:23" x14ac:dyDescent="0.2">
      <c r="A650" t="s">
        <v>166</v>
      </c>
      <c r="B650" t="s">
        <v>167</v>
      </c>
      <c r="C650" t="s">
        <v>41</v>
      </c>
      <c r="D650" t="s">
        <v>24</v>
      </c>
      <c r="E650" t="s">
        <v>25</v>
      </c>
      <c r="F650" s="7">
        <v>6222733</v>
      </c>
      <c r="G650" t="s">
        <v>808</v>
      </c>
      <c r="H650" s="5">
        <v>57838</v>
      </c>
      <c r="I650" s="12">
        <v>46008</v>
      </c>
      <c r="J650" s="15">
        <v>60</v>
      </c>
      <c r="K650" s="15">
        <v>5</v>
      </c>
      <c r="L650" s="9">
        <v>0.13980000000000001</v>
      </c>
      <c r="M650" s="9">
        <v>5.7500000000000002E-2</v>
      </c>
      <c r="N650" s="15">
        <v>8</v>
      </c>
      <c r="O650" t="s">
        <v>28</v>
      </c>
      <c r="P650" t="s">
        <v>28</v>
      </c>
      <c r="Q650" s="24">
        <v>0.35</v>
      </c>
      <c r="R650" s="5">
        <f t="shared" si="60"/>
        <v>1329.1647780821918</v>
      </c>
      <c r="S650" s="5">
        <f t="shared" si="61"/>
        <v>72.891726027397254</v>
      </c>
      <c r="T650" s="5">
        <f t="shared" si="62"/>
        <v>1256.2730520547946</v>
      </c>
      <c r="U650" s="15">
        <f t="shared" si="63"/>
        <v>52</v>
      </c>
      <c r="V650" s="3">
        <f t="shared" si="64"/>
        <v>1666.02359</v>
      </c>
      <c r="W650" s="3">
        <f t="shared" si="65"/>
        <v>649</v>
      </c>
    </row>
    <row r="651" spans="1:23" x14ac:dyDescent="0.2">
      <c r="A651" t="s">
        <v>220</v>
      </c>
      <c r="B651" t="s">
        <v>221</v>
      </c>
      <c r="C651" t="s">
        <v>36</v>
      </c>
      <c r="D651" t="s">
        <v>37</v>
      </c>
      <c r="E651" t="s">
        <v>25</v>
      </c>
      <c r="F651" s="7">
        <v>6280246</v>
      </c>
      <c r="G651" t="s">
        <v>1703</v>
      </c>
      <c r="H651" s="5">
        <v>62992</v>
      </c>
      <c r="I651" s="12">
        <v>45894</v>
      </c>
      <c r="J651" s="15">
        <v>60</v>
      </c>
      <c r="K651" s="15">
        <v>7</v>
      </c>
      <c r="L651" s="9">
        <v>0.1205</v>
      </c>
      <c r="M651" s="9">
        <v>4.53E-2</v>
      </c>
      <c r="N651" s="15">
        <v>7</v>
      </c>
      <c r="O651" t="s">
        <v>27</v>
      </c>
      <c r="P651" t="s">
        <v>28</v>
      </c>
      <c r="Q651" s="24">
        <v>0.35</v>
      </c>
      <c r="R651" s="5">
        <f t="shared" si="60"/>
        <v>1247.7593424657534</v>
      </c>
      <c r="S651" s="5">
        <f t="shared" si="61"/>
        <v>54.725378630136994</v>
      </c>
      <c r="T651" s="5">
        <f t="shared" si="62"/>
        <v>1193.0339638356165</v>
      </c>
      <c r="U651" s="15">
        <f t="shared" si="63"/>
        <v>53</v>
      </c>
      <c r="V651" s="3">
        <f t="shared" si="64"/>
        <v>1657.9494399999999</v>
      </c>
      <c r="W651" s="3">
        <f t="shared" si="65"/>
        <v>650</v>
      </c>
    </row>
    <row r="652" spans="1:23" x14ac:dyDescent="0.2">
      <c r="A652" t="s">
        <v>711</v>
      </c>
      <c r="B652" t="s">
        <v>190</v>
      </c>
      <c r="C652" t="s">
        <v>77</v>
      </c>
      <c r="D652" t="s">
        <v>37</v>
      </c>
      <c r="E652" t="s">
        <v>49</v>
      </c>
      <c r="F652" s="7">
        <v>407422</v>
      </c>
      <c r="G652" t="s">
        <v>902</v>
      </c>
      <c r="H652" s="5">
        <v>33955</v>
      </c>
      <c r="I652" s="12">
        <v>45744</v>
      </c>
      <c r="J652" s="15">
        <v>30</v>
      </c>
      <c r="K652" s="15">
        <v>7</v>
      </c>
      <c r="L652" s="9">
        <v>0.121</v>
      </c>
      <c r="M652" s="9">
        <v>0.06</v>
      </c>
      <c r="N652" s="15">
        <v>10</v>
      </c>
      <c r="O652" t="s">
        <v>27</v>
      </c>
      <c r="P652" t="s">
        <v>28</v>
      </c>
      <c r="Q652" s="24">
        <v>0.8</v>
      </c>
      <c r="R652" s="5">
        <f t="shared" si="60"/>
        <v>337.68945205479451</v>
      </c>
      <c r="S652" s="5">
        <f t="shared" si="61"/>
        <v>55.816438356164376</v>
      </c>
      <c r="T652" s="5">
        <f t="shared" si="62"/>
        <v>281.87301369863013</v>
      </c>
      <c r="U652" s="15">
        <f t="shared" si="63"/>
        <v>20</v>
      </c>
      <c r="V652" s="3">
        <f t="shared" si="64"/>
        <v>1657.0040000000001</v>
      </c>
      <c r="W652" s="3">
        <f t="shared" si="65"/>
        <v>651</v>
      </c>
    </row>
    <row r="653" spans="1:23" x14ac:dyDescent="0.2">
      <c r="A653" t="s">
        <v>228</v>
      </c>
      <c r="B653" t="s">
        <v>62</v>
      </c>
      <c r="C653" t="s">
        <v>23</v>
      </c>
      <c r="D653" t="s">
        <v>66</v>
      </c>
      <c r="E653" t="s">
        <v>49</v>
      </c>
      <c r="F653" s="7">
        <v>1218251</v>
      </c>
      <c r="G653" t="s">
        <v>1052</v>
      </c>
      <c r="H653" s="5">
        <v>42862</v>
      </c>
      <c r="I653" s="12">
        <v>46062</v>
      </c>
      <c r="J653" s="15">
        <v>45</v>
      </c>
      <c r="K653" s="15">
        <v>3</v>
      </c>
      <c r="L653" s="9">
        <v>0.1227</v>
      </c>
      <c r="M653" s="9">
        <v>6.3299999999999995E-2</v>
      </c>
      <c r="N653" s="15">
        <v>7</v>
      </c>
      <c r="O653" t="s">
        <v>27</v>
      </c>
      <c r="P653" t="s">
        <v>28</v>
      </c>
      <c r="Q653" s="24">
        <v>0.65</v>
      </c>
      <c r="R653" s="5">
        <f t="shared" si="60"/>
        <v>648.39050136986305</v>
      </c>
      <c r="S653" s="5">
        <f t="shared" si="61"/>
        <v>52.033293698630132</v>
      </c>
      <c r="T653" s="5">
        <f t="shared" si="62"/>
        <v>596.35720767123291</v>
      </c>
      <c r="U653" s="15">
        <f t="shared" si="63"/>
        <v>38</v>
      </c>
      <c r="V653" s="3">
        <f t="shared" si="64"/>
        <v>1654.9018200000003</v>
      </c>
      <c r="W653" s="3">
        <f t="shared" si="65"/>
        <v>652</v>
      </c>
    </row>
    <row r="654" spans="1:23" x14ac:dyDescent="0.2">
      <c r="A654" t="s">
        <v>750</v>
      </c>
      <c r="B654" t="s">
        <v>751</v>
      </c>
      <c r="C654" t="s">
        <v>41</v>
      </c>
      <c r="D654" t="s">
        <v>48</v>
      </c>
      <c r="E654" t="s">
        <v>25</v>
      </c>
      <c r="F654" s="7">
        <v>1709806</v>
      </c>
      <c r="G654" t="s">
        <v>752</v>
      </c>
      <c r="H654" s="5">
        <v>70313</v>
      </c>
      <c r="I654" s="12">
        <v>45669</v>
      </c>
      <c r="J654" s="15">
        <v>60</v>
      </c>
      <c r="K654" s="15">
        <v>4</v>
      </c>
      <c r="L654" s="9">
        <v>0.12709999999999999</v>
      </c>
      <c r="M654" s="9">
        <v>0.06</v>
      </c>
      <c r="N654" s="15">
        <v>10</v>
      </c>
      <c r="O654" t="s">
        <v>27</v>
      </c>
      <c r="P654" t="s">
        <v>28</v>
      </c>
      <c r="Q654" s="24">
        <v>0.35</v>
      </c>
      <c r="R654" s="5">
        <f t="shared" si="60"/>
        <v>1469.0601041095888</v>
      </c>
      <c r="S654" s="5">
        <f t="shared" si="61"/>
        <v>115.58301369863013</v>
      </c>
      <c r="T654" s="5">
        <f t="shared" si="62"/>
        <v>1353.4770904109587</v>
      </c>
      <c r="U654" s="15">
        <f t="shared" si="63"/>
        <v>50</v>
      </c>
      <c r="V654" s="3">
        <f t="shared" si="64"/>
        <v>1651.3008049999996</v>
      </c>
      <c r="W654" s="3">
        <f t="shared" si="65"/>
        <v>653</v>
      </c>
    </row>
    <row r="655" spans="1:23" x14ac:dyDescent="0.2">
      <c r="A655" t="s">
        <v>149</v>
      </c>
      <c r="B655" t="s">
        <v>30</v>
      </c>
      <c r="C655" t="s">
        <v>77</v>
      </c>
      <c r="D655" t="s">
        <v>66</v>
      </c>
      <c r="E655" t="s">
        <v>25</v>
      </c>
      <c r="F655" s="7">
        <v>3553623</v>
      </c>
      <c r="G655" t="s">
        <v>788</v>
      </c>
      <c r="H655" s="5">
        <v>40298</v>
      </c>
      <c r="I655" s="12">
        <v>45994</v>
      </c>
      <c r="J655" s="15">
        <v>90</v>
      </c>
      <c r="K655" s="15">
        <v>2</v>
      </c>
      <c r="L655" s="9">
        <v>9.8199999999999996E-2</v>
      </c>
      <c r="M655" s="9">
        <v>4.7E-2</v>
      </c>
      <c r="N655" s="15">
        <v>6</v>
      </c>
      <c r="O655" t="s">
        <v>27</v>
      </c>
      <c r="P655" t="s">
        <v>28</v>
      </c>
      <c r="Q655" s="24">
        <v>0.8</v>
      </c>
      <c r="R655" s="5">
        <f t="shared" si="60"/>
        <v>975.76362739726017</v>
      </c>
      <c r="S655" s="5">
        <f t="shared" si="61"/>
        <v>31.134345205479452</v>
      </c>
      <c r="T655" s="5">
        <f t="shared" si="62"/>
        <v>944.6292821917807</v>
      </c>
      <c r="U655" s="15">
        <f t="shared" si="63"/>
        <v>84</v>
      </c>
      <c r="V655" s="3">
        <f t="shared" si="64"/>
        <v>1650.6060799999998</v>
      </c>
      <c r="W655" s="3">
        <f t="shared" si="65"/>
        <v>654</v>
      </c>
    </row>
    <row r="656" spans="1:23" x14ac:dyDescent="0.2">
      <c r="A656" t="s">
        <v>239</v>
      </c>
      <c r="B656" t="s">
        <v>240</v>
      </c>
      <c r="C656" t="s">
        <v>31</v>
      </c>
      <c r="D656" t="s">
        <v>32</v>
      </c>
      <c r="E656" t="s">
        <v>49</v>
      </c>
      <c r="F656" s="7">
        <v>1485779</v>
      </c>
      <c r="G656" t="s">
        <v>1463</v>
      </c>
      <c r="H656" s="5">
        <v>58170</v>
      </c>
      <c r="I656" s="12">
        <v>45695</v>
      </c>
      <c r="J656" s="15">
        <v>60</v>
      </c>
      <c r="K656" s="15">
        <v>2</v>
      </c>
      <c r="L656" s="9">
        <v>0.1295</v>
      </c>
      <c r="M656" s="9">
        <v>4.8599999999999997E-2</v>
      </c>
      <c r="N656" s="15">
        <v>7</v>
      </c>
      <c r="O656" t="s">
        <v>27</v>
      </c>
      <c r="P656" t="s">
        <v>28</v>
      </c>
      <c r="Q656" s="24">
        <v>0.35</v>
      </c>
      <c r="R656" s="5">
        <f t="shared" si="60"/>
        <v>1238.3038356164384</v>
      </c>
      <c r="S656" s="5">
        <f t="shared" si="61"/>
        <v>54.217627397260273</v>
      </c>
      <c r="T656" s="5">
        <f t="shared" si="62"/>
        <v>1184.0862082191782</v>
      </c>
      <c r="U656" s="15">
        <f t="shared" si="63"/>
        <v>53</v>
      </c>
      <c r="V656" s="3">
        <f t="shared" si="64"/>
        <v>1647.0835499999998</v>
      </c>
      <c r="W656" s="3">
        <f t="shared" si="65"/>
        <v>655</v>
      </c>
    </row>
    <row r="657" spans="1:23" x14ac:dyDescent="0.2">
      <c r="A657" t="s">
        <v>429</v>
      </c>
      <c r="B657" t="s">
        <v>430</v>
      </c>
      <c r="C657" t="s">
        <v>41</v>
      </c>
      <c r="D657" t="s">
        <v>48</v>
      </c>
      <c r="E657" t="s">
        <v>56</v>
      </c>
      <c r="F657" s="7">
        <v>22445214</v>
      </c>
      <c r="G657" t="s">
        <v>1500</v>
      </c>
      <c r="H657" s="5">
        <v>95720</v>
      </c>
      <c r="I657" s="12">
        <v>45747</v>
      </c>
      <c r="J657" s="15">
        <v>45</v>
      </c>
      <c r="K657" s="15">
        <v>4</v>
      </c>
      <c r="L657" s="9">
        <v>8.4000000000000005E-2</v>
      </c>
      <c r="M657" s="9">
        <v>6.25E-2</v>
      </c>
      <c r="N657" s="15">
        <v>10</v>
      </c>
      <c r="O657" t="s">
        <v>27</v>
      </c>
      <c r="P657" t="s">
        <v>28</v>
      </c>
      <c r="Q657" s="24">
        <v>0.8</v>
      </c>
      <c r="R657" s="5">
        <f t="shared" si="60"/>
        <v>991.2920547945206</v>
      </c>
      <c r="S657" s="5">
        <f t="shared" si="61"/>
        <v>163.9041095890411</v>
      </c>
      <c r="T657" s="5">
        <f t="shared" si="62"/>
        <v>827.38794520547947</v>
      </c>
      <c r="U657" s="15">
        <f t="shared" si="63"/>
        <v>35</v>
      </c>
      <c r="V657" s="3">
        <f t="shared" si="64"/>
        <v>1646.3840000000002</v>
      </c>
      <c r="W657" s="3">
        <f t="shared" si="65"/>
        <v>656</v>
      </c>
    </row>
    <row r="658" spans="1:23" x14ac:dyDescent="0.2">
      <c r="A658" t="s">
        <v>453</v>
      </c>
      <c r="B658" t="s">
        <v>454</v>
      </c>
      <c r="C658" t="s">
        <v>23</v>
      </c>
      <c r="D658" t="s">
        <v>32</v>
      </c>
      <c r="E658" t="s">
        <v>49</v>
      </c>
      <c r="F658" s="7">
        <v>1410716</v>
      </c>
      <c r="G658" t="s">
        <v>1300</v>
      </c>
      <c r="H658" s="5">
        <v>51855</v>
      </c>
      <c r="I658" s="12">
        <v>45765</v>
      </c>
      <c r="J658" s="15">
        <v>60</v>
      </c>
      <c r="K658" s="15">
        <v>3</v>
      </c>
      <c r="L658" s="9">
        <v>0.1472</v>
      </c>
      <c r="M658" s="9">
        <v>5.6500000000000002E-2</v>
      </c>
      <c r="N658" s="15">
        <v>8</v>
      </c>
      <c r="O658" t="s">
        <v>27</v>
      </c>
      <c r="P658" t="s">
        <v>28</v>
      </c>
      <c r="Q658" s="24">
        <v>0.35</v>
      </c>
      <c r="R658" s="5">
        <f t="shared" si="60"/>
        <v>1254.7489315068492</v>
      </c>
      <c r="S658" s="5">
        <f t="shared" si="61"/>
        <v>64.214958904109594</v>
      </c>
      <c r="T658" s="5">
        <f t="shared" si="62"/>
        <v>1190.5339726027396</v>
      </c>
      <c r="U658" s="15">
        <f t="shared" si="63"/>
        <v>52</v>
      </c>
      <c r="V658" s="3">
        <f t="shared" si="64"/>
        <v>1646.1369750000001</v>
      </c>
      <c r="W658" s="3">
        <f t="shared" si="65"/>
        <v>657</v>
      </c>
    </row>
    <row r="659" spans="1:23" x14ac:dyDescent="0.2">
      <c r="A659" t="s">
        <v>300</v>
      </c>
      <c r="B659" t="s">
        <v>301</v>
      </c>
      <c r="C659" t="s">
        <v>77</v>
      </c>
      <c r="D659" t="s">
        <v>66</v>
      </c>
      <c r="E659" t="s">
        <v>25</v>
      </c>
      <c r="F659" s="7">
        <v>2362296</v>
      </c>
      <c r="G659" t="s">
        <v>1588</v>
      </c>
      <c r="H659" s="5">
        <v>67359</v>
      </c>
      <c r="I659" s="12">
        <v>45960</v>
      </c>
      <c r="J659" s="15">
        <v>60</v>
      </c>
      <c r="K659" s="15">
        <v>5</v>
      </c>
      <c r="L659" s="9">
        <v>0.1077</v>
      </c>
      <c r="M659" s="9">
        <v>5.8900000000000001E-2</v>
      </c>
      <c r="N659" s="15">
        <v>6</v>
      </c>
      <c r="O659" t="s">
        <v>27</v>
      </c>
      <c r="P659" t="s">
        <v>28</v>
      </c>
      <c r="Q659" s="24">
        <v>0.5</v>
      </c>
      <c r="R659" s="5">
        <f t="shared" si="60"/>
        <v>1192.5311178082191</v>
      </c>
      <c r="S659" s="5">
        <f t="shared" si="61"/>
        <v>65.218275616438348</v>
      </c>
      <c r="T659" s="5">
        <f t="shared" si="62"/>
        <v>1127.3128421917806</v>
      </c>
      <c r="U659" s="15">
        <f t="shared" si="63"/>
        <v>54</v>
      </c>
      <c r="V659" s="3">
        <f t="shared" si="64"/>
        <v>1643.5596</v>
      </c>
      <c r="W659" s="3">
        <f t="shared" si="65"/>
        <v>658</v>
      </c>
    </row>
    <row r="660" spans="1:23" x14ac:dyDescent="0.2">
      <c r="A660" t="s">
        <v>477</v>
      </c>
      <c r="B660" t="s">
        <v>274</v>
      </c>
      <c r="C660" t="s">
        <v>31</v>
      </c>
      <c r="D660" t="s">
        <v>32</v>
      </c>
      <c r="E660" t="s">
        <v>25</v>
      </c>
      <c r="F660" s="7">
        <v>6247387</v>
      </c>
      <c r="G660" t="s">
        <v>1573</v>
      </c>
      <c r="H660" s="5">
        <v>106151</v>
      </c>
      <c r="I660" s="12">
        <v>45779</v>
      </c>
      <c r="J660" s="15">
        <v>30</v>
      </c>
      <c r="K660" s="15">
        <v>3</v>
      </c>
      <c r="L660" s="9">
        <v>0.12909999999999999</v>
      </c>
      <c r="M660" s="9">
        <v>5.1999999999999998E-2</v>
      </c>
      <c r="N660" s="15">
        <v>5</v>
      </c>
      <c r="O660" t="s">
        <v>27</v>
      </c>
      <c r="P660" t="s">
        <v>28</v>
      </c>
      <c r="Q660" s="24">
        <v>0.2</v>
      </c>
      <c r="R660" s="5">
        <f t="shared" si="60"/>
        <v>1126.3638986301369</v>
      </c>
      <c r="S660" s="5">
        <f t="shared" si="61"/>
        <v>75.614410958904102</v>
      </c>
      <c r="T660" s="5">
        <f t="shared" si="62"/>
        <v>1050.7494876712328</v>
      </c>
      <c r="U660" s="15">
        <f t="shared" si="63"/>
        <v>25</v>
      </c>
      <c r="V660" s="3">
        <f t="shared" si="64"/>
        <v>1636.8484200000003</v>
      </c>
      <c r="W660" s="3">
        <f t="shared" si="65"/>
        <v>659</v>
      </c>
    </row>
    <row r="661" spans="1:23" x14ac:dyDescent="0.2">
      <c r="A661" t="s">
        <v>434</v>
      </c>
      <c r="B661" t="s">
        <v>335</v>
      </c>
      <c r="C661" t="s">
        <v>31</v>
      </c>
      <c r="D661" t="s">
        <v>66</v>
      </c>
      <c r="E661" t="s">
        <v>49</v>
      </c>
      <c r="F661" s="7">
        <v>303851</v>
      </c>
      <c r="G661" t="s">
        <v>615</v>
      </c>
      <c r="H661" s="5">
        <v>28199</v>
      </c>
      <c r="I661" s="12">
        <v>45873</v>
      </c>
      <c r="J661" s="15">
        <v>60</v>
      </c>
      <c r="K661" s="15">
        <v>5</v>
      </c>
      <c r="L661" s="9">
        <v>0.17499999999999999</v>
      </c>
      <c r="M661" s="9">
        <v>5.8999999999999997E-2</v>
      </c>
      <c r="N661" s="15">
        <v>6</v>
      </c>
      <c r="O661" t="s">
        <v>27</v>
      </c>
      <c r="P661" t="s">
        <v>28</v>
      </c>
      <c r="Q661" s="24">
        <v>0.5</v>
      </c>
      <c r="R661" s="5">
        <f t="shared" si="60"/>
        <v>811.20410958904097</v>
      </c>
      <c r="S661" s="5">
        <f t="shared" si="61"/>
        <v>27.349167123287668</v>
      </c>
      <c r="T661" s="5">
        <f t="shared" si="62"/>
        <v>783.85494246575331</v>
      </c>
      <c r="U661" s="15">
        <f t="shared" si="63"/>
        <v>54</v>
      </c>
      <c r="V661" s="3">
        <f t="shared" si="64"/>
        <v>1635.5419999999999</v>
      </c>
      <c r="W661" s="3">
        <f t="shared" si="65"/>
        <v>660</v>
      </c>
    </row>
    <row r="662" spans="1:23" x14ac:dyDescent="0.2">
      <c r="A662" t="s">
        <v>300</v>
      </c>
      <c r="B662" t="s">
        <v>301</v>
      </c>
      <c r="C662" t="s">
        <v>77</v>
      </c>
      <c r="D662" t="s">
        <v>66</v>
      </c>
      <c r="E662" t="s">
        <v>25</v>
      </c>
      <c r="F662" s="7">
        <v>2362296</v>
      </c>
      <c r="G662" t="s">
        <v>816</v>
      </c>
      <c r="H662" s="5">
        <v>105384</v>
      </c>
      <c r="I662" s="12">
        <v>45667</v>
      </c>
      <c r="J662" s="15">
        <v>30</v>
      </c>
      <c r="K662" s="15">
        <v>3</v>
      </c>
      <c r="L662" s="9">
        <v>0.1077</v>
      </c>
      <c r="M662" s="9">
        <v>6.3399999999999998E-2</v>
      </c>
      <c r="N662" s="15">
        <v>7</v>
      </c>
      <c r="O662" t="s">
        <v>27</v>
      </c>
      <c r="P662" t="s">
        <v>28</v>
      </c>
      <c r="Q662" s="24">
        <v>0.35</v>
      </c>
      <c r="R662" s="5">
        <f t="shared" si="60"/>
        <v>932.8649424657533</v>
      </c>
      <c r="S662" s="5">
        <f t="shared" si="61"/>
        <v>128.13539506849315</v>
      </c>
      <c r="T662" s="5">
        <f t="shared" si="62"/>
        <v>804.72954739726015</v>
      </c>
      <c r="U662" s="15">
        <f t="shared" si="63"/>
        <v>23</v>
      </c>
      <c r="V662" s="3">
        <f t="shared" si="64"/>
        <v>1633.9789200000002</v>
      </c>
      <c r="W662" s="3">
        <f t="shared" si="65"/>
        <v>661</v>
      </c>
    </row>
    <row r="663" spans="1:23" x14ac:dyDescent="0.2">
      <c r="A663" t="s">
        <v>530</v>
      </c>
      <c r="B663" t="s">
        <v>531</v>
      </c>
      <c r="C663" t="s">
        <v>36</v>
      </c>
      <c r="D663" t="s">
        <v>37</v>
      </c>
      <c r="E663" t="s">
        <v>49</v>
      </c>
      <c r="F663" s="7">
        <v>701545</v>
      </c>
      <c r="G663" t="s">
        <v>1087</v>
      </c>
      <c r="H663" s="5">
        <v>27807</v>
      </c>
      <c r="I663" s="12">
        <v>45998</v>
      </c>
      <c r="J663" s="15">
        <v>45</v>
      </c>
      <c r="K663" s="15">
        <v>5</v>
      </c>
      <c r="L663" s="9">
        <v>0.17699999999999999</v>
      </c>
      <c r="M663" s="9">
        <v>5.9700000000000003E-2</v>
      </c>
      <c r="N663" s="15">
        <v>7</v>
      </c>
      <c r="O663" t="s">
        <v>27</v>
      </c>
      <c r="P663" t="s">
        <v>28</v>
      </c>
      <c r="Q663" s="24">
        <v>0.5</v>
      </c>
      <c r="R663" s="5">
        <f t="shared" si="60"/>
        <v>606.80206849315061</v>
      </c>
      <c r="S663" s="5">
        <f t="shared" si="61"/>
        <v>31.837110410958907</v>
      </c>
      <c r="T663" s="5">
        <f t="shared" si="62"/>
        <v>574.96495808219174</v>
      </c>
      <c r="U663" s="15">
        <f t="shared" si="63"/>
        <v>38</v>
      </c>
      <c r="V663" s="3">
        <f t="shared" si="64"/>
        <v>1630.8805499999999</v>
      </c>
      <c r="W663" s="3">
        <f t="shared" si="65"/>
        <v>662</v>
      </c>
    </row>
    <row r="664" spans="1:23" x14ac:dyDescent="0.2">
      <c r="A664" t="s">
        <v>1057</v>
      </c>
      <c r="B664" t="s">
        <v>1058</v>
      </c>
      <c r="C664" t="s">
        <v>23</v>
      </c>
      <c r="D664" t="s">
        <v>37</v>
      </c>
      <c r="E664" t="s">
        <v>56</v>
      </c>
      <c r="F664" s="7">
        <v>13389097</v>
      </c>
      <c r="G664" t="s">
        <v>1347</v>
      </c>
      <c r="H664" s="5">
        <v>74939</v>
      </c>
      <c r="I664" s="12">
        <v>45753</v>
      </c>
      <c r="J664" s="15">
        <v>45</v>
      </c>
      <c r="K664" s="15">
        <v>5</v>
      </c>
      <c r="L664" s="9">
        <v>7.3800000000000004E-2</v>
      </c>
      <c r="M664" s="9">
        <v>4.6699999999999998E-2</v>
      </c>
      <c r="N664" s="15">
        <v>8</v>
      </c>
      <c r="O664" t="s">
        <v>28</v>
      </c>
      <c r="P664" t="s">
        <v>28</v>
      </c>
      <c r="Q664" s="24">
        <v>0.8</v>
      </c>
      <c r="R664" s="5">
        <f t="shared" si="60"/>
        <v>681.84224383561639</v>
      </c>
      <c r="S664" s="5">
        <f t="shared" si="61"/>
        <v>76.704686027397258</v>
      </c>
      <c r="T664" s="5">
        <f t="shared" si="62"/>
        <v>605.13755780821907</v>
      </c>
      <c r="U664" s="15">
        <f t="shared" si="63"/>
        <v>37</v>
      </c>
      <c r="V664" s="3">
        <f t="shared" si="64"/>
        <v>1624.6775200000004</v>
      </c>
      <c r="W664" s="3">
        <f t="shared" si="65"/>
        <v>663</v>
      </c>
    </row>
    <row r="665" spans="1:23" x14ac:dyDescent="0.2">
      <c r="A665" t="s">
        <v>58</v>
      </c>
      <c r="B665" t="s">
        <v>59</v>
      </c>
      <c r="C665" t="s">
        <v>23</v>
      </c>
      <c r="D665" t="s">
        <v>24</v>
      </c>
      <c r="E665" t="s">
        <v>25</v>
      </c>
      <c r="F665" s="7">
        <v>4269919</v>
      </c>
      <c r="G665" t="s">
        <v>1545</v>
      </c>
      <c r="H665" s="5">
        <v>42882</v>
      </c>
      <c r="I665" s="12">
        <v>45964</v>
      </c>
      <c r="J665" s="15">
        <v>60</v>
      </c>
      <c r="K665" s="15">
        <v>7</v>
      </c>
      <c r="L665" s="9">
        <v>0.1212</v>
      </c>
      <c r="M665" s="9">
        <v>6.3100000000000003E-2</v>
      </c>
      <c r="N665" s="15">
        <v>5</v>
      </c>
      <c r="O665" t="s">
        <v>27</v>
      </c>
      <c r="P665" t="s">
        <v>28</v>
      </c>
      <c r="Q665" s="24">
        <v>0.65</v>
      </c>
      <c r="R665" s="5">
        <f t="shared" si="60"/>
        <v>854.35042191780815</v>
      </c>
      <c r="S665" s="5">
        <f t="shared" si="61"/>
        <v>37.066495890410962</v>
      </c>
      <c r="T665" s="5">
        <f t="shared" si="62"/>
        <v>817.28392602739723</v>
      </c>
      <c r="U665" s="15">
        <f t="shared" si="63"/>
        <v>55</v>
      </c>
      <c r="V665" s="3">
        <f t="shared" si="64"/>
        <v>1619.4387300000001</v>
      </c>
      <c r="W665" s="3">
        <f t="shared" si="65"/>
        <v>664</v>
      </c>
    </row>
    <row r="666" spans="1:23" x14ac:dyDescent="0.2">
      <c r="A666" t="s">
        <v>450</v>
      </c>
      <c r="B666" t="s">
        <v>76</v>
      </c>
      <c r="C666" t="s">
        <v>41</v>
      </c>
      <c r="D666" t="s">
        <v>32</v>
      </c>
      <c r="E666" t="s">
        <v>56</v>
      </c>
      <c r="F666" s="7">
        <v>13637712</v>
      </c>
      <c r="G666" t="s">
        <v>1073</v>
      </c>
      <c r="H666" s="5">
        <v>81523</v>
      </c>
      <c r="I666" s="12">
        <v>46040</v>
      </c>
      <c r="J666" s="15">
        <v>60</v>
      </c>
      <c r="K666" s="15">
        <v>4</v>
      </c>
      <c r="L666" s="9">
        <v>8.6999999999999994E-2</v>
      </c>
      <c r="M666" s="9">
        <v>4.7300000000000002E-2</v>
      </c>
      <c r="N666" s="15">
        <v>5</v>
      </c>
      <c r="O666" t="s">
        <v>27</v>
      </c>
      <c r="P666" t="s">
        <v>28</v>
      </c>
      <c r="Q666" s="24">
        <v>0.5</v>
      </c>
      <c r="R666" s="5">
        <f t="shared" si="60"/>
        <v>1165.8905753424656</v>
      </c>
      <c r="S666" s="5">
        <f t="shared" si="61"/>
        <v>52.822436986301369</v>
      </c>
      <c r="T666" s="5">
        <f t="shared" si="62"/>
        <v>1113.0681383561641</v>
      </c>
      <c r="U666" s="15">
        <f t="shared" si="63"/>
        <v>55</v>
      </c>
      <c r="V666" s="3">
        <f t="shared" si="64"/>
        <v>1618.2315499999997</v>
      </c>
      <c r="W666" s="3">
        <f t="shared" si="65"/>
        <v>665</v>
      </c>
    </row>
    <row r="667" spans="1:23" x14ac:dyDescent="0.2">
      <c r="A667" t="s">
        <v>297</v>
      </c>
      <c r="B667" t="s">
        <v>298</v>
      </c>
      <c r="C667" t="s">
        <v>36</v>
      </c>
      <c r="D667" t="s">
        <v>24</v>
      </c>
      <c r="E667" t="s">
        <v>49</v>
      </c>
      <c r="F667" s="7">
        <v>1249897</v>
      </c>
      <c r="G667" t="s">
        <v>533</v>
      </c>
      <c r="H667" s="5">
        <v>92492</v>
      </c>
      <c r="I667" s="12">
        <v>45702</v>
      </c>
      <c r="J667" s="15">
        <v>60</v>
      </c>
      <c r="K667" s="15">
        <v>3</v>
      </c>
      <c r="L667" s="9">
        <v>0.1452</v>
      </c>
      <c r="M667" s="9">
        <v>5.79E-2</v>
      </c>
      <c r="N667" s="15">
        <v>8</v>
      </c>
      <c r="O667" t="s">
        <v>27</v>
      </c>
      <c r="P667" t="s">
        <v>28</v>
      </c>
      <c r="Q667" s="24">
        <v>0.2</v>
      </c>
      <c r="R667" s="5">
        <f t="shared" si="60"/>
        <v>2207.6446684931502</v>
      </c>
      <c r="S667" s="5">
        <f t="shared" si="61"/>
        <v>117.37614904109589</v>
      </c>
      <c r="T667" s="5">
        <f t="shared" si="62"/>
        <v>2090.2685194520545</v>
      </c>
      <c r="U667" s="15">
        <f t="shared" si="63"/>
        <v>52</v>
      </c>
      <c r="V667" s="3">
        <f t="shared" si="64"/>
        <v>1614.91032</v>
      </c>
      <c r="W667" s="3">
        <f t="shared" si="65"/>
        <v>666</v>
      </c>
    </row>
    <row r="668" spans="1:23" x14ac:dyDescent="0.2">
      <c r="A668" t="s">
        <v>75</v>
      </c>
      <c r="B668" t="s">
        <v>76</v>
      </c>
      <c r="C668" t="s">
        <v>77</v>
      </c>
      <c r="D668" t="s">
        <v>37</v>
      </c>
      <c r="E668" t="s">
        <v>49</v>
      </c>
      <c r="F668" s="7">
        <v>1309806</v>
      </c>
      <c r="G668" t="s">
        <v>1400</v>
      </c>
      <c r="H668" s="5">
        <v>52112</v>
      </c>
      <c r="I668" s="12">
        <v>46038</v>
      </c>
      <c r="J668" s="15">
        <v>60</v>
      </c>
      <c r="K668" s="15">
        <v>5</v>
      </c>
      <c r="L668" s="9">
        <v>0.15210000000000001</v>
      </c>
      <c r="M668" s="9">
        <v>6.3600000000000004E-2</v>
      </c>
      <c r="N668" s="15">
        <v>7</v>
      </c>
      <c r="O668" t="s">
        <v>27</v>
      </c>
      <c r="P668" t="s">
        <v>28</v>
      </c>
      <c r="Q668" s="24">
        <v>0.35</v>
      </c>
      <c r="R668" s="5">
        <f t="shared" si="60"/>
        <v>1302.9427726027398</v>
      </c>
      <c r="S668" s="5">
        <f t="shared" si="61"/>
        <v>63.562362739726034</v>
      </c>
      <c r="T668" s="5">
        <f t="shared" si="62"/>
        <v>1239.3804098630137</v>
      </c>
      <c r="U668" s="15">
        <f t="shared" si="63"/>
        <v>53</v>
      </c>
      <c r="V668" s="3">
        <f t="shared" si="64"/>
        <v>1614.1692</v>
      </c>
      <c r="W668" s="3">
        <f t="shared" si="65"/>
        <v>667</v>
      </c>
    </row>
    <row r="669" spans="1:23" x14ac:dyDescent="0.2">
      <c r="A669" t="s">
        <v>271</v>
      </c>
      <c r="B669" t="s">
        <v>128</v>
      </c>
      <c r="C669" t="s">
        <v>36</v>
      </c>
      <c r="D669" t="s">
        <v>37</v>
      </c>
      <c r="E669" t="s">
        <v>49</v>
      </c>
      <c r="F669" s="7">
        <v>879139</v>
      </c>
      <c r="G669" t="s">
        <v>323</v>
      </c>
      <c r="H669" s="5">
        <v>55292</v>
      </c>
      <c r="I669" s="12">
        <v>45866</v>
      </c>
      <c r="J669" s="15">
        <v>60</v>
      </c>
      <c r="K669" s="15">
        <v>2</v>
      </c>
      <c r="L669" s="9">
        <v>0.14199999999999999</v>
      </c>
      <c r="M669" s="9">
        <v>5.8599999999999999E-2</v>
      </c>
      <c r="N669" s="15">
        <v>6</v>
      </c>
      <c r="O669" t="s">
        <v>28</v>
      </c>
      <c r="P669" t="s">
        <v>28</v>
      </c>
      <c r="Q669" s="24">
        <v>0.35</v>
      </c>
      <c r="R669" s="5">
        <f t="shared" si="60"/>
        <v>1290.6516164383559</v>
      </c>
      <c r="S669" s="5">
        <f t="shared" si="61"/>
        <v>53.262101917808209</v>
      </c>
      <c r="T669" s="5">
        <f t="shared" si="62"/>
        <v>1237.3895145205477</v>
      </c>
      <c r="U669" s="15">
        <f t="shared" si="63"/>
        <v>54</v>
      </c>
      <c r="V669" s="3">
        <f t="shared" si="64"/>
        <v>1613.9734799999997</v>
      </c>
      <c r="W669" s="3">
        <f t="shared" si="65"/>
        <v>668</v>
      </c>
    </row>
    <row r="670" spans="1:23" x14ac:dyDescent="0.2">
      <c r="A670" t="s">
        <v>593</v>
      </c>
      <c r="B670" t="s">
        <v>594</v>
      </c>
      <c r="C670" t="s">
        <v>36</v>
      </c>
      <c r="D670" t="s">
        <v>66</v>
      </c>
      <c r="E670" t="s">
        <v>25</v>
      </c>
      <c r="F670" s="7">
        <v>3384926</v>
      </c>
      <c r="G670" t="s">
        <v>857</v>
      </c>
      <c r="H670" s="5">
        <v>85454</v>
      </c>
      <c r="I670" s="12">
        <v>45815</v>
      </c>
      <c r="J670" s="15">
        <v>60</v>
      </c>
      <c r="K670" s="15">
        <v>3</v>
      </c>
      <c r="L670" s="9">
        <v>0.1396</v>
      </c>
      <c r="M670" s="9">
        <v>4.5199999999999997E-2</v>
      </c>
      <c r="N670" s="15">
        <v>6</v>
      </c>
      <c r="O670" t="s">
        <v>27</v>
      </c>
      <c r="P670" t="s">
        <v>28</v>
      </c>
      <c r="Q670" s="24">
        <v>0.2</v>
      </c>
      <c r="R670" s="5">
        <f t="shared" si="60"/>
        <v>1960.9937095890409</v>
      </c>
      <c r="S670" s="5">
        <f t="shared" si="61"/>
        <v>63.493492602739714</v>
      </c>
      <c r="T670" s="5">
        <f t="shared" si="62"/>
        <v>1897.5002169863012</v>
      </c>
      <c r="U670" s="15">
        <f t="shared" si="63"/>
        <v>54</v>
      </c>
      <c r="V670" s="3">
        <f t="shared" si="64"/>
        <v>1613.3715200000004</v>
      </c>
      <c r="W670" s="3">
        <f t="shared" si="65"/>
        <v>669</v>
      </c>
    </row>
    <row r="671" spans="1:23" x14ac:dyDescent="0.2">
      <c r="A671" t="s">
        <v>145</v>
      </c>
      <c r="B671" t="s">
        <v>146</v>
      </c>
      <c r="C671" t="s">
        <v>23</v>
      </c>
      <c r="D671" t="s">
        <v>48</v>
      </c>
      <c r="E671" t="s">
        <v>25</v>
      </c>
      <c r="F671" s="7">
        <v>5790128</v>
      </c>
      <c r="G671" t="s">
        <v>1374</v>
      </c>
      <c r="H671" s="5">
        <v>96877</v>
      </c>
      <c r="I671" s="12">
        <v>45693</v>
      </c>
      <c r="J671" s="15">
        <v>45</v>
      </c>
      <c r="K671" s="15">
        <v>4</v>
      </c>
      <c r="L671" s="9">
        <v>9.5799999999999996E-2</v>
      </c>
      <c r="M671" s="9">
        <v>4.8300000000000003E-2</v>
      </c>
      <c r="N671" s="15">
        <v>6</v>
      </c>
      <c r="O671" t="s">
        <v>27</v>
      </c>
      <c r="P671" t="s">
        <v>28</v>
      </c>
      <c r="Q671" s="24">
        <v>0.35</v>
      </c>
      <c r="R671" s="5">
        <f t="shared" si="60"/>
        <v>1144.2102657534247</v>
      </c>
      <c r="S671" s="5">
        <f t="shared" si="61"/>
        <v>76.91768383561643</v>
      </c>
      <c r="T671" s="5">
        <f t="shared" si="62"/>
        <v>1067.2925819178083</v>
      </c>
      <c r="U671" s="15">
        <f t="shared" si="63"/>
        <v>39</v>
      </c>
      <c r="V671" s="3">
        <f t="shared" si="64"/>
        <v>1610.5801249999997</v>
      </c>
      <c r="W671" s="3">
        <f t="shared" si="65"/>
        <v>670</v>
      </c>
    </row>
    <row r="672" spans="1:23" x14ac:dyDescent="0.2">
      <c r="A672" t="s">
        <v>139</v>
      </c>
      <c r="B672" t="s">
        <v>140</v>
      </c>
      <c r="C672" t="s">
        <v>77</v>
      </c>
      <c r="D672" t="s">
        <v>24</v>
      </c>
      <c r="E672" t="s">
        <v>56</v>
      </c>
      <c r="F672" s="7">
        <v>22396514</v>
      </c>
      <c r="G672" t="s">
        <v>296</v>
      </c>
      <c r="H672" s="5">
        <v>71898</v>
      </c>
      <c r="I672" s="12">
        <v>46036</v>
      </c>
      <c r="J672" s="15">
        <v>45</v>
      </c>
      <c r="K672" s="15">
        <v>7</v>
      </c>
      <c r="L672" s="9">
        <v>7.5700000000000003E-2</v>
      </c>
      <c r="M672" s="9">
        <v>4.7800000000000002E-2</v>
      </c>
      <c r="N672" s="15">
        <v>10</v>
      </c>
      <c r="O672" t="s">
        <v>27</v>
      </c>
      <c r="P672" t="s">
        <v>28</v>
      </c>
      <c r="Q672" s="24">
        <v>0.8</v>
      </c>
      <c r="R672" s="5">
        <f t="shared" si="60"/>
        <v>671.01516986301374</v>
      </c>
      <c r="S672" s="5">
        <f t="shared" si="61"/>
        <v>94.156832876712329</v>
      </c>
      <c r="T672" s="5">
        <f t="shared" si="62"/>
        <v>576.85833698630142</v>
      </c>
      <c r="U672" s="15">
        <f t="shared" si="63"/>
        <v>35</v>
      </c>
      <c r="V672" s="3">
        <f t="shared" si="64"/>
        <v>1604.7633600000001</v>
      </c>
      <c r="W672" s="3">
        <f t="shared" si="65"/>
        <v>671</v>
      </c>
    </row>
    <row r="673" spans="1:23" x14ac:dyDescent="0.2">
      <c r="A673" t="s">
        <v>293</v>
      </c>
      <c r="B673" t="s">
        <v>231</v>
      </c>
      <c r="C673" t="s">
        <v>36</v>
      </c>
      <c r="D673" t="s">
        <v>32</v>
      </c>
      <c r="E673" t="s">
        <v>25</v>
      </c>
      <c r="F673" s="7">
        <v>3723173</v>
      </c>
      <c r="G673" t="s">
        <v>1296</v>
      </c>
      <c r="H673" s="5">
        <v>105947</v>
      </c>
      <c r="I673" s="12">
        <v>45907</v>
      </c>
      <c r="J673" s="15">
        <v>45</v>
      </c>
      <c r="K673" s="15">
        <v>10</v>
      </c>
      <c r="L673" s="9">
        <v>0.1069</v>
      </c>
      <c r="M673" s="9">
        <v>6.3700000000000007E-2</v>
      </c>
      <c r="N673" s="15">
        <v>6</v>
      </c>
      <c r="O673" t="s">
        <v>27</v>
      </c>
      <c r="P673" t="s">
        <v>28</v>
      </c>
      <c r="Q673" s="24">
        <v>0.35</v>
      </c>
      <c r="R673" s="5">
        <f t="shared" si="60"/>
        <v>1396.323406849315</v>
      </c>
      <c r="S673" s="5">
        <f t="shared" si="61"/>
        <v>110.9395709589041</v>
      </c>
      <c r="T673" s="5">
        <f t="shared" si="62"/>
        <v>1285.3838358904109</v>
      </c>
      <c r="U673" s="15">
        <f t="shared" si="63"/>
        <v>39</v>
      </c>
      <c r="V673" s="3">
        <f t="shared" si="64"/>
        <v>1601.9186399999994</v>
      </c>
      <c r="W673" s="3">
        <f t="shared" si="65"/>
        <v>672</v>
      </c>
    </row>
    <row r="674" spans="1:23" x14ac:dyDescent="0.2">
      <c r="A674" t="s">
        <v>197</v>
      </c>
      <c r="B674" t="s">
        <v>198</v>
      </c>
      <c r="C674" t="s">
        <v>23</v>
      </c>
      <c r="D674" t="s">
        <v>48</v>
      </c>
      <c r="E674" t="s">
        <v>56</v>
      </c>
      <c r="F674" s="7">
        <v>13513506</v>
      </c>
      <c r="G674" t="s">
        <v>1582</v>
      </c>
      <c r="H674" s="5">
        <v>108049</v>
      </c>
      <c r="I674" s="12">
        <v>45992</v>
      </c>
      <c r="J674" s="15">
        <v>90</v>
      </c>
      <c r="K674" s="15">
        <v>5</v>
      </c>
      <c r="L674" s="9">
        <v>8.1799999999999998E-2</v>
      </c>
      <c r="M674" s="9">
        <v>5.2200000000000003E-2</v>
      </c>
      <c r="N674" s="15">
        <v>7</v>
      </c>
      <c r="O674" t="s">
        <v>27</v>
      </c>
      <c r="P674" t="s">
        <v>28</v>
      </c>
      <c r="Q674" s="24">
        <v>0.5</v>
      </c>
      <c r="R674" s="5">
        <f t="shared" si="60"/>
        <v>2179.333528767123</v>
      </c>
      <c r="S674" s="5">
        <f t="shared" si="61"/>
        <v>108.1674098630137</v>
      </c>
      <c r="T674" s="5">
        <f t="shared" si="62"/>
        <v>2071.1661189041092</v>
      </c>
      <c r="U674" s="15">
        <f t="shared" si="63"/>
        <v>83</v>
      </c>
      <c r="V674" s="3">
        <f t="shared" si="64"/>
        <v>1599.1251999999997</v>
      </c>
      <c r="W674" s="3">
        <f t="shared" si="65"/>
        <v>673</v>
      </c>
    </row>
    <row r="675" spans="1:23" x14ac:dyDescent="0.2">
      <c r="A675" t="s">
        <v>75</v>
      </c>
      <c r="B675" t="s">
        <v>76</v>
      </c>
      <c r="C675" t="s">
        <v>77</v>
      </c>
      <c r="D675" t="s">
        <v>37</v>
      </c>
      <c r="E675" t="s">
        <v>49</v>
      </c>
      <c r="F675" s="7">
        <v>1309806</v>
      </c>
      <c r="G675" t="s">
        <v>484</v>
      </c>
      <c r="H675" s="5">
        <v>30327</v>
      </c>
      <c r="I675" s="12">
        <v>46056</v>
      </c>
      <c r="J675" s="15">
        <v>45</v>
      </c>
      <c r="K675" s="15">
        <v>10</v>
      </c>
      <c r="L675" s="9">
        <v>0.15210000000000001</v>
      </c>
      <c r="M675" s="9">
        <v>4.6699999999999998E-2</v>
      </c>
      <c r="N675" s="15">
        <v>10</v>
      </c>
      <c r="O675" t="s">
        <v>27</v>
      </c>
      <c r="P675" t="s">
        <v>28</v>
      </c>
      <c r="Q675" s="24">
        <v>0.5</v>
      </c>
      <c r="R675" s="5">
        <f t="shared" si="60"/>
        <v>568.69356575342465</v>
      </c>
      <c r="S675" s="5">
        <f t="shared" si="61"/>
        <v>38.80194246575342</v>
      </c>
      <c r="T675" s="5">
        <f t="shared" si="62"/>
        <v>529.89162328767122</v>
      </c>
      <c r="U675" s="15">
        <f t="shared" si="63"/>
        <v>35</v>
      </c>
      <c r="V675" s="3">
        <f t="shared" si="64"/>
        <v>1598.2329000000004</v>
      </c>
      <c r="W675" s="3">
        <f t="shared" si="65"/>
        <v>674</v>
      </c>
    </row>
    <row r="676" spans="1:23" x14ac:dyDescent="0.2">
      <c r="A676" t="s">
        <v>186</v>
      </c>
      <c r="B676" t="s">
        <v>187</v>
      </c>
      <c r="C676" t="s">
        <v>41</v>
      </c>
      <c r="D676" t="s">
        <v>32</v>
      </c>
      <c r="E676" t="s">
        <v>25</v>
      </c>
      <c r="F676" s="7">
        <v>3649528</v>
      </c>
      <c r="G676" t="s">
        <v>1397</v>
      </c>
      <c r="H676" s="5">
        <v>35910</v>
      </c>
      <c r="I676" s="12">
        <v>46058</v>
      </c>
      <c r="J676" s="15">
        <v>60</v>
      </c>
      <c r="K676" s="15">
        <v>3</v>
      </c>
      <c r="L676" s="9">
        <v>0.1283</v>
      </c>
      <c r="M676" s="9">
        <v>0.06</v>
      </c>
      <c r="N676" s="15">
        <v>7</v>
      </c>
      <c r="O676" t="s">
        <v>27</v>
      </c>
      <c r="P676" t="s">
        <v>28</v>
      </c>
      <c r="Q676" s="24">
        <v>0.65</v>
      </c>
      <c r="R676" s="5">
        <f t="shared" si="60"/>
        <v>757.35665753424644</v>
      </c>
      <c r="S676" s="5">
        <f t="shared" si="61"/>
        <v>41.321095890410959</v>
      </c>
      <c r="T676" s="5">
        <f t="shared" si="62"/>
        <v>716.03556164383554</v>
      </c>
      <c r="U676" s="15">
        <f t="shared" si="63"/>
        <v>53</v>
      </c>
      <c r="V676" s="3">
        <f t="shared" si="64"/>
        <v>1594.2244500000002</v>
      </c>
      <c r="W676" s="3">
        <f t="shared" si="65"/>
        <v>675</v>
      </c>
    </row>
    <row r="677" spans="1:23" x14ac:dyDescent="0.2">
      <c r="A677" t="s">
        <v>179</v>
      </c>
      <c r="B677" t="s">
        <v>180</v>
      </c>
      <c r="C677" t="s">
        <v>36</v>
      </c>
      <c r="D677" t="s">
        <v>48</v>
      </c>
      <c r="E677" t="s">
        <v>25</v>
      </c>
      <c r="F677" s="7">
        <v>6074867</v>
      </c>
      <c r="G677" t="s">
        <v>1398</v>
      </c>
      <c r="H677" s="5">
        <v>96521</v>
      </c>
      <c r="I677" s="12">
        <v>45915</v>
      </c>
      <c r="J677" s="15">
        <v>60</v>
      </c>
      <c r="K677" s="15">
        <v>4</v>
      </c>
      <c r="L677" s="9">
        <v>9.4299999999999995E-2</v>
      </c>
      <c r="M677" s="9">
        <v>4.7199999999999999E-2</v>
      </c>
      <c r="N677" s="15">
        <v>5</v>
      </c>
      <c r="O677" t="s">
        <v>27</v>
      </c>
      <c r="P677" t="s">
        <v>28</v>
      </c>
      <c r="Q677" s="24">
        <v>0.35</v>
      </c>
      <c r="R677" s="5">
        <f t="shared" si="60"/>
        <v>1496.2077205479452</v>
      </c>
      <c r="S677" s="5">
        <f t="shared" si="61"/>
        <v>62.408098630136976</v>
      </c>
      <c r="T677" s="5">
        <f t="shared" si="62"/>
        <v>1433.7996219178083</v>
      </c>
      <c r="U677" s="15">
        <f t="shared" si="63"/>
        <v>55</v>
      </c>
      <c r="V677" s="3">
        <f t="shared" si="64"/>
        <v>1591.1486849999997</v>
      </c>
      <c r="W677" s="3">
        <f t="shared" si="65"/>
        <v>676</v>
      </c>
    </row>
    <row r="678" spans="1:23" x14ac:dyDescent="0.2">
      <c r="A678" t="s">
        <v>722</v>
      </c>
      <c r="B678" t="s">
        <v>723</v>
      </c>
      <c r="C678" t="s">
        <v>77</v>
      </c>
      <c r="D678" t="s">
        <v>24</v>
      </c>
      <c r="E678" t="s">
        <v>49</v>
      </c>
      <c r="F678" s="7">
        <v>1097913</v>
      </c>
      <c r="G678" t="s">
        <v>1009</v>
      </c>
      <c r="H678" s="5">
        <v>40085</v>
      </c>
      <c r="I678" s="12">
        <v>45911</v>
      </c>
      <c r="J678" s="15">
        <v>60</v>
      </c>
      <c r="K678" s="15">
        <v>5</v>
      </c>
      <c r="L678" s="9">
        <v>0.16070000000000001</v>
      </c>
      <c r="M678" s="9">
        <v>4.7300000000000002E-2</v>
      </c>
      <c r="N678" s="15">
        <v>7</v>
      </c>
      <c r="O678" t="s">
        <v>28</v>
      </c>
      <c r="P678" t="s">
        <v>28</v>
      </c>
      <c r="Q678" s="24">
        <v>0.35</v>
      </c>
      <c r="R678" s="5">
        <f t="shared" si="60"/>
        <v>1058.9029315068494</v>
      </c>
      <c r="S678" s="5">
        <f t="shared" si="61"/>
        <v>36.362036986301376</v>
      </c>
      <c r="T678" s="5">
        <f t="shared" si="62"/>
        <v>1022.540894520548</v>
      </c>
      <c r="U678" s="15">
        <f t="shared" si="63"/>
        <v>53</v>
      </c>
      <c r="V678" s="3">
        <f t="shared" si="64"/>
        <v>1590.9736499999999</v>
      </c>
      <c r="W678" s="3">
        <f t="shared" si="65"/>
        <v>677</v>
      </c>
    </row>
    <row r="679" spans="1:23" x14ac:dyDescent="0.2">
      <c r="A679" t="s">
        <v>34</v>
      </c>
      <c r="B679" t="s">
        <v>35</v>
      </c>
      <c r="C679" t="s">
        <v>36</v>
      </c>
      <c r="D679" t="s">
        <v>37</v>
      </c>
      <c r="E679" t="s">
        <v>25</v>
      </c>
      <c r="F679" s="7">
        <v>3714458</v>
      </c>
      <c r="G679" t="s">
        <v>1752</v>
      </c>
      <c r="H679" s="5">
        <v>47940</v>
      </c>
      <c r="I679" s="12">
        <v>45876</v>
      </c>
      <c r="J679" s="15">
        <v>30</v>
      </c>
      <c r="K679" s="15">
        <v>10</v>
      </c>
      <c r="L679" s="9">
        <v>0.1153</v>
      </c>
      <c r="M679" s="9">
        <v>4.9000000000000002E-2</v>
      </c>
      <c r="N679" s="15">
        <v>7</v>
      </c>
      <c r="O679" t="s">
        <v>27</v>
      </c>
      <c r="P679" t="s">
        <v>28</v>
      </c>
      <c r="Q679" s="24">
        <v>0.5</v>
      </c>
      <c r="R679" s="5">
        <f t="shared" si="60"/>
        <v>454.31358904109584</v>
      </c>
      <c r="S679" s="5">
        <f t="shared" si="61"/>
        <v>45.05046575342466</v>
      </c>
      <c r="T679" s="5">
        <f t="shared" si="62"/>
        <v>409.26312328767119</v>
      </c>
      <c r="U679" s="15">
        <f t="shared" si="63"/>
        <v>23</v>
      </c>
      <c r="V679" s="3">
        <f t="shared" si="64"/>
        <v>1589.211</v>
      </c>
      <c r="W679" s="3">
        <f t="shared" si="65"/>
        <v>678</v>
      </c>
    </row>
    <row r="680" spans="1:23" x14ac:dyDescent="0.2">
      <c r="A680" t="s">
        <v>549</v>
      </c>
      <c r="B680" t="s">
        <v>161</v>
      </c>
      <c r="C680" t="s">
        <v>77</v>
      </c>
      <c r="D680" t="s">
        <v>48</v>
      </c>
      <c r="E680" t="s">
        <v>56</v>
      </c>
      <c r="F680" s="7">
        <v>15837870</v>
      </c>
      <c r="G680" t="s">
        <v>1572</v>
      </c>
      <c r="H680" s="5">
        <v>53593</v>
      </c>
      <c r="I680" s="12">
        <v>45934</v>
      </c>
      <c r="J680" s="15">
        <v>30</v>
      </c>
      <c r="K680" s="15">
        <v>10</v>
      </c>
      <c r="L680" s="9">
        <v>0.1089</v>
      </c>
      <c r="M680" s="9">
        <v>4.9599999999999998E-2</v>
      </c>
      <c r="N680" s="15">
        <v>7</v>
      </c>
      <c r="O680" t="s">
        <v>27</v>
      </c>
      <c r="P680" t="s">
        <v>28</v>
      </c>
      <c r="Q680" s="24">
        <v>0.5</v>
      </c>
      <c r="R680" s="5">
        <f t="shared" si="60"/>
        <v>479.6940575342465</v>
      </c>
      <c r="S680" s="5">
        <f t="shared" si="61"/>
        <v>50.979423561643834</v>
      </c>
      <c r="T680" s="5">
        <f t="shared" si="62"/>
        <v>428.71463397260266</v>
      </c>
      <c r="U680" s="15">
        <f t="shared" si="63"/>
        <v>23</v>
      </c>
      <c r="V680" s="3">
        <f t="shared" si="64"/>
        <v>1589.0324499999999</v>
      </c>
      <c r="W680" s="3">
        <f t="shared" si="65"/>
        <v>679</v>
      </c>
    </row>
    <row r="681" spans="1:23" x14ac:dyDescent="0.2">
      <c r="A681" t="s">
        <v>68</v>
      </c>
      <c r="B681" t="s">
        <v>69</v>
      </c>
      <c r="C681" t="s">
        <v>36</v>
      </c>
      <c r="D681" t="s">
        <v>37</v>
      </c>
      <c r="E681" t="s">
        <v>25</v>
      </c>
      <c r="F681" s="7">
        <v>3469396</v>
      </c>
      <c r="G681" t="s">
        <v>1394</v>
      </c>
      <c r="H681" s="5">
        <v>39621</v>
      </c>
      <c r="I681" s="12">
        <v>46033</v>
      </c>
      <c r="J681" s="15">
        <v>60</v>
      </c>
      <c r="K681" s="15">
        <v>2</v>
      </c>
      <c r="L681" s="9">
        <v>0.1216</v>
      </c>
      <c r="M681" s="9">
        <v>5.9900000000000002E-2</v>
      </c>
      <c r="N681" s="15">
        <v>5</v>
      </c>
      <c r="O681" t="s">
        <v>27</v>
      </c>
      <c r="P681" t="s">
        <v>28</v>
      </c>
      <c r="Q681" s="24">
        <v>0.65</v>
      </c>
      <c r="R681" s="5">
        <f t="shared" si="60"/>
        <v>791.9857972602739</v>
      </c>
      <c r="S681" s="5">
        <f t="shared" si="61"/>
        <v>32.510930136986303</v>
      </c>
      <c r="T681" s="5">
        <f t="shared" si="62"/>
        <v>759.47486712328759</v>
      </c>
      <c r="U681" s="15">
        <f t="shared" si="63"/>
        <v>55</v>
      </c>
      <c r="V681" s="3">
        <f t="shared" si="64"/>
        <v>1589.0002050000001</v>
      </c>
      <c r="W681" s="3">
        <f t="shared" si="65"/>
        <v>680</v>
      </c>
    </row>
    <row r="682" spans="1:23" x14ac:dyDescent="0.2">
      <c r="A682" t="s">
        <v>127</v>
      </c>
      <c r="B682" t="s">
        <v>128</v>
      </c>
      <c r="C682" t="s">
        <v>31</v>
      </c>
      <c r="D682" t="s">
        <v>66</v>
      </c>
      <c r="E682" t="s">
        <v>49</v>
      </c>
      <c r="F682" s="7">
        <v>261628</v>
      </c>
      <c r="G682" t="s">
        <v>344</v>
      </c>
      <c r="H682" s="5">
        <v>69912</v>
      </c>
      <c r="I682" s="12">
        <v>45890</v>
      </c>
      <c r="J682" s="15">
        <v>45</v>
      </c>
      <c r="K682" s="15">
        <v>3</v>
      </c>
      <c r="L682" s="9">
        <v>0.17249999999999999</v>
      </c>
      <c r="M682" s="9">
        <v>5.9299999999999999E-2</v>
      </c>
      <c r="N682" s="15">
        <v>8</v>
      </c>
      <c r="O682" t="s">
        <v>28</v>
      </c>
      <c r="P682" t="s">
        <v>28</v>
      </c>
      <c r="Q682" s="24">
        <v>0.2</v>
      </c>
      <c r="R682" s="5">
        <f t="shared" si="60"/>
        <v>1486.8271232876712</v>
      </c>
      <c r="S682" s="5">
        <f t="shared" si="61"/>
        <v>90.866446027397274</v>
      </c>
      <c r="T682" s="5">
        <f t="shared" si="62"/>
        <v>1395.9606772602738</v>
      </c>
      <c r="U682" s="15">
        <f t="shared" si="63"/>
        <v>37</v>
      </c>
      <c r="V682" s="3">
        <f t="shared" si="64"/>
        <v>1582.8076800000001</v>
      </c>
      <c r="W682" s="3">
        <f t="shared" si="65"/>
        <v>681</v>
      </c>
    </row>
    <row r="683" spans="1:23" x14ac:dyDescent="0.2">
      <c r="A683" t="s">
        <v>396</v>
      </c>
      <c r="B683" t="s">
        <v>397</v>
      </c>
      <c r="C683" t="s">
        <v>77</v>
      </c>
      <c r="D683" t="s">
        <v>66</v>
      </c>
      <c r="E683" t="s">
        <v>49</v>
      </c>
      <c r="F683" s="7">
        <v>1043844</v>
      </c>
      <c r="G683" t="s">
        <v>500</v>
      </c>
      <c r="H683" s="5">
        <v>27473</v>
      </c>
      <c r="I683" s="12">
        <v>45953</v>
      </c>
      <c r="J683" s="15">
        <v>60</v>
      </c>
      <c r="K683" s="15">
        <v>2</v>
      </c>
      <c r="L683" s="9">
        <v>0.11550000000000001</v>
      </c>
      <c r="M683" s="9">
        <v>5.1700000000000003E-2</v>
      </c>
      <c r="N683" s="15">
        <v>8</v>
      </c>
      <c r="O683" t="s">
        <v>27</v>
      </c>
      <c r="P683" t="s">
        <v>28</v>
      </c>
      <c r="Q683" s="24">
        <v>0.9</v>
      </c>
      <c r="R683" s="5">
        <f t="shared" si="60"/>
        <v>521.61065753424657</v>
      </c>
      <c r="S683" s="5">
        <f t="shared" si="61"/>
        <v>31.131048767123289</v>
      </c>
      <c r="T683" s="5">
        <f t="shared" si="62"/>
        <v>490.4796087671233</v>
      </c>
      <c r="U683" s="15">
        <f t="shared" si="63"/>
        <v>52</v>
      </c>
      <c r="V683" s="3">
        <f t="shared" si="64"/>
        <v>1577.4996599999999</v>
      </c>
      <c r="W683" s="3">
        <f t="shared" si="65"/>
        <v>682</v>
      </c>
    </row>
    <row r="684" spans="1:23" x14ac:dyDescent="0.2">
      <c r="A684" t="s">
        <v>377</v>
      </c>
      <c r="B684" t="s">
        <v>378</v>
      </c>
      <c r="C684" t="s">
        <v>31</v>
      </c>
      <c r="D684" t="s">
        <v>48</v>
      </c>
      <c r="E684" t="s">
        <v>25</v>
      </c>
      <c r="F684" s="7">
        <v>3293043</v>
      </c>
      <c r="G684" t="s">
        <v>1693</v>
      </c>
      <c r="H684" s="5">
        <v>90089</v>
      </c>
      <c r="I684" s="12">
        <v>45722</v>
      </c>
      <c r="J684" s="15">
        <v>45</v>
      </c>
      <c r="K684" s="15">
        <v>10</v>
      </c>
      <c r="L684" s="9">
        <v>0.13320000000000001</v>
      </c>
      <c r="M684" s="9">
        <v>4.5699999999999998E-2</v>
      </c>
      <c r="N684" s="15">
        <v>8</v>
      </c>
      <c r="O684" t="s">
        <v>28</v>
      </c>
      <c r="P684" t="s">
        <v>28</v>
      </c>
      <c r="Q684" s="24">
        <v>0.2</v>
      </c>
      <c r="R684" s="5">
        <f t="shared" si="60"/>
        <v>1479.4341534246576</v>
      </c>
      <c r="S684" s="5">
        <f t="shared" si="61"/>
        <v>90.23709150684931</v>
      </c>
      <c r="T684" s="5">
        <f t="shared" si="62"/>
        <v>1389.1970619178082</v>
      </c>
      <c r="U684" s="15">
        <f t="shared" si="63"/>
        <v>37</v>
      </c>
      <c r="V684" s="3">
        <f t="shared" si="64"/>
        <v>1576.5575000000006</v>
      </c>
      <c r="W684" s="3">
        <f t="shared" si="65"/>
        <v>683</v>
      </c>
    </row>
    <row r="685" spans="1:23" x14ac:dyDescent="0.2">
      <c r="A685" t="s">
        <v>233</v>
      </c>
      <c r="B685" t="s">
        <v>59</v>
      </c>
      <c r="C685" t="s">
        <v>77</v>
      </c>
      <c r="D685" t="s">
        <v>66</v>
      </c>
      <c r="E685" t="s">
        <v>49</v>
      </c>
      <c r="F685" s="7">
        <v>809893</v>
      </c>
      <c r="G685" t="s">
        <v>1366</v>
      </c>
      <c r="H685" s="5">
        <v>41350</v>
      </c>
      <c r="I685" s="12">
        <v>45796</v>
      </c>
      <c r="J685" s="15">
        <v>30</v>
      </c>
      <c r="K685" s="15">
        <v>3</v>
      </c>
      <c r="L685" s="9">
        <v>0.15909999999999999</v>
      </c>
      <c r="M685" s="9">
        <v>5.0799999999999998E-2</v>
      </c>
      <c r="N685" s="15">
        <v>6</v>
      </c>
      <c r="O685" t="s">
        <v>27</v>
      </c>
      <c r="P685" t="s">
        <v>28</v>
      </c>
      <c r="Q685" s="24">
        <v>0.35</v>
      </c>
      <c r="R685" s="5">
        <f t="shared" si="60"/>
        <v>540.72205479452055</v>
      </c>
      <c r="S685" s="5">
        <f t="shared" si="61"/>
        <v>34.530082191780821</v>
      </c>
      <c r="T685" s="5">
        <f t="shared" si="62"/>
        <v>506.19197260273972</v>
      </c>
      <c r="U685" s="15">
        <f t="shared" si="63"/>
        <v>24</v>
      </c>
      <c r="V685" s="3">
        <f t="shared" si="64"/>
        <v>1567.3717499999998</v>
      </c>
      <c r="W685" s="3">
        <f t="shared" si="65"/>
        <v>684</v>
      </c>
    </row>
    <row r="686" spans="1:23" x14ac:dyDescent="0.2">
      <c r="A686" t="s">
        <v>289</v>
      </c>
      <c r="B686" t="s">
        <v>204</v>
      </c>
      <c r="C686" t="s">
        <v>31</v>
      </c>
      <c r="D686" t="s">
        <v>32</v>
      </c>
      <c r="E686" t="s">
        <v>49</v>
      </c>
      <c r="F686" s="7">
        <v>782629</v>
      </c>
      <c r="G686" t="s">
        <v>1165</v>
      </c>
      <c r="H686" s="5">
        <v>22161</v>
      </c>
      <c r="I686" s="12">
        <v>45841</v>
      </c>
      <c r="J686" s="15">
        <v>60</v>
      </c>
      <c r="K686" s="15">
        <v>10</v>
      </c>
      <c r="L686" s="9">
        <v>0.14219999999999999</v>
      </c>
      <c r="M686" s="9">
        <v>5.3900000000000003E-2</v>
      </c>
      <c r="N686" s="15">
        <v>5</v>
      </c>
      <c r="O686" t="s">
        <v>27</v>
      </c>
      <c r="P686" t="s">
        <v>28</v>
      </c>
      <c r="Q686" s="24">
        <v>0.8</v>
      </c>
      <c r="R686" s="5">
        <f t="shared" si="60"/>
        <v>518.02096438356159</v>
      </c>
      <c r="S686" s="5">
        <f t="shared" si="61"/>
        <v>16.36271095890411</v>
      </c>
      <c r="T686" s="5">
        <f t="shared" si="62"/>
        <v>501.65825342465746</v>
      </c>
      <c r="U686" s="15">
        <f t="shared" si="63"/>
        <v>55</v>
      </c>
      <c r="V686" s="3">
        <f t="shared" si="64"/>
        <v>1565.4530399999999</v>
      </c>
      <c r="W686" s="3">
        <f t="shared" si="65"/>
        <v>685</v>
      </c>
    </row>
    <row r="687" spans="1:23" x14ac:dyDescent="0.2">
      <c r="A687" t="s">
        <v>117</v>
      </c>
      <c r="B687" t="s">
        <v>118</v>
      </c>
      <c r="C687" t="s">
        <v>77</v>
      </c>
      <c r="D687" t="s">
        <v>32</v>
      </c>
      <c r="E687" t="s">
        <v>25</v>
      </c>
      <c r="F687" s="7">
        <v>6024640</v>
      </c>
      <c r="G687" t="s">
        <v>1529</v>
      </c>
      <c r="H687" s="5">
        <v>20940</v>
      </c>
      <c r="I687" s="12">
        <v>45917</v>
      </c>
      <c r="J687" s="15">
        <v>90</v>
      </c>
      <c r="K687" s="15">
        <v>10</v>
      </c>
      <c r="L687" s="9">
        <v>0.13769999999999999</v>
      </c>
      <c r="M687" s="9">
        <v>5.4699999999999999E-2</v>
      </c>
      <c r="N687" s="15">
        <v>8</v>
      </c>
      <c r="O687" t="s">
        <v>27</v>
      </c>
      <c r="P687" t="s">
        <v>28</v>
      </c>
      <c r="Q687" s="24">
        <v>0.9</v>
      </c>
      <c r="R687" s="5">
        <f t="shared" si="60"/>
        <v>710.98471232876705</v>
      </c>
      <c r="S687" s="5">
        <f t="shared" si="61"/>
        <v>25.10505205479452</v>
      </c>
      <c r="T687" s="5">
        <f t="shared" si="62"/>
        <v>685.87966027397249</v>
      </c>
      <c r="U687" s="15">
        <f t="shared" si="63"/>
        <v>82</v>
      </c>
      <c r="V687" s="3">
        <f t="shared" si="64"/>
        <v>1564.2179999999998</v>
      </c>
      <c r="W687" s="3">
        <f t="shared" si="65"/>
        <v>686</v>
      </c>
    </row>
    <row r="688" spans="1:23" x14ac:dyDescent="0.2">
      <c r="A688" t="s">
        <v>103</v>
      </c>
      <c r="B688" t="s">
        <v>62</v>
      </c>
      <c r="C688" t="s">
        <v>31</v>
      </c>
      <c r="D688" t="s">
        <v>37</v>
      </c>
      <c r="E688" t="s">
        <v>25</v>
      </c>
      <c r="F688" s="7">
        <v>3948313</v>
      </c>
      <c r="G688" t="s">
        <v>172</v>
      </c>
      <c r="H688" s="5">
        <v>84655</v>
      </c>
      <c r="I688" s="12">
        <v>45822</v>
      </c>
      <c r="J688" s="15">
        <v>90</v>
      </c>
      <c r="K688" s="15">
        <v>10</v>
      </c>
      <c r="L688" s="9">
        <v>0.1154</v>
      </c>
      <c r="M688" s="9">
        <v>6.2899999999999998E-2</v>
      </c>
      <c r="N688" s="15">
        <v>8</v>
      </c>
      <c r="O688" t="s">
        <v>27</v>
      </c>
      <c r="P688" t="s">
        <v>28</v>
      </c>
      <c r="Q688" s="24">
        <v>0.35</v>
      </c>
      <c r="R688" s="5">
        <f t="shared" si="60"/>
        <v>2408.840630136986</v>
      </c>
      <c r="S688" s="5">
        <f t="shared" si="61"/>
        <v>116.70793424657535</v>
      </c>
      <c r="T688" s="5">
        <f t="shared" si="62"/>
        <v>2292.1326958904106</v>
      </c>
      <c r="U688" s="15">
        <f t="shared" si="63"/>
        <v>82</v>
      </c>
      <c r="V688" s="3">
        <f t="shared" si="64"/>
        <v>1555.535625</v>
      </c>
      <c r="W688" s="3">
        <f t="shared" si="65"/>
        <v>687</v>
      </c>
    </row>
    <row r="689" spans="1:23" x14ac:dyDescent="0.2">
      <c r="A689" t="s">
        <v>829</v>
      </c>
      <c r="B689" t="s">
        <v>194</v>
      </c>
      <c r="C689" t="s">
        <v>23</v>
      </c>
      <c r="D689" t="s">
        <v>24</v>
      </c>
      <c r="E689" t="s">
        <v>25</v>
      </c>
      <c r="F689" s="7">
        <v>4842575</v>
      </c>
      <c r="G689" t="s">
        <v>1213</v>
      </c>
      <c r="H689" s="5">
        <v>41829</v>
      </c>
      <c r="I689" s="12">
        <v>46027</v>
      </c>
      <c r="J689" s="15">
        <v>45</v>
      </c>
      <c r="K689" s="15">
        <v>10</v>
      </c>
      <c r="L689" s="9">
        <v>0.10639999999999999</v>
      </c>
      <c r="M689" s="9">
        <v>4.9200000000000001E-2</v>
      </c>
      <c r="N689" s="15">
        <v>6</v>
      </c>
      <c r="O689" t="s">
        <v>27</v>
      </c>
      <c r="P689" t="s">
        <v>28</v>
      </c>
      <c r="Q689" s="24">
        <v>0.65</v>
      </c>
      <c r="R689" s="5">
        <f t="shared" si="60"/>
        <v>548.70479999999998</v>
      </c>
      <c r="S689" s="5">
        <f t="shared" si="61"/>
        <v>33.829920000000001</v>
      </c>
      <c r="T689" s="5">
        <f t="shared" si="62"/>
        <v>514.87487999999996</v>
      </c>
      <c r="U689" s="15">
        <f t="shared" si="63"/>
        <v>39</v>
      </c>
      <c r="V689" s="3">
        <f t="shared" si="64"/>
        <v>1555.2022199999999</v>
      </c>
      <c r="W689" s="3">
        <f t="shared" si="65"/>
        <v>688</v>
      </c>
    </row>
    <row r="690" spans="1:23" x14ac:dyDescent="0.2">
      <c r="A690" t="s">
        <v>382</v>
      </c>
      <c r="B690" t="s">
        <v>383</v>
      </c>
      <c r="C690" t="s">
        <v>41</v>
      </c>
      <c r="D690" t="s">
        <v>32</v>
      </c>
      <c r="E690" t="s">
        <v>25</v>
      </c>
      <c r="F690" s="7">
        <v>3772612</v>
      </c>
      <c r="G690" t="s">
        <v>1459</v>
      </c>
      <c r="H690" s="5">
        <v>44780</v>
      </c>
      <c r="I690" s="12">
        <v>45817</v>
      </c>
      <c r="J690" s="15">
        <v>45</v>
      </c>
      <c r="K690" s="15">
        <v>10</v>
      </c>
      <c r="L690" s="9">
        <v>0.1053</v>
      </c>
      <c r="M690" s="9">
        <v>6.1899999999999997E-2</v>
      </c>
      <c r="N690" s="15">
        <v>7</v>
      </c>
      <c r="O690" t="s">
        <v>27</v>
      </c>
      <c r="P690" t="s">
        <v>28</v>
      </c>
      <c r="Q690" s="24">
        <v>0.8</v>
      </c>
      <c r="R690" s="5">
        <f t="shared" si="60"/>
        <v>581.34254794520541</v>
      </c>
      <c r="S690" s="5">
        <f t="shared" si="61"/>
        <v>53.159380821917814</v>
      </c>
      <c r="T690" s="5">
        <f t="shared" si="62"/>
        <v>528.1831671232876</v>
      </c>
      <c r="U690" s="15">
        <f t="shared" si="63"/>
        <v>38</v>
      </c>
      <c r="V690" s="3">
        <f t="shared" si="64"/>
        <v>1554.7616000000003</v>
      </c>
      <c r="W690" s="3">
        <f t="shared" si="65"/>
        <v>689</v>
      </c>
    </row>
    <row r="691" spans="1:23" x14ac:dyDescent="0.2">
      <c r="A691" t="s">
        <v>278</v>
      </c>
      <c r="B691" t="s">
        <v>279</v>
      </c>
      <c r="C691" t="s">
        <v>23</v>
      </c>
      <c r="D691" t="s">
        <v>37</v>
      </c>
      <c r="E691" t="s">
        <v>56</v>
      </c>
      <c r="F691" s="7">
        <v>15898738</v>
      </c>
      <c r="G691" t="s">
        <v>280</v>
      </c>
      <c r="H691" s="5">
        <v>50985</v>
      </c>
      <c r="I691" s="12">
        <v>45968</v>
      </c>
      <c r="J691" s="15">
        <v>60</v>
      </c>
      <c r="K691" s="15">
        <v>10</v>
      </c>
      <c r="L691" s="9">
        <v>0.1071</v>
      </c>
      <c r="M691" s="9">
        <v>4.6199999999999998E-2</v>
      </c>
      <c r="N691" s="15">
        <v>8</v>
      </c>
      <c r="O691" t="s">
        <v>27</v>
      </c>
      <c r="P691" t="s">
        <v>28</v>
      </c>
      <c r="Q691" s="24">
        <v>0.5</v>
      </c>
      <c r="R691" s="5">
        <f t="shared" si="60"/>
        <v>897.6153698630136</v>
      </c>
      <c r="S691" s="5">
        <f t="shared" si="61"/>
        <v>51.627550684931506</v>
      </c>
      <c r="T691" s="5">
        <f t="shared" si="62"/>
        <v>845.98781917808208</v>
      </c>
      <c r="U691" s="15">
        <f t="shared" si="63"/>
        <v>52</v>
      </c>
      <c r="V691" s="3">
        <f t="shared" si="64"/>
        <v>1552.49325</v>
      </c>
      <c r="W691" s="3">
        <f t="shared" si="65"/>
        <v>690</v>
      </c>
    </row>
    <row r="692" spans="1:23" x14ac:dyDescent="0.2">
      <c r="A692" t="s">
        <v>29</v>
      </c>
      <c r="B692" t="s">
        <v>30</v>
      </c>
      <c r="C692" t="s">
        <v>31</v>
      </c>
      <c r="D692" t="s">
        <v>32</v>
      </c>
      <c r="E692" t="s">
        <v>25</v>
      </c>
      <c r="F692" s="7">
        <v>4331160</v>
      </c>
      <c r="G692" t="s">
        <v>1745</v>
      </c>
      <c r="H692" s="5">
        <v>68625</v>
      </c>
      <c r="I692" s="12">
        <v>45757</v>
      </c>
      <c r="J692" s="15">
        <v>60</v>
      </c>
      <c r="K692" s="15">
        <v>2</v>
      </c>
      <c r="L692" s="9">
        <v>0.12809999999999999</v>
      </c>
      <c r="M692" s="9">
        <v>6.3500000000000001E-2</v>
      </c>
      <c r="N692" s="15">
        <v>8</v>
      </c>
      <c r="O692" t="s">
        <v>27</v>
      </c>
      <c r="P692" t="s">
        <v>28</v>
      </c>
      <c r="Q692" s="24">
        <v>0.35</v>
      </c>
      <c r="R692" s="5">
        <f t="shared" si="60"/>
        <v>1445.0732876712327</v>
      </c>
      <c r="S692" s="5">
        <f t="shared" si="61"/>
        <v>95.510958904109586</v>
      </c>
      <c r="T692" s="5">
        <f t="shared" si="62"/>
        <v>1349.5623287671231</v>
      </c>
      <c r="U692" s="15">
        <f t="shared" si="63"/>
        <v>52</v>
      </c>
      <c r="V692" s="3">
        <f t="shared" si="64"/>
        <v>1551.6112499999997</v>
      </c>
      <c r="W692" s="3">
        <f t="shared" si="65"/>
        <v>691</v>
      </c>
    </row>
    <row r="693" spans="1:23" x14ac:dyDescent="0.2">
      <c r="A693" t="s">
        <v>247</v>
      </c>
      <c r="B693" t="s">
        <v>47</v>
      </c>
      <c r="C693" t="s">
        <v>31</v>
      </c>
      <c r="D693" t="s">
        <v>48</v>
      </c>
      <c r="E693" t="s">
        <v>49</v>
      </c>
      <c r="F693" s="7">
        <v>1089809</v>
      </c>
      <c r="G693" t="s">
        <v>840</v>
      </c>
      <c r="H693" s="5">
        <v>71596</v>
      </c>
      <c r="I693" s="12">
        <v>46019</v>
      </c>
      <c r="J693" s="15">
        <v>30</v>
      </c>
      <c r="K693" s="15">
        <v>4</v>
      </c>
      <c r="L693" s="9">
        <v>0.16689999999999999</v>
      </c>
      <c r="M693" s="9">
        <v>5.8799999999999998E-2</v>
      </c>
      <c r="N693" s="15">
        <v>6</v>
      </c>
      <c r="O693" t="s">
        <v>27</v>
      </c>
      <c r="P693" t="s">
        <v>28</v>
      </c>
      <c r="Q693" s="24">
        <v>0.2</v>
      </c>
      <c r="R693" s="5">
        <f t="shared" si="60"/>
        <v>982.14019726027391</v>
      </c>
      <c r="S693" s="5">
        <f t="shared" si="61"/>
        <v>69.202928219178077</v>
      </c>
      <c r="T693" s="5">
        <f t="shared" si="62"/>
        <v>912.93726904109587</v>
      </c>
      <c r="U693" s="15">
        <f t="shared" si="63"/>
        <v>24</v>
      </c>
      <c r="V693" s="3">
        <f t="shared" si="64"/>
        <v>1547.90552</v>
      </c>
      <c r="W693" s="3">
        <f t="shared" si="65"/>
        <v>692</v>
      </c>
    </row>
    <row r="694" spans="1:23" x14ac:dyDescent="0.2">
      <c r="A694" t="s">
        <v>319</v>
      </c>
      <c r="B694" t="s">
        <v>320</v>
      </c>
      <c r="C694" t="s">
        <v>41</v>
      </c>
      <c r="D694" t="s">
        <v>37</v>
      </c>
      <c r="E694" t="s">
        <v>56</v>
      </c>
      <c r="F694" s="7">
        <v>23937545</v>
      </c>
      <c r="G694" t="s">
        <v>953</v>
      </c>
      <c r="H694" s="5">
        <v>74061</v>
      </c>
      <c r="I694" s="12">
        <v>45880</v>
      </c>
      <c r="J694" s="15">
        <v>60</v>
      </c>
      <c r="K694" s="15">
        <v>4</v>
      </c>
      <c r="L694" s="9">
        <v>8.7099999999999997E-2</v>
      </c>
      <c r="M694" s="9">
        <v>4.53E-2</v>
      </c>
      <c r="N694" s="15">
        <v>8</v>
      </c>
      <c r="O694" t="s">
        <v>27</v>
      </c>
      <c r="P694" t="s">
        <v>28</v>
      </c>
      <c r="Q694" s="24">
        <v>0.5</v>
      </c>
      <c r="R694" s="5">
        <f t="shared" si="60"/>
        <v>1060.391194520548</v>
      </c>
      <c r="S694" s="5">
        <f t="shared" si="61"/>
        <v>73.533442191780821</v>
      </c>
      <c r="T694" s="5">
        <f t="shared" si="62"/>
        <v>986.85775232876711</v>
      </c>
      <c r="U694" s="15">
        <f t="shared" si="63"/>
        <v>52</v>
      </c>
      <c r="V694" s="3">
        <f t="shared" si="64"/>
        <v>1547.8748999999998</v>
      </c>
      <c r="W694" s="3">
        <f t="shared" si="65"/>
        <v>693</v>
      </c>
    </row>
    <row r="695" spans="1:23" x14ac:dyDescent="0.2">
      <c r="A695" t="s">
        <v>377</v>
      </c>
      <c r="B695" t="s">
        <v>378</v>
      </c>
      <c r="C695" t="s">
        <v>31</v>
      </c>
      <c r="D695" t="s">
        <v>48</v>
      </c>
      <c r="E695" t="s">
        <v>25</v>
      </c>
      <c r="F695" s="7">
        <v>3293043</v>
      </c>
      <c r="G695" t="s">
        <v>379</v>
      </c>
      <c r="H695" s="5">
        <v>53973</v>
      </c>
      <c r="I695" s="12">
        <v>45666</v>
      </c>
      <c r="J695" s="15">
        <v>90</v>
      </c>
      <c r="K695" s="15">
        <v>4</v>
      </c>
      <c r="L695" s="9">
        <v>0.13320000000000001</v>
      </c>
      <c r="M695" s="9">
        <v>5.1299999999999998E-2</v>
      </c>
      <c r="N695" s="15">
        <v>5</v>
      </c>
      <c r="O695" t="s">
        <v>27</v>
      </c>
      <c r="P695" t="s">
        <v>28</v>
      </c>
      <c r="Q695" s="24">
        <v>0.35</v>
      </c>
      <c r="R695" s="5">
        <f t="shared" si="60"/>
        <v>1772.6803397260276</v>
      </c>
      <c r="S695" s="5">
        <f t="shared" si="61"/>
        <v>37.928971232876705</v>
      </c>
      <c r="T695" s="5">
        <f t="shared" si="62"/>
        <v>1734.7513684931509</v>
      </c>
      <c r="U695" s="15">
        <f t="shared" si="63"/>
        <v>85</v>
      </c>
      <c r="V695" s="3">
        <f t="shared" si="64"/>
        <v>1547.1360450000002</v>
      </c>
      <c r="W695" s="3">
        <f t="shared" si="65"/>
        <v>694</v>
      </c>
    </row>
    <row r="696" spans="1:23" x14ac:dyDescent="0.2">
      <c r="A696" t="s">
        <v>518</v>
      </c>
      <c r="B696" t="s">
        <v>519</v>
      </c>
      <c r="C696" t="s">
        <v>41</v>
      </c>
      <c r="D696" t="s">
        <v>48</v>
      </c>
      <c r="E696" t="s">
        <v>25</v>
      </c>
      <c r="F696" s="7">
        <v>6967315</v>
      </c>
      <c r="G696" t="s">
        <v>793</v>
      </c>
      <c r="H696" s="5">
        <v>83516</v>
      </c>
      <c r="I696" s="12">
        <v>45658</v>
      </c>
      <c r="J696" s="15">
        <v>45</v>
      </c>
      <c r="K696" s="15">
        <v>7</v>
      </c>
      <c r="L696" s="9">
        <v>9.1999999999999998E-2</v>
      </c>
      <c r="M696" s="9">
        <v>6.3500000000000001E-2</v>
      </c>
      <c r="N696" s="15">
        <v>7</v>
      </c>
      <c r="O696" t="s">
        <v>27</v>
      </c>
      <c r="P696" t="s">
        <v>28</v>
      </c>
      <c r="Q696" s="24">
        <v>0.65</v>
      </c>
      <c r="R696" s="5">
        <f t="shared" si="60"/>
        <v>947.27736986301363</v>
      </c>
      <c r="S696" s="5">
        <f t="shared" si="61"/>
        <v>101.70647123287671</v>
      </c>
      <c r="T696" s="5">
        <f t="shared" si="62"/>
        <v>845.57089863013698</v>
      </c>
      <c r="U696" s="15">
        <f t="shared" si="63"/>
        <v>38</v>
      </c>
      <c r="V696" s="3">
        <f t="shared" si="64"/>
        <v>1547.1339</v>
      </c>
      <c r="W696" s="3">
        <f t="shared" si="65"/>
        <v>695</v>
      </c>
    </row>
    <row r="697" spans="1:23" x14ac:dyDescent="0.2">
      <c r="A697" t="s">
        <v>263</v>
      </c>
      <c r="B697" t="s">
        <v>264</v>
      </c>
      <c r="C697" t="s">
        <v>77</v>
      </c>
      <c r="D697" t="s">
        <v>24</v>
      </c>
      <c r="E697" t="s">
        <v>25</v>
      </c>
      <c r="F697" s="7">
        <v>4450767</v>
      </c>
      <c r="G697" t="s">
        <v>1067</v>
      </c>
      <c r="H697" s="5">
        <v>50036</v>
      </c>
      <c r="I697" s="12">
        <v>45701</v>
      </c>
      <c r="J697" s="15">
        <v>90</v>
      </c>
      <c r="K697" s="15">
        <v>3</v>
      </c>
      <c r="L697" s="9">
        <v>0.10489999999999999</v>
      </c>
      <c r="M697" s="9">
        <v>5.74E-2</v>
      </c>
      <c r="N697" s="15">
        <v>6</v>
      </c>
      <c r="O697" t="s">
        <v>27</v>
      </c>
      <c r="P697" t="s">
        <v>28</v>
      </c>
      <c r="Q697" s="24">
        <v>0.65</v>
      </c>
      <c r="R697" s="5">
        <f t="shared" si="60"/>
        <v>1294.2188383561643</v>
      </c>
      <c r="S697" s="5">
        <f t="shared" si="61"/>
        <v>47.212050410958902</v>
      </c>
      <c r="T697" s="5">
        <f t="shared" si="62"/>
        <v>1247.0067879452054</v>
      </c>
      <c r="U697" s="15">
        <f t="shared" si="63"/>
        <v>84</v>
      </c>
      <c r="V697" s="3">
        <f t="shared" si="64"/>
        <v>1544.8614999999998</v>
      </c>
      <c r="W697" s="3">
        <f t="shared" si="65"/>
        <v>696</v>
      </c>
    </row>
    <row r="698" spans="1:23" x14ac:dyDescent="0.2">
      <c r="A698" t="s">
        <v>100</v>
      </c>
      <c r="B698" t="s">
        <v>101</v>
      </c>
      <c r="C698" t="s">
        <v>77</v>
      </c>
      <c r="D698" t="s">
        <v>48</v>
      </c>
      <c r="E698" t="s">
        <v>49</v>
      </c>
      <c r="F698" s="7">
        <v>1484226</v>
      </c>
      <c r="G698" t="s">
        <v>1308</v>
      </c>
      <c r="H698" s="5">
        <v>24393</v>
      </c>
      <c r="I698" s="12">
        <v>45690</v>
      </c>
      <c r="J698" s="15">
        <v>60</v>
      </c>
      <c r="K698" s="15">
        <v>3</v>
      </c>
      <c r="L698" s="9">
        <v>0.17929999999999999</v>
      </c>
      <c r="M698" s="9">
        <v>5.2699999999999997E-2</v>
      </c>
      <c r="N698" s="15">
        <v>8</v>
      </c>
      <c r="O698" t="s">
        <v>27</v>
      </c>
      <c r="P698" t="s">
        <v>28</v>
      </c>
      <c r="Q698" s="24">
        <v>0.5</v>
      </c>
      <c r="R698" s="5">
        <f t="shared" si="60"/>
        <v>718.95861369863007</v>
      </c>
      <c r="S698" s="5">
        <f t="shared" si="61"/>
        <v>28.175585753424656</v>
      </c>
      <c r="T698" s="5">
        <f t="shared" si="62"/>
        <v>690.78302794520539</v>
      </c>
      <c r="U698" s="15">
        <f t="shared" si="63"/>
        <v>52</v>
      </c>
      <c r="V698" s="3">
        <f t="shared" si="64"/>
        <v>1544.0768999999998</v>
      </c>
      <c r="W698" s="3">
        <f t="shared" si="65"/>
        <v>697</v>
      </c>
    </row>
    <row r="699" spans="1:23" x14ac:dyDescent="0.2">
      <c r="A699" t="s">
        <v>166</v>
      </c>
      <c r="B699" t="s">
        <v>167</v>
      </c>
      <c r="C699" t="s">
        <v>41</v>
      </c>
      <c r="D699" t="s">
        <v>24</v>
      </c>
      <c r="E699" t="s">
        <v>25</v>
      </c>
      <c r="F699" s="7">
        <v>6222733</v>
      </c>
      <c r="G699" t="s">
        <v>1014</v>
      </c>
      <c r="H699" s="5">
        <v>25332</v>
      </c>
      <c r="I699" s="12">
        <v>45720</v>
      </c>
      <c r="J699" s="15">
        <v>60</v>
      </c>
      <c r="K699" s="15">
        <v>3</v>
      </c>
      <c r="L699" s="9">
        <v>0.13980000000000001</v>
      </c>
      <c r="M699" s="9">
        <v>4.6300000000000001E-2</v>
      </c>
      <c r="N699" s="15">
        <v>6</v>
      </c>
      <c r="O699" t="s">
        <v>27</v>
      </c>
      <c r="P699" t="s">
        <v>28</v>
      </c>
      <c r="Q699" s="24">
        <v>0.65</v>
      </c>
      <c r="R699" s="5">
        <f t="shared" si="60"/>
        <v>582.15018082191784</v>
      </c>
      <c r="S699" s="5">
        <f t="shared" si="61"/>
        <v>19.280081095890409</v>
      </c>
      <c r="T699" s="5">
        <f t="shared" si="62"/>
        <v>562.87009972602743</v>
      </c>
      <c r="U699" s="15">
        <f t="shared" si="63"/>
        <v>54</v>
      </c>
      <c r="V699" s="3">
        <f t="shared" si="64"/>
        <v>1539.5523000000001</v>
      </c>
      <c r="W699" s="3">
        <f t="shared" si="65"/>
        <v>698</v>
      </c>
    </row>
    <row r="700" spans="1:23" x14ac:dyDescent="0.2">
      <c r="A700" t="s">
        <v>239</v>
      </c>
      <c r="B700" t="s">
        <v>240</v>
      </c>
      <c r="C700" t="s">
        <v>31</v>
      </c>
      <c r="D700" t="s">
        <v>32</v>
      </c>
      <c r="E700" t="s">
        <v>49</v>
      </c>
      <c r="F700" s="7">
        <v>1485779</v>
      </c>
      <c r="G700" t="s">
        <v>1278</v>
      </c>
      <c r="H700" s="5">
        <v>25130</v>
      </c>
      <c r="I700" s="12">
        <v>45801</v>
      </c>
      <c r="J700" s="15">
        <v>30</v>
      </c>
      <c r="K700" s="15">
        <v>10</v>
      </c>
      <c r="L700" s="9">
        <v>0.1295</v>
      </c>
      <c r="M700" s="9">
        <v>5.2999999999999999E-2</v>
      </c>
      <c r="N700" s="15">
        <v>6</v>
      </c>
      <c r="O700" t="s">
        <v>28</v>
      </c>
      <c r="P700" t="s">
        <v>28</v>
      </c>
      <c r="Q700" s="24">
        <v>0.8</v>
      </c>
      <c r="R700" s="5">
        <f t="shared" si="60"/>
        <v>267.47958904109589</v>
      </c>
      <c r="S700" s="5">
        <f t="shared" si="61"/>
        <v>21.894082191780818</v>
      </c>
      <c r="T700" s="5">
        <f t="shared" si="62"/>
        <v>245.58550684931507</v>
      </c>
      <c r="U700" s="15">
        <f t="shared" si="63"/>
        <v>24</v>
      </c>
      <c r="V700" s="3">
        <f t="shared" si="64"/>
        <v>1537.9560000000004</v>
      </c>
      <c r="W700" s="3">
        <f t="shared" si="65"/>
        <v>699</v>
      </c>
    </row>
    <row r="701" spans="1:23" x14ac:dyDescent="0.2">
      <c r="A701" t="s">
        <v>58</v>
      </c>
      <c r="B701" t="s">
        <v>59</v>
      </c>
      <c r="C701" t="s">
        <v>23</v>
      </c>
      <c r="D701" t="s">
        <v>24</v>
      </c>
      <c r="E701" t="s">
        <v>25</v>
      </c>
      <c r="F701" s="7">
        <v>4269919</v>
      </c>
      <c r="G701" t="s">
        <v>1037</v>
      </c>
      <c r="H701" s="5">
        <v>68849</v>
      </c>
      <c r="I701" s="12">
        <v>45735</v>
      </c>
      <c r="J701" s="15">
        <v>90</v>
      </c>
      <c r="K701" s="15">
        <v>10</v>
      </c>
      <c r="L701" s="9">
        <v>0.1212</v>
      </c>
      <c r="M701" s="9">
        <v>5.7500000000000002E-2</v>
      </c>
      <c r="N701" s="15">
        <v>10</v>
      </c>
      <c r="O701" t="s">
        <v>28</v>
      </c>
      <c r="P701" t="s">
        <v>28</v>
      </c>
      <c r="Q701" s="24">
        <v>0.35</v>
      </c>
      <c r="R701" s="5">
        <f t="shared" si="60"/>
        <v>2057.5476493150682</v>
      </c>
      <c r="S701" s="5">
        <f t="shared" si="61"/>
        <v>108.46075342465753</v>
      </c>
      <c r="T701" s="5">
        <f t="shared" si="62"/>
        <v>1949.0868958904107</v>
      </c>
      <c r="U701" s="15">
        <f t="shared" si="63"/>
        <v>80</v>
      </c>
      <c r="V701" s="3">
        <f t="shared" si="64"/>
        <v>1534.9884550000002</v>
      </c>
      <c r="W701" s="3">
        <f t="shared" si="65"/>
        <v>700</v>
      </c>
    </row>
    <row r="702" spans="1:23" x14ac:dyDescent="0.2">
      <c r="A702" t="s">
        <v>88</v>
      </c>
      <c r="B702" t="s">
        <v>89</v>
      </c>
      <c r="C702" t="s">
        <v>23</v>
      </c>
      <c r="D702" t="s">
        <v>66</v>
      </c>
      <c r="E702" t="s">
        <v>49</v>
      </c>
      <c r="F702" s="7">
        <v>896464</v>
      </c>
      <c r="G702" t="s">
        <v>340</v>
      </c>
      <c r="H702" s="5">
        <v>40627</v>
      </c>
      <c r="I702" s="12">
        <v>45697</v>
      </c>
      <c r="J702" s="15">
        <v>60</v>
      </c>
      <c r="K702" s="15">
        <v>10</v>
      </c>
      <c r="L702" s="9">
        <v>0.13550000000000001</v>
      </c>
      <c r="M702" s="9">
        <v>6.0100000000000001E-2</v>
      </c>
      <c r="N702" s="15">
        <v>5</v>
      </c>
      <c r="O702" t="s">
        <v>27</v>
      </c>
      <c r="P702" t="s">
        <v>28</v>
      </c>
      <c r="Q702" s="24">
        <v>0.5</v>
      </c>
      <c r="R702" s="5">
        <f t="shared" si="60"/>
        <v>904.92468493150693</v>
      </c>
      <c r="S702" s="5">
        <f t="shared" si="61"/>
        <v>33.447708219178075</v>
      </c>
      <c r="T702" s="5">
        <f t="shared" si="62"/>
        <v>871.47697671232891</v>
      </c>
      <c r="U702" s="15">
        <f t="shared" si="63"/>
        <v>55</v>
      </c>
      <c r="V702" s="3">
        <f t="shared" si="64"/>
        <v>1531.6379000000002</v>
      </c>
      <c r="W702" s="3">
        <f t="shared" si="65"/>
        <v>701</v>
      </c>
    </row>
    <row r="703" spans="1:23" x14ac:dyDescent="0.2">
      <c r="A703" t="s">
        <v>112</v>
      </c>
      <c r="B703" t="s">
        <v>113</v>
      </c>
      <c r="C703" t="s">
        <v>31</v>
      </c>
      <c r="D703" t="s">
        <v>24</v>
      </c>
      <c r="E703" t="s">
        <v>49</v>
      </c>
      <c r="F703" s="7">
        <v>1045125</v>
      </c>
      <c r="G703" t="s">
        <v>1257</v>
      </c>
      <c r="H703" s="5">
        <v>78229</v>
      </c>
      <c r="I703" s="12">
        <v>46046</v>
      </c>
      <c r="J703" s="15">
        <v>60</v>
      </c>
      <c r="K703" s="15">
        <v>5</v>
      </c>
      <c r="L703" s="9">
        <v>0.15740000000000001</v>
      </c>
      <c r="M703" s="9">
        <v>6.0199999999999997E-2</v>
      </c>
      <c r="N703" s="15">
        <v>8</v>
      </c>
      <c r="O703" t="s">
        <v>28</v>
      </c>
      <c r="P703" t="s">
        <v>28</v>
      </c>
      <c r="Q703" s="24">
        <v>0.2</v>
      </c>
      <c r="R703" s="5">
        <f t="shared" si="60"/>
        <v>2024.0950027397262</v>
      </c>
      <c r="S703" s="5">
        <f t="shared" si="61"/>
        <v>103.21941479452055</v>
      </c>
      <c r="T703" s="5">
        <f t="shared" si="62"/>
        <v>1920.8755879452056</v>
      </c>
      <c r="U703" s="15">
        <f t="shared" si="63"/>
        <v>52</v>
      </c>
      <c r="V703" s="3">
        <f t="shared" si="64"/>
        <v>1520.7717600000001</v>
      </c>
      <c r="W703" s="3">
        <f t="shared" si="65"/>
        <v>702</v>
      </c>
    </row>
    <row r="704" spans="1:23" x14ac:dyDescent="0.2">
      <c r="A704" t="s">
        <v>530</v>
      </c>
      <c r="B704" t="s">
        <v>531</v>
      </c>
      <c r="C704" t="s">
        <v>36</v>
      </c>
      <c r="D704" t="s">
        <v>37</v>
      </c>
      <c r="E704" t="s">
        <v>49</v>
      </c>
      <c r="F704" s="7">
        <v>701545</v>
      </c>
      <c r="G704" t="s">
        <v>1676</v>
      </c>
      <c r="H704" s="5">
        <v>63903</v>
      </c>
      <c r="I704" s="12">
        <v>45752</v>
      </c>
      <c r="J704" s="15">
        <v>45</v>
      </c>
      <c r="K704" s="15">
        <v>2</v>
      </c>
      <c r="L704" s="9">
        <v>0.17699999999999999</v>
      </c>
      <c r="M704" s="9">
        <v>5.8200000000000002E-2</v>
      </c>
      <c r="N704" s="15">
        <v>6</v>
      </c>
      <c r="O704" t="s">
        <v>27</v>
      </c>
      <c r="P704" t="s">
        <v>28</v>
      </c>
      <c r="Q704" s="24">
        <v>0.2</v>
      </c>
      <c r="R704" s="5">
        <f t="shared" si="60"/>
        <v>1394.4860136986301</v>
      </c>
      <c r="S704" s="5">
        <f t="shared" si="61"/>
        <v>61.136787945205477</v>
      </c>
      <c r="T704" s="5">
        <f t="shared" si="62"/>
        <v>1333.3492257534247</v>
      </c>
      <c r="U704" s="15">
        <f t="shared" si="63"/>
        <v>39</v>
      </c>
      <c r="V704" s="3">
        <f t="shared" si="64"/>
        <v>1518.33528</v>
      </c>
      <c r="W704" s="3">
        <f t="shared" si="65"/>
        <v>703</v>
      </c>
    </row>
    <row r="705" spans="1:23" x14ac:dyDescent="0.2">
      <c r="A705" t="s">
        <v>149</v>
      </c>
      <c r="B705" t="s">
        <v>30</v>
      </c>
      <c r="C705" t="s">
        <v>77</v>
      </c>
      <c r="D705" t="s">
        <v>66</v>
      </c>
      <c r="E705" t="s">
        <v>25</v>
      </c>
      <c r="F705" s="7">
        <v>3553623</v>
      </c>
      <c r="G705" t="s">
        <v>1204</v>
      </c>
      <c r="H705" s="5">
        <v>88543</v>
      </c>
      <c r="I705" s="12">
        <v>45814</v>
      </c>
      <c r="J705" s="15">
        <v>60</v>
      </c>
      <c r="K705" s="15">
        <v>3</v>
      </c>
      <c r="L705" s="9">
        <v>9.8199999999999996E-2</v>
      </c>
      <c r="M705" s="9">
        <v>4.9399999999999999E-2</v>
      </c>
      <c r="N705" s="15">
        <v>6</v>
      </c>
      <c r="O705" t="s">
        <v>27</v>
      </c>
      <c r="P705" t="s">
        <v>28</v>
      </c>
      <c r="Q705" s="24">
        <v>0.35</v>
      </c>
      <c r="R705" s="5">
        <f t="shared" si="60"/>
        <v>1429.3023452054792</v>
      </c>
      <c r="S705" s="5">
        <f t="shared" si="61"/>
        <v>71.901767671232861</v>
      </c>
      <c r="T705" s="5">
        <f t="shared" si="62"/>
        <v>1357.4005775342464</v>
      </c>
      <c r="U705" s="15">
        <f t="shared" si="63"/>
        <v>54</v>
      </c>
      <c r="V705" s="3">
        <f t="shared" si="64"/>
        <v>1512.3144399999999</v>
      </c>
      <c r="W705" s="3">
        <f t="shared" si="65"/>
        <v>704</v>
      </c>
    </row>
    <row r="706" spans="1:23" x14ac:dyDescent="0.2">
      <c r="A706" t="s">
        <v>468</v>
      </c>
      <c r="B706" t="s">
        <v>412</v>
      </c>
      <c r="C706" t="s">
        <v>41</v>
      </c>
      <c r="D706" t="s">
        <v>48</v>
      </c>
      <c r="E706" t="s">
        <v>49</v>
      </c>
      <c r="F706" s="7">
        <v>1406086</v>
      </c>
      <c r="G706" t="s">
        <v>1613</v>
      </c>
      <c r="H706" s="5">
        <v>46170</v>
      </c>
      <c r="I706" s="12">
        <v>45887</v>
      </c>
      <c r="J706" s="15">
        <v>90</v>
      </c>
      <c r="K706" s="15">
        <v>4</v>
      </c>
      <c r="L706" s="9">
        <v>0.1201</v>
      </c>
      <c r="M706" s="9">
        <v>5.4699999999999999E-2</v>
      </c>
      <c r="N706" s="15">
        <v>6</v>
      </c>
      <c r="O706" t="s">
        <v>27</v>
      </c>
      <c r="P706" t="s">
        <v>28</v>
      </c>
      <c r="Q706" s="24">
        <v>0.5</v>
      </c>
      <c r="R706" s="5">
        <f t="shared" ref="R706:R769" si="66">H706*L706*(J706/365)</f>
        <v>1367.2644657534245</v>
      </c>
      <c r="S706" s="5">
        <f t="shared" ref="S706:S769" si="67">H706*M706*(N706/365)</f>
        <v>41.515052054794516</v>
      </c>
      <c r="T706" s="5">
        <f t="shared" ref="T706:T769" si="68">R706-S706</f>
        <v>1325.74941369863</v>
      </c>
      <c r="U706" s="15">
        <f t="shared" ref="U706:U769" si="69">J706-N706</f>
        <v>84</v>
      </c>
      <c r="V706" s="3">
        <f t="shared" ref="V706:V769" si="70">Q706*(L706-M706)*H706</f>
        <v>1509.759</v>
      </c>
      <c r="W706" s="3">
        <f t="shared" ref="W706:W769" si="71">RANK(V706,$V$2:$V$1501)</f>
        <v>705</v>
      </c>
    </row>
    <row r="707" spans="1:23" x14ac:dyDescent="0.2">
      <c r="A707" t="s">
        <v>477</v>
      </c>
      <c r="B707" t="s">
        <v>274</v>
      </c>
      <c r="C707" t="s">
        <v>31</v>
      </c>
      <c r="D707" t="s">
        <v>32</v>
      </c>
      <c r="E707" t="s">
        <v>25</v>
      </c>
      <c r="F707" s="7">
        <v>6247387</v>
      </c>
      <c r="G707" t="s">
        <v>1237</v>
      </c>
      <c r="H707" s="5">
        <v>98840</v>
      </c>
      <c r="I707" s="12">
        <v>46053</v>
      </c>
      <c r="J707" s="15">
        <v>60</v>
      </c>
      <c r="K707" s="15">
        <v>2</v>
      </c>
      <c r="L707" s="9">
        <v>0.12909999999999999</v>
      </c>
      <c r="M707" s="9">
        <v>5.28E-2</v>
      </c>
      <c r="N707" s="15">
        <v>7</v>
      </c>
      <c r="O707" t="s">
        <v>27</v>
      </c>
      <c r="P707" t="s">
        <v>28</v>
      </c>
      <c r="Q707" s="24">
        <v>0.2</v>
      </c>
      <c r="R707" s="5">
        <f t="shared" si="66"/>
        <v>2097.5743561643831</v>
      </c>
      <c r="S707" s="5">
        <f t="shared" si="67"/>
        <v>100.08565479452056</v>
      </c>
      <c r="T707" s="5">
        <f t="shared" si="68"/>
        <v>1997.4887013698626</v>
      </c>
      <c r="U707" s="15">
        <f t="shared" si="69"/>
        <v>53</v>
      </c>
      <c r="V707" s="3">
        <f t="shared" si="70"/>
        <v>1508.2983999999999</v>
      </c>
      <c r="W707" s="3">
        <f t="shared" si="71"/>
        <v>706</v>
      </c>
    </row>
    <row r="708" spans="1:23" x14ac:dyDescent="0.2">
      <c r="A708" t="s">
        <v>549</v>
      </c>
      <c r="B708" t="s">
        <v>161</v>
      </c>
      <c r="C708" t="s">
        <v>77</v>
      </c>
      <c r="D708" t="s">
        <v>48</v>
      </c>
      <c r="E708" t="s">
        <v>56</v>
      </c>
      <c r="F708" s="7">
        <v>15837870</v>
      </c>
      <c r="G708" t="s">
        <v>1642</v>
      </c>
      <c r="H708" s="5">
        <v>48698</v>
      </c>
      <c r="I708" s="12">
        <v>45952</v>
      </c>
      <c r="J708" s="15">
        <v>45</v>
      </c>
      <c r="K708" s="15">
        <v>7</v>
      </c>
      <c r="L708" s="9">
        <v>0.1089</v>
      </c>
      <c r="M708" s="9">
        <v>4.7E-2</v>
      </c>
      <c r="N708" s="15">
        <v>10</v>
      </c>
      <c r="O708" t="s">
        <v>27</v>
      </c>
      <c r="P708" t="s">
        <v>28</v>
      </c>
      <c r="Q708" s="24">
        <v>0.5</v>
      </c>
      <c r="R708" s="5">
        <f t="shared" si="66"/>
        <v>653.82068219178075</v>
      </c>
      <c r="S708" s="5">
        <f t="shared" si="67"/>
        <v>62.707013698630135</v>
      </c>
      <c r="T708" s="5">
        <f t="shared" si="68"/>
        <v>591.11366849315061</v>
      </c>
      <c r="U708" s="15">
        <f t="shared" si="69"/>
        <v>35</v>
      </c>
      <c r="V708" s="3">
        <f t="shared" si="70"/>
        <v>1507.2030999999999</v>
      </c>
      <c r="W708" s="3">
        <f t="shared" si="71"/>
        <v>707</v>
      </c>
    </row>
    <row r="709" spans="1:23" x14ac:dyDescent="0.2">
      <c r="A709" t="s">
        <v>149</v>
      </c>
      <c r="B709" t="s">
        <v>30</v>
      </c>
      <c r="C709" t="s">
        <v>77</v>
      </c>
      <c r="D709" t="s">
        <v>66</v>
      </c>
      <c r="E709" t="s">
        <v>25</v>
      </c>
      <c r="F709" s="7">
        <v>3553623</v>
      </c>
      <c r="G709" t="s">
        <v>526</v>
      </c>
      <c r="H709" s="5">
        <v>84105</v>
      </c>
      <c r="I709" s="12">
        <v>45724</v>
      </c>
      <c r="J709" s="15">
        <v>45</v>
      </c>
      <c r="K709" s="15">
        <v>5</v>
      </c>
      <c r="L709" s="9">
        <v>9.8199999999999996E-2</v>
      </c>
      <c r="M709" s="9">
        <v>4.7E-2</v>
      </c>
      <c r="N709" s="15">
        <v>6</v>
      </c>
      <c r="O709" t="s">
        <v>28</v>
      </c>
      <c r="P709" t="s">
        <v>28</v>
      </c>
      <c r="Q709" s="24">
        <v>0.35</v>
      </c>
      <c r="R709" s="5">
        <f t="shared" si="66"/>
        <v>1018.2465616438354</v>
      </c>
      <c r="S709" s="5">
        <f t="shared" si="67"/>
        <v>64.979753424657531</v>
      </c>
      <c r="T709" s="5">
        <f t="shared" si="68"/>
        <v>953.26680821917785</v>
      </c>
      <c r="U709" s="15">
        <f t="shared" si="69"/>
        <v>39</v>
      </c>
      <c r="V709" s="3">
        <f t="shared" si="70"/>
        <v>1507.1615999999999</v>
      </c>
      <c r="W709" s="3">
        <f t="shared" si="71"/>
        <v>708</v>
      </c>
    </row>
    <row r="710" spans="1:23" x14ac:dyDescent="0.2">
      <c r="A710" t="s">
        <v>501</v>
      </c>
      <c r="B710" t="s">
        <v>502</v>
      </c>
      <c r="C710" t="s">
        <v>23</v>
      </c>
      <c r="D710" t="s">
        <v>32</v>
      </c>
      <c r="E710" t="s">
        <v>49</v>
      </c>
      <c r="F710" s="7">
        <v>412494</v>
      </c>
      <c r="G710" t="s">
        <v>1560</v>
      </c>
      <c r="H710" s="5">
        <v>70198</v>
      </c>
      <c r="I710" s="12">
        <v>45935</v>
      </c>
      <c r="J710" s="15">
        <v>30</v>
      </c>
      <c r="K710" s="15">
        <v>3</v>
      </c>
      <c r="L710" s="9">
        <v>0.15989999999999999</v>
      </c>
      <c r="M710" s="9">
        <v>5.2600000000000001E-2</v>
      </c>
      <c r="N710" s="15">
        <v>8</v>
      </c>
      <c r="O710" t="s">
        <v>27</v>
      </c>
      <c r="P710" t="s">
        <v>28</v>
      </c>
      <c r="Q710" s="24">
        <v>0.2</v>
      </c>
      <c r="R710" s="5">
        <f t="shared" si="66"/>
        <v>922.57481095890398</v>
      </c>
      <c r="S710" s="5">
        <f t="shared" si="67"/>
        <v>80.929639452054801</v>
      </c>
      <c r="T710" s="5">
        <f t="shared" si="68"/>
        <v>841.64517150684924</v>
      </c>
      <c r="U710" s="15">
        <f t="shared" si="69"/>
        <v>22</v>
      </c>
      <c r="V710" s="3">
        <f t="shared" si="70"/>
        <v>1506.4490799999996</v>
      </c>
      <c r="W710" s="3">
        <f t="shared" si="71"/>
        <v>709</v>
      </c>
    </row>
    <row r="711" spans="1:23" x14ac:dyDescent="0.2">
      <c r="A711" t="s">
        <v>371</v>
      </c>
      <c r="B711" t="s">
        <v>372</v>
      </c>
      <c r="C711" t="s">
        <v>41</v>
      </c>
      <c r="D711" t="s">
        <v>48</v>
      </c>
      <c r="E711" t="s">
        <v>49</v>
      </c>
      <c r="F711" s="7">
        <v>1208247</v>
      </c>
      <c r="G711" t="s">
        <v>805</v>
      </c>
      <c r="H711" s="5">
        <v>29677</v>
      </c>
      <c r="I711" s="12">
        <v>45926</v>
      </c>
      <c r="J711" s="15">
        <v>60</v>
      </c>
      <c r="K711" s="15">
        <v>3</v>
      </c>
      <c r="L711" s="9">
        <v>0.1111</v>
      </c>
      <c r="M711" s="9">
        <v>5.4800000000000001E-2</v>
      </c>
      <c r="N711" s="15">
        <v>10</v>
      </c>
      <c r="O711" t="s">
        <v>28</v>
      </c>
      <c r="P711" t="s">
        <v>28</v>
      </c>
      <c r="Q711" s="24">
        <v>0.9</v>
      </c>
      <c r="R711" s="5">
        <f t="shared" si="66"/>
        <v>541.99145753424659</v>
      </c>
      <c r="S711" s="5">
        <f t="shared" si="67"/>
        <v>44.556153424657531</v>
      </c>
      <c r="T711" s="5">
        <f t="shared" si="68"/>
        <v>497.43530410958908</v>
      </c>
      <c r="U711" s="15">
        <f t="shared" si="69"/>
        <v>50</v>
      </c>
      <c r="V711" s="3">
        <f t="shared" si="70"/>
        <v>1503.7335900000003</v>
      </c>
      <c r="W711" s="3">
        <f t="shared" si="71"/>
        <v>710</v>
      </c>
    </row>
    <row r="712" spans="1:23" x14ac:dyDescent="0.2">
      <c r="A712" t="s">
        <v>186</v>
      </c>
      <c r="B712" t="s">
        <v>187</v>
      </c>
      <c r="C712" t="s">
        <v>41</v>
      </c>
      <c r="D712" t="s">
        <v>32</v>
      </c>
      <c r="E712" t="s">
        <v>25</v>
      </c>
      <c r="F712" s="7">
        <v>3649528</v>
      </c>
      <c r="G712" t="s">
        <v>1531</v>
      </c>
      <c r="H712" s="5">
        <v>20856</v>
      </c>
      <c r="I712" s="12">
        <v>45901</v>
      </c>
      <c r="J712" s="15">
        <v>30</v>
      </c>
      <c r="K712" s="15">
        <v>10</v>
      </c>
      <c r="L712" s="9">
        <v>0.1283</v>
      </c>
      <c r="M712" s="9">
        <v>4.82E-2</v>
      </c>
      <c r="N712" s="15">
        <v>5</v>
      </c>
      <c r="O712" t="s">
        <v>27</v>
      </c>
      <c r="P712" t="s">
        <v>28</v>
      </c>
      <c r="Q712" s="24">
        <v>0.9</v>
      </c>
      <c r="R712" s="5">
        <f t="shared" si="66"/>
        <v>219.93080547945203</v>
      </c>
      <c r="S712" s="5">
        <f t="shared" si="67"/>
        <v>13.770673972602738</v>
      </c>
      <c r="T712" s="5">
        <f t="shared" si="68"/>
        <v>206.1601315068493</v>
      </c>
      <c r="U712" s="15">
        <f t="shared" si="69"/>
        <v>25</v>
      </c>
      <c r="V712" s="3">
        <f t="shared" si="70"/>
        <v>1503.5090399999999</v>
      </c>
      <c r="W712" s="3">
        <f t="shared" si="71"/>
        <v>711</v>
      </c>
    </row>
    <row r="713" spans="1:23" x14ac:dyDescent="0.2">
      <c r="A713" t="s">
        <v>210</v>
      </c>
      <c r="B713" t="s">
        <v>211</v>
      </c>
      <c r="C713" t="s">
        <v>41</v>
      </c>
      <c r="D713" t="s">
        <v>32</v>
      </c>
      <c r="E713" t="s">
        <v>56</v>
      </c>
      <c r="F713" s="7">
        <v>17014146</v>
      </c>
      <c r="G713" t="s">
        <v>633</v>
      </c>
      <c r="H713" s="5">
        <v>48458</v>
      </c>
      <c r="I713" s="12">
        <v>45885</v>
      </c>
      <c r="J713" s="15">
        <v>30</v>
      </c>
      <c r="K713" s="15">
        <v>3</v>
      </c>
      <c r="L713" s="9">
        <v>0.1037</v>
      </c>
      <c r="M713" s="9">
        <v>5.6000000000000001E-2</v>
      </c>
      <c r="N713" s="15">
        <v>8</v>
      </c>
      <c r="O713" t="s">
        <v>27</v>
      </c>
      <c r="P713" t="s">
        <v>28</v>
      </c>
      <c r="Q713" s="24">
        <v>0.65</v>
      </c>
      <c r="R713" s="5">
        <f t="shared" si="66"/>
        <v>413.02147397260273</v>
      </c>
      <c r="S713" s="5">
        <f t="shared" si="67"/>
        <v>59.477216438356166</v>
      </c>
      <c r="T713" s="5">
        <f t="shared" si="68"/>
        <v>353.54425753424658</v>
      </c>
      <c r="U713" s="15">
        <f t="shared" si="69"/>
        <v>22</v>
      </c>
      <c r="V713" s="3">
        <f t="shared" si="70"/>
        <v>1502.44029</v>
      </c>
      <c r="W713" s="3">
        <f t="shared" si="71"/>
        <v>712</v>
      </c>
    </row>
    <row r="714" spans="1:23" x14ac:dyDescent="0.2">
      <c r="A714" t="s">
        <v>278</v>
      </c>
      <c r="B714" t="s">
        <v>279</v>
      </c>
      <c r="C714" t="s">
        <v>23</v>
      </c>
      <c r="D714" t="s">
        <v>37</v>
      </c>
      <c r="E714" t="s">
        <v>56</v>
      </c>
      <c r="F714" s="7">
        <v>15898738</v>
      </c>
      <c r="G714" t="s">
        <v>1314</v>
      </c>
      <c r="H714" s="5">
        <v>50456</v>
      </c>
      <c r="I714" s="12">
        <v>45968</v>
      </c>
      <c r="J714" s="15">
        <v>60</v>
      </c>
      <c r="K714" s="15">
        <v>5</v>
      </c>
      <c r="L714" s="9">
        <v>0.1071</v>
      </c>
      <c r="M714" s="9">
        <v>4.7800000000000002E-2</v>
      </c>
      <c r="N714" s="15">
        <v>8</v>
      </c>
      <c r="O714" t="s">
        <v>27</v>
      </c>
      <c r="P714" t="s">
        <v>28</v>
      </c>
      <c r="Q714" s="24">
        <v>0.5</v>
      </c>
      <c r="R714" s="5">
        <f t="shared" si="66"/>
        <v>888.30207123287664</v>
      </c>
      <c r="S714" s="5">
        <f t="shared" si="67"/>
        <v>52.861299726027397</v>
      </c>
      <c r="T714" s="5">
        <f t="shared" si="68"/>
        <v>835.44077150684927</v>
      </c>
      <c r="U714" s="15">
        <f t="shared" si="69"/>
        <v>52</v>
      </c>
      <c r="V714" s="3">
        <f t="shared" si="70"/>
        <v>1496.0203999999999</v>
      </c>
      <c r="W714" s="3">
        <f t="shared" si="71"/>
        <v>713</v>
      </c>
    </row>
    <row r="715" spans="1:23" x14ac:dyDescent="0.2">
      <c r="A715" t="s">
        <v>82</v>
      </c>
      <c r="B715" t="s">
        <v>83</v>
      </c>
      <c r="C715" t="s">
        <v>23</v>
      </c>
      <c r="D715" t="s">
        <v>66</v>
      </c>
      <c r="E715" t="s">
        <v>49</v>
      </c>
      <c r="F715" s="7">
        <v>946643</v>
      </c>
      <c r="G715" t="s">
        <v>209</v>
      </c>
      <c r="H715" s="5">
        <v>66381</v>
      </c>
      <c r="I715" s="12">
        <v>45821</v>
      </c>
      <c r="J715" s="15">
        <v>30</v>
      </c>
      <c r="K715" s="15">
        <v>7</v>
      </c>
      <c r="L715" s="9">
        <v>0.1648</v>
      </c>
      <c r="M715" s="9">
        <v>5.2499999999999998E-2</v>
      </c>
      <c r="N715" s="15">
        <v>8</v>
      </c>
      <c r="O715" t="s">
        <v>27</v>
      </c>
      <c r="P715" t="s">
        <v>28</v>
      </c>
      <c r="Q715" s="24">
        <v>0.2</v>
      </c>
      <c r="R715" s="5">
        <f t="shared" si="66"/>
        <v>899.14428493150672</v>
      </c>
      <c r="S715" s="5">
        <f t="shared" si="67"/>
        <v>76.383616438356171</v>
      </c>
      <c r="T715" s="5">
        <f t="shared" si="68"/>
        <v>822.76066849315055</v>
      </c>
      <c r="U715" s="15">
        <f t="shared" si="69"/>
        <v>22</v>
      </c>
      <c r="V715" s="3">
        <f t="shared" si="70"/>
        <v>1490.9172600000004</v>
      </c>
      <c r="W715" s="3">
        <f t="shared" si="71"/>
        <v>714</v>
      </c>
    </row>
    <row r="716" spans="1:23" x14ac:dyDescent="0.2">
      <c r="A716" t="s">
        <v>491</v>
      </c>
      <c r="B716" t="s">
        <v>131</v>
      </c>
      <c r="C716" t="s">
        <v>31</v>
      </c>
      <c r="D716" t="s">
        <v>32</v>
      </c>
      <c r="E716" t="s">
        <v>56</v>
      </c>
      <c r="F716" s="7">
        <v>21735545</v>
      </c>
      <c r="G716" t="s">
        <v>758</v>
      </c>
      <c r="H716" s="5">
        <v>95342</v>
      </c>
      <c r="I716" s="12">
        <v>45774</v>
      </c>
      <c r="J716" s="15">
        <v>90</v>
      </c>
      <c r="K716" s="15">
        <v>5</v>
      </c>
      <c r="L716" s="9">
        <v>7.4999999999999997E-2</v>
      </c>
      <c r="M716" s="9">
        <v>5.5500000000000001E-2</v>
      </c>
      <c r="N716" s="15">
        <v>10</v>
      </c>
      <c r="O716" t="s">
        <v>27</v>
      </c>
      <c r="P716" t="s">
        <v>28</v>
      </c>
      <c r="Q716" s="24">
        <v>0.8</v>
      </c>
      <c r="R716" s="5">
        <f t="shared" si="66"/>
        <v>1763.1739726027395</v>
      </c>
      <c r="S716" s="5">
        <f t="shared" si="67"/>
        <v>144.9720821917808</v>
      </c>
      <c r="T716" s="5">
        <f t="shared" si="68"/>
        <v>1618.2018904109586</v>
      </c>
      <c r="U716" s="15">
        <f t="shared" si="69"/>
        <v>80</v>
      </c>
      <c r="V716" s="3">
        <f t="shared" si="70"/>
        <v>1487.3351999999998</v>
      </c>
      <c r="W716" s="3">
        <f t="shared" si="71"/>
        <v>715</v>
      </c>
    </row>
    <row r="717" spans="1:23" x14ac:dyDescent="0.2">
      <c r="A717" t="s">
        <v>186</v>
      </c>
      <c r="B717" t="s">
        <v>187</v>
      </c>
      <c r="C717" t="s">
        <v>41</v>
      </c>
      <c r="D717" t="s">
        <v>32</v>
      </c>
      <c r="E717" t="s">
        <v>25</v>
      </c>
      <c r="F717" s="7">
        <v>3649528</v>
      </c>
      <c r="G717" t="s">
        <v>1178</v>
      </c>
      <c r="H717" s="5">
        <v>94090</v>
      </c>
      <c r="I717" s="12">
        <v>46078</v>
      </c>
      <c r="J717" s="15">
        <v>90</v>
      </c>
      <c r="K717" s="15">
        <v>4</v>
      </c>
      <c r="L717" s="9">
        <v>0.1283</v>
      </c>
      <c r="M717" s="9">
        <v>4.99E-2</v>
      </c>
      <c r="N717" s="15">
        <v>8</v>
      </c>
      <c r="O717" t="s">
        <v>28</v>
      </c>
      <c r="P717" t="s">
        <v>28</v>
      </c>
      <c r="Q717" s="24">
        <v>0.2</v>
      </c>
      <c r="R717" s="5">
        <f t="shared" si="66"/>
        <v>2976.595150684931</v>
      </c>
      <c r="S717" s="5">
        <f t="shared" si="67"/>
        <v>102.90610410958905</v>
      </c>
      <c r="T717" s="5">
        <f t="shared" si="68"/>
        <v>2873.6890465753418</v>
      </c>
      <c r="U717" s="15">
        <f t="shared" si="69"/>
        <v>82</v>
      </c>
      <c r="V717" s="3">
        <f t="shared" si="70"/>
        <v>1475.3311999999999</v>
      </c>
      <c r="W717" s="3">
        <f t="shared" si="71"/>
        <v>716</v>
      </c>
    </row>
    <row r="718" spans="1:23" x14ac:dyDescent="0.2">
      <c r="A718" t="s">
        <v>474</v>
      </c>
      <c r="B718" t="s">
        <v>207</v>
      </c>
      <c r="C718" t="s">
        <v>31</v>
      </c>
      <c r="D718" t="s">
        <v>37</v>
      </c>
      <c r="E718" t="s">
        <v>25</v>
      </c>
      <c r="F718" s="7">
        <v>4395110</v>
      </c>
      <c r="G718" t="s">
        <v>1060</v>
      </c>
      <c r="H718" s="5">
        <v>74700</v>
      </c>
      <c r="I718" s="12">
        <v>45701</v>
      </c>
      <c r="J718" s="15">
        <v>90</v>
      </c>
      <c r="K718" s="15">
        <v>3</v>
      </c>
      <c r="L718" s="9">
        <v>0.1066</v>
      </c>
      <c r="M718" s="9">
        <v>5.0200000000000002E-2</v>
      </c>
      <c r="N718" s="15">
        <v>10</v>
      </c>
      <c r="O718" t="s">
        <v>27</v>
      </c>
      <c r="P718" t="s">
        <v>28</v>
      </c>
      <c r="Q718" s="24">
        <v>0.35</v>
      </c>
      <c r="R718" s="5">
        <f t="shared" si="66"/>
        <v>1963.4843835616439</v>
      </c>
      <c r="S718" s="5">
        <f t="shared" si="67"/>
        <v>102.73808219178082</v>
      </c>
      <c r="T718" s="5">
        <f t="shared" si="68"/>
        <v>1860.746301369863</v>
      </c>
      <c r="U718" s="15">
        <f t="shared" si="69"/>
        <v>80</v>
      </c>
      <c r="V718" s="3">
        <f t="shared" si="70"/>
        <v>1474.5779999999997</v>
      </c>
      <c r="W718" s="3">
        <f t="shared" si="71"/>
        <v>717</v>
      </c>
    </row>
    <row r="719" spans="1:23" x14ac:dyDescent="0.2">
      <c r="A719" t="s">
        <v>64</v>
      </c>
      <c r="B719" t="s">
        <v>65</v>
      </c>
      <c r="C719" t="s">
        <v>36</v>
      </c>
      <c r="D719" t="s">
        <v>66</v>
      </c>
      <c r="E719" t="s">
        <v>56</v>
      </c>
      <c r="F719" s="7">
        <v>19529913</v>
      </c>
      <c r="G719" t="s">
        <v>1732</v>
      </c>
      <c r="H719" s="5">
        <v>41468</v>
      </c>
      <c r="I719" s="12">
        <v>45758</v>
      </c>
      <c r="J719" s="15">
        <v>60</v>
      </c>
      <c r="K719" s="15">
        <v>3</v>
      </c>
      <c r="L719" s="9">
        <v>8.7499999999999994E-2</v>
      </c>
      <c r="M719" s="9">
        <v>4.8000000000000001E-2</v>
      </c>
      <c r="N719" s="15">
        <v>10</v>
      </c>
      <c r="O719" t="s">
        <v>27</v>
      </c>
      <c r="P719" t="s">
        <v>28</v>
      </c>
      <c r="Q719" s="24">
        <v>0.9</v>
      </c>
      <c r="R719" s="5">
        <f t="shared" si="66"/>
        <v>596.45753424657528</v>
      </c>
      <c r="S719" s="5">
        <f t="shared" si="67"/>
        <v>54.533260273972601</v>
      </c>
      <c r="T719" s="5">
        <f t="shared" si="68"/>
        <v>541.92427397260269</v>
      </c>
      <c r="U719" s="15">
        <f t="shared" si="69"/>
        <v>50</v>
      </c>
      <c r="V719" s="3">
        <f t="shared" si="70"/>
        <v>1474.1874</v>
      </c>
      <c r="W719" s="3">
        <f t="shared" si="71"/>
        <v>718</v>
      </c>
    </row>
    <row r="720" spans="1:23" x14ac:dyDescent="0.2">
      <c r="A720" t="s">
        <v>149</v>
      </c>
      <c r="B720" t="s">
        <v>30</v>
      </c>
      <c r="C720" t="s">
        <v>77</v>
      </c>
      <c r="D720" t="s">
        <v>66</v>
      </c>
      <c r="E720" t="s">
        <v>25</v>
      </c>
      <c r="F720" s="7">
        <v>3553623</v>
      </c>
      <c r="G720" t="s">
        <v>983</v>
      </c>
      <c r="H720" s="5">
        <v>64108</v>
      </c>
      <c r="I720" s="12">
        <v>45886</v>
      </c>
      <c r="J720" s="15">
        <v>45</v>
      </c>
      <c r="K720" s="15">
        <v>5</v>
      </c>
      <c r="L720" s="9">
        <v>9.8199999999999996E-2</v>
      </c>
      <c r="M720" s="9">
        <v>5.2400000000000002E-2</v>
      </c>
      <c r="N720" s="15">
        <v>7</v>
      </c>
      <c r="O720" t="s">
        <v>28</v>
      </c>
      <c r="P720" t="s">
        <v>28</v>
      </c>
      <c r="Q720" s="24">
        <v>0.5</v>
      </c>
      <c r="R720" s="5">
        <f t="shared" si="66"/>
        <v>776.14589589041088</v>
      </c>
      <c r="S720" s="5">
        <f t="shared" si="67"/>
        <v>64.424149041095887</v>
      </c>
      <c r="T720" s="5">
        <f t="shared" si="68"/>
        <v>711.72174684931497</v>
      </c>
      <c r="U720" s="15">
        <f t="shared" si="69"/>
        <v>38</v>
      </c>
      <c r="V720" s="3">
        <f t="shared" si="70"/>
        <v>1468.0731999999998</v>
      </c>
      <c r="W720" s="3">
        <f t="shared" si="71"/>
        <v>719</v>
      </c>
    </row>
    <row r="721" spans="1:23" x14ac:dyDescent="0.2">
      <c r="A721" t="s">
        <v>293</v>
      </c>
      <c r="B721" t="s">
        <v>231</v>
      </c>
      <c r="C721" t="s">
        <v>36</v>
      </c>
      <c r="D721" t="s">
        <v>32</v>
      </c>
      <c r="E721" t="s">
        <v>25</v>
      </c>
      <c r="F721" s="7">
        <v>3723173</v>
      </c>
      <c r="G721" t="s">
        <v>1723</v>
      </c>
      <c r="H721" s="5">
        <v>87997</v>
      </c>
      <c r="I721" s="12">
        <v>46065</v>
      </c>
      <c r="J721" s="15">
        <v>60</v>
      </c>
      <c r="K721" s="15">
        <v>2</v>
      </c>
      <c r="L721" s="9">
        <v>0.1069</v>
      </c>
      <c r="M721" s="9">
        <v>5.9400000000000001E-2</v>
      </c>
      <c r="N721" s="15">
        <v>7</v>
      </c>
      <c r="O721" t="s">
        <v>27</v>
      </c>
      <c r="P721" t="s">
        <v>28</v>
      </c>
      <c r="Q721" s="24">
        <v>0.35</v>
      </c>
      <c r="R721" s="5">
        <f t="shared" si="66"/>
        <v>1546.3363232876709</v>
      </c>
      <c r="S721" s="5">
        <f t="shared" si="67"/>
        <v>100.24425369863015</v>
      </c>
      <c r="T721" s="5">
        <f t="shared" si="68"/>
        <v>1446.0920695890406</v>
      </c>
      <c r="U721" s="15">
        <f t="shared" si="69"/>
        <v>53</v>
      </c>
      <c r="V721" s="3">
        <f t="shared" si="70"/>
        <v>1462.9501249999998</v>
      </c>
      <c r="W721" s="3">
        <f t="shared" si="71"/>
        <v>720</v>
      </c>
    </row>
    <row r="722" spans="1:23" x14ac:dyDescent="0.2">
      <c r="A722" t="s">
        <v>421</v>
      </c>
      <c r="B722" t="s">
        <v>422</v>
      </c>
      <c r="C722" t="s">
        <v>41</v>
      </c>
      <c r="D722" t="s">
        <v>66</v>
      </c>
      <c r="E722" t="s">
        <v>56</v>
      </c>
      <c r="F722" s="7">
        <v>13972206</v>
      </c>
      <c r="G722" t="s">
        <v>539</v>
      </c>
      <c r="H722" s="5">
        <v>62911</v>
      </c>
      <c r="I722" s="12">
        <v>45960</v>
      </c>
      <c r="J722" s="15">
        <v>60</v>
      </c>
      <c r="K722" s="15">
        <v>3</v>
      </c>
      <c r="L722" s="9">
        <v>9.5000000000000001E-2</v>
      </c>
      <c r="M722" s="9">
        <v>4.8500000000000001E-2</v>
      </c>
      <c r="N722" s="15">
        <v>10</v>
      </c>
      <c r="O722" t="s">
        <v>27</v>
      </c>
      <c r="P722" t="s">
        <v>28</v>
      </c>
      <c r="Q722" s="24">
        <v>0.5</v>
      </c>
      <c r="R722" s="5">
        <f t="shared" si="66"/>
        <v>982.44575342465748</v>
      </c>
      <c r="S722" s="5">
        <f t="shared" si="67"/>
        <v>83.594068493150687</v>
      </c>
      <c r="T722" s="5">
        <f t="shared" si="68"/>
        <v>898.85168493150684</v>
      </c>
      <c r="U722" s="15">
        <f t="shared" si="69"/>
        <v>50</v>
      </c>
      <c r="V722" s="3">
        <f t="shared" si="70"/>
        <v>1462.68075</v>
      </c>
      <c r="W722" s="3">
        <f t="shared" si="71"/>
        <v>721</v>
      </c>
    </row>
    <row r="723" spans="1:23" x14ac:dyDescent="0.2">
      <c r="A723" t="s">
        <v>64</v>
      </c>
      <c r="B723" t="s">
        <v>65</v>
      </c>
      <c r="C723" t="s">
        <v>36</v>
      </c>
      <c r="D723" t="s">
        <v>66</v>
      </c>
      <c r="E723" t="s">
        <v>56</v>
      </c>
      <c r="F723" s="7">
        <v>19529913</v>
      </c>
      <c r="G723" t="s">
        <v>389</v>
      </c>
      <c r="H723" s="5">
        <v>92980</v>
      </c>
      <c r="I723" s="12">
        <v>45664</v>
      </c>
      <c r="J723" s="15">
        <v>60</v>
      </c>
      <c r="K723" s="15">
        <v>7</v>
      </c>
      <c r="L723" s="9">
        <v>8.7499999999999994E-2</v>
      </c>
      <c r="M723" s="9">
        <v>6.3299999999999995E-2</v>
      </c>
      <c r="N723" s="15">
        <v>8</v>
      </c>
      <c r="O723" t="s">
        <v>28</v>
      </c>
      <c r="P723" t="s">
        <v>28</v>
      </c>
      <c r="Q723" s="24">
        <v>0.65</v>
      </c>
      <c r="R723" s="5">
        <f t="shared" si="66"/>
        <v>1337.3835616438355</v>
      </c>
      <c r="S723" s="5">
        <f t="shared" si="67"/>
        <v>129.00019726027395</v>
      </c>
      <c r="T723" s="5">
        <f t="shared" si="68"/>
        <v>1208.3833643835615</v>
      </c>
      <c r="U723" s="15">
        <f t="shared" si="69"/>
        <v>52</v>
      </c>
      <c r="V723" s="3">
        <f t="shared" si="70"/>
        <v>1462.5754000000002</v>
      </c>
      <c r="W723" s="3">
        <f t="shared" si="71"/>
        <v>722</v>
      </c>
    </row>
    <row r="724" spans="1:23" x14ac:dyDescent="0.2">
      <c r="A724" t="s">
        <v>271</v>
      </c>
      <c r="B724" t="s">
        <v>128</v>
      </c>
      <c r="C724" t="s">
        <v>36</v>
      </c>
      <c r="D724" t="s">
        <v>37</v>
      </c>
      <c r="E724" t="s">
        <v>49</v>
      </c>
      <c r="F724" s="7">
        <v>879139</v>
      </c>
      <c r="G724" t="s">
        <v>744</v>
      </c>
      <c r="H724" s="5">
        <v>33409</v>
      </c>
      <c r="I724" s="12">
        <v>45842</v>
      </c>
      <c r="J724" s="15">
        <v>30</v>
      </c>
      <c r="K724" s="15">
        <v>4</v>
      </c>
      <c r="L724" s="9">
        <v>0.14199999999999999</v>
      </c>
      <c r="M724" s="9">
        <v>5.45E-2</v>
      </c>
      <c r="N724" s="15">
        <v>5</v>
      </c>
      <c r="O724" t="s">
        <v>27</v>
      </c>
      <c r="P724" t="s">
        <v>28</v>
      </c>
      <c r="Q724" s="24">
        <v>0.5</v>
      </c>
      <c r="R724" s="5">
        <f t="shared" si="66"/>
        <v>389.92421917808213</v>
      </c>
      <c r="S724" s="5">
        <f t="shared" si="67"/>
        <v>24.942335616438356</v>
      </c>
      <c r="T724" s="5">
        <f t="shared" si="68"/>
        <v>364.98188356164377</v>
      </c>
      <c r="U724" s="15">
        <f t="shared" si="69"/>
        <v>25</v>
      </c>
      <c r="V724" s="3">
        <f t="shared" si="70"/>
        <v>1461.64375</v>
      </c>
      <c r="W724" s="3">
        <f t="shared" si="71"/>
        <v>723</v>
      </c>
    </row>
    <row r="725" spans="1:23" x14ac:dyDescent="0.2">
      <c r="A725" t="s">
        <v>130</v>
      </c>
      <c r="B725" t="s">
        <v>131</v>
      </c>
      <c r="C725" t="s">
        <v>36</v>
      </c>
      <c r="D725" t="s">
        <v>48</v>
      </c>
      <c r="E725" t="s">
        <v>56</v>
      </c>
      <c r="F725" s="7">
        <v>10372464</v>
      </c>
      <c r="G725" t="s">
        <v>348</v>
      </c>
      <c r="H725" s="5">
        <v>96085</v>
      </c>
      <c r="I725" s="12">
        <v>45850</v>
      </c>
      <c r="J725" s="15">
        <v>90</v>
      </c>
      <c r="K725" s="15">
        <v>10</v>
      </c>
      <c r="L725" s="9">
        <v>8.77E-2</v>
      </c>
      <c r="M725" s="9">
        <v>6.4299999999999996E-2</v>
      </c>
      <c r="N725" s="15">
        <v>7</v>
      </c>
      <c r="O725" t="s">
        <v>27</v>
      </c>
      <c r="P725" t="s">
        <v>28</v>
      </c>
      <c r="Q725" s="24">
        <v>0.65</v>
      </c>
      <c r="R725" s="5">
        <f t="shared" si="66"/>
        <v>2077.8052191780821</v>
      </c>
      <c r="S725" s="5">
        <f t="shared" si="67"/>
        <v>118.48728356164384</v>
      </c>
      <c r="T725" s="5">
        <f t="shared" si="68"/>
        <v>1959.3179356164383</v>
      </c>
      <c r="U725" s="15">
        <f t="shared" si="69"/>
        <v>83</v>
      </c>
      <c r="V725" s="3">
        <f t="shared" si="70"/>
        <v>1461.4528500000004</v>
      </c>
      <c r="W725" s="3">
        <f t="shared" si="71"/>
        <v>724</v>
      </c>
    </row>
    <row r="726" spans="1:23" x14ac:dyDescent="0.2">
      <c r="A726" t="s">
        <v>186</v>
      </c>
      <c r="B726" t="s">
        <v>187</v>
      </c>
      <c r="C726" t="s">
        <v>41</v>
      </c>
      <c r="D726" t="s">
        <v>32</v>
      </c>
      <c r="E726" t="s">
        <v>25</v>
      </c>
      <c r="F726" s="7">
        <v>3649528</v>
      </c>
      <c r="G726" t="s">
        <v>188</v>
      </c>
      <c r="H726" s="5">
        <v>28750</v>
      </c>
      <c r="I726" s="12">
        <v>45843</v>
      </c>
      <c r="J726" s="15">
        <v>60</v>
      </c>
      <c r="K726" s="15">
        <v>10</v>
      </c>
      <c r="L726" s="9">
        <v>0.1283</v>
      </c>
      <c r="M726" s="9">
        <v>6.4899999999999999E-2</v>
      </c>
      <c r="N726" s="15">
        <v>10</v>
      </c>
      <c r="O726" t="s">
        <v>28</v>
      </c>
      <c r="P726" t="s">
        <v>28</v>
      </c>
      <c r="Q726" s="24">
        <v>0.8</v>
      </c>
      <c r="R726" s="5">
        <f t="shared" si="66"/>
        <v>606.34931506849307</v>
      </c>
      <c r="S726" s="5">
        <f t="shared" si="67"/>
        <v>51.119863013698627</v>
      </c>
      <c r="T726" s="5">
        <f t="shared" si="68"/>
        <v>555.22945205479448</v>
      </c>
      <c r="U726" s="15">
        <f t="shared" si="69"/>
        <v>50</v>
      </c>
      <c r="V726" s="3">
        <f t="shared" si="70"/>
        <v>1458.2</v>
      </c>
      <c r="W726" s="3">
        <f t="shared" si="71"/>
        <v>725</v>
      </c>
    </row>
    <row r="727" spans="1:23" x14ac:dyDescent="0.2">
      <c r="A727" t="s">
        <v>120</v>
      </c>
      <c r="B727" t="s">
        <v>121</v>
      </c>
      <c r="C727" t="s">
        <v>31</v>
      </c>
      <c r="D727" t="s">
        <v>48</v>
      </c>
      <c r="E727" t="s">
        <v>56</v>
      </c>
      <c r="F727" s="7">
        <v>14943587</v>
      </c>
      <c r="G727" t="s">
        <v>916</v>
      </c>
      <c r="H727" s="5">
        <v>27963</v>
      </c>
      <c r="I727" s="12">
        <v>45947</v>
      </c>
      <c r="J727" s="15">
        <v>60</v>
      </c>
      <c r="K727" s="15">
        <v>2</v>
      </c>
      <c r="L727" s="9">
        <v>0.1046</v>
      </c>
      <c r="M727" s="9">
        <v>4.6699999999999998E-2</v>
      </c>
      <c r="N727" s="15">
        <v>10</v>
      </c>
      <c r="O727" t="s">
        <v>28</v>
      </c>
      <c r="P727" t="s">
        <v>28</v>
      </c>
      <c r="Q727" s="24">
        <v>0.9</v>
      </c>
      <c r="R727" s="5">
        <f t="shared" si="66"/>
        <v>480.81037808219173</v>
      </c>
      <c r="S727" s="5">
        <f t="shared" si="67"/>
        <v>35.777317808219181</v>
      </c>
      <c r="T727" s="5">
        <f t="shared" si="68"/>
        <v>445.03306027397252</v>
      </c>
      <c r="U727" s="15">
        <f t="shared" si="69"/>
        <v>50</v>
      </c>
      <c r="V727" s="3">
        <f t="shared" si="70"/>
        <v>1457.15193</v>
      </c>
      <c r="W727" s="3">
        <f t="shared" si="71"/>
        <v>726</v>
      </c>
    </row>
    <row r="728" spans="1:23" x14ac:dyDescent="0.2">
      <c r="A728" t="s">
        <v>177</v>
      </c>
      <c r="B728" t="s">
        <v>121</v>
      </c>
      <c r="C728" t="s">
        <v>36</v>
      </c>
      <c r="D728" t="s">
        <v>32</v>
      </c>
      <c r="E728" t="s">
        <v>25</v>
      </c>
      <c r="F728" s="7">
        <v>3292658</v>
      </c>
      <c r="G728" t="s">
        <v>1046</v>
      </c>
      <c r="H728" s="5">
        <v>63111</v>
      </c>
      <c r="I728" s="12">
        <v>45798</v>
      </c>
      <c r="J728" s="15">
        <v>60</v>
      </c>
      <c r="K728" s="15">
        <v>10</v>
      </c>
      <c r="L728" s="9">
        <v>0.11559999999999999</v>
      </c>
      <c r="M728" s="9">
        <v>4.9700000000000001E-2</v>
      </c>
      <c r="N728" s="15">
        <v>8</v>
      </c>
      <c r="O728" t="s">
        <v>28</v>
      </c>
      <c r="P728" t="s">
        <v>28</v>
      </c>
      <c r="Q728" s="24">
        <v>0.35</v>
      </c>
      <c r="R728" s="5">
        <f t="shared" si="66"/>
        <v>1199.281906849315</v>
      </c>
      <c r="S728" s="5">
        <f t="shared" si="67"/>
        <v>68.747763287671233</v>
      </c>
      <c r="T728" s="5">
        <f t="shared" si="68"/>
        <v>1130.5341435616438</v>
      </c>
      <c r="U728" s="15">
        <f t="shared" si="69"/>
        <v>52</v>
      </c>
      <c r="V728" s="3">
        <f t="shared" si="70"/>
        <v>1455.6552149999998</v>
      </c>
      <c r="W728" s="3">
        <f t="shared" si="71"/>
        <v>727</v>
      </c>
    </row>
    <row r="729" spans="1:23" x14ac:dyDescent="0.2">
      <c r="A729" t="s">
        <v>97</v>
      </c>
      <c r="B729" t="s">
        <v>98</v>
      </c>
      <c r="C729" t="s">
        <v>41</v>
      </c>
      <c r="D729" t="s">
        <v>32</v>
      </c>
      <c r="E729" t="s">
        <v>56</v>
      </c>
      <c r="F729" s="7">
        <v>19754920</v>
      </c>
      <c r="G729" t="s">
        <v>99</v>
      </c>
      <c r="H729" s="5">
        <v>59453</v>
      </c>
      <c r="I729" s="12">
        <v>45924</v>
      </c>
      <c r="J729" s="15">
        <v>60</v>
      </c>
      <c r="K729" s="15">
        <v>2</v>
      </c>
      <c r="L729" s="9">
        <v>8.1100000000000005E-2</v>
      </c>
      <c r="M729" s="9">
        <v>5.3999999999999999E-2</v>
      </c>
      <c r="N729" s="15">
        <v>6</v>
      </c>
      <c r="O729" t="s">
        <v>27</v>
      </c>
      <c r="P729" t="s">
        <v>28</v>
      </c>
      <c r="Q729" s="24">
        <v>0.9</v>
      </c>
      <c r="R729" s="5">
        <f t="shared" si="66"/>
        <v>792.59807671232886</v>
      </c>
      <c r="S729" s="5">
        <f t="shared" si="67"/>
        <v>52.774717808219172</v>
      </c>
      <c r="T729" s="5">
        <f t="shared" si="68"/>
        <v>739.82335890410968</v>
      </c>
      <c r="U729" s="15">
        <f t="shared" si="69"/>
        <v>54</v>
      </c>
      <c r="V729" s="3">
        <f t="shared" si="70"/>
        <v>1450.0586700000003</v>
      </c>
      <c r="W729" s="3">
        <f t="shared" si="71"/>
        <v>728</v>
      </c>
    </row>
    <row r="730" spans="1:23" x14ac:dyDescent="0.2">
      <c r="A730" t="s">
        <v>289</v>
      </c>
      <c r="B730" t="s">
        <v>204</v>
      </c>
      <c r="C730" t="s">
        <v>31</v>
      </c>
      <c r="D730" t="s">
        <v>32</v>
      </c>
      <c r="E730" t="s">
        <v>49</v>
      </c>
      <c r="F730" s="7">
        <v>782629</v>
      </c>
      <c r="G730" t="s">
        <v>459</v>
      </c>
      <c r="H730" s="5">
        <v>78952</v>
      </c>
      <c r="I730" s="12">
        <v>46047</v>
      </c>
      <c r="J730" s="15">
        <v>45</v>
      </c>
      <c r="K730" s="15">
        <v>2</v>
      </c>
      <c r="L730" s="9">
        <v>0.14219999999999999</v>
      </c>
      <c r="M730" s="9">
        <v>5.04E-2</v>
      </c>
      <c r="N730" s="15">
        <v>10</v>
      </c>
      <c r="O730" t="s">
        <v>27</v>
      </c>
      <c r="P730" t="s">
        <v>28</v>
      </c>
      <c r="Q730" s="24">
        <v>0.2</v>
      </c>
      <c r="R730" s="5">
        <f t="shared" si="66"/>
        <v>1384.147528767123</v>
      </c>
      <c r="S730" s="5">
        <f t="shared" si="67"/>
        <v>109.01865205479452</v>
      </c>
      <c r="T730" s="5">
        <f t="shared" si="68"/>
        <v>1275.1288767123285</v>
      </c>
      <c r="U730" s="15">
        <f t="shared" si="69"/>
        <v>35</v>
      </c>
      <c r="V730" s="3">
        <f t="shared" si="70"/>
        <v>1449.5587199999998</v>
      </c>
      <c r="W730" s="3">
        <f t="shared" si="71"/>
        <v>729</v>
      </c>
    </row>
    <row r="731" spans="1:23" x14ac:dyDescent="0.2">
      <c r="A731" t="s">
        <v>183</v>
      </c>
      <c r="B731" t="s">
        <v>184</v>
      </c>
      <c r="C731" t="s">
        <v>77</v>
      </c>
      <c r="D731" t="s">
        <v>32</v>
      </c>
      <c r="E731" t="s">
        <v>25</v>
      </c>
      <c r="F731" s="7">
        <v>6014522</v>
      </c>
      <c r="G731" t="s">
        <v>922</v>
      </c>
      <c r="H731" s="5">
        <v>86887</v>
      </c>
      <c r="I731" s="12">
        <v>45998</v>
      </c>
      <c r="J731" s="15">
        <v>60</v>
      </c>
      <c r="K731" s="15">
        <v>5</v>
      </c>
      <c r="L731" s="9">
        <v>0.12870000000000001</v>
      </c>
      <c r="M731" s="9">
        <v>4.5400000000000003E-2</v>
      </c>
      <c r="N731" s="15">
        <v>8</v>
      </c>
      <c r="O731" t="s">
        <v>28</v>
      </c>
      <c r="P731" t="s">
        <v>28</v>
      </c>
      <c r="Q731" s="24">
        <v>0.2</v>
      </c>
      <c r="R731" s="5">
        <f t="shared" si="66"/>
        <v>1838.1956547945206</v>
      </c>
      <c r="S731" s="5">
        <f t="shared" si="67"/>
        <v>86.458516164383568</v>
      </c>
      <c r="T731" s="5">
        <f t="shared" si="68"/>
        <v>1751.737138630137</v>
      </c>
      <c r="U731" s="15">
        <f t="shared" si="69"/>
        <v>52</v>
      </c>
      <c r="V731" s="3">
        <f t="shared" si="70"/>
        <v>1447.5374200000003</v>
      </c>
      <c r="W731" s="3">
        <f t="shared" si="71"/>
        <v>730</v>
      </c>
    </row>
    <row r="732" spans="1:23" x14ac:dyDescent="0.2">
      <c r="A732" t="s">
        <v>468</v>
      </c>
      <c r="B732" t="s">
        <v>412</v>
      </c>
      <c r="C732" t="s">
        <v>41</v>
      </c>
      <c r="D732" t="s">
        <v>48</v>
      </c>
      <c r="E732" t="s">
        <v>49</v>
      </c>
      <c r="F732" s="7">
        <v>1406086</v>
      </c>
      <c r="G732" t="s">
        <v>703</v>
      </c>
      <c r="H732" s="5">
        <v>35255</v>
      </c>
      <c r="I732" s="12">
        <v>45995</v>
      </c>
      <c r="J732" s="15">
        <v>60</v>
      </c>
      <c r="K732" s="15">
        <v>7</v>
      </c>
      <c r="L732" s="9">
        <v>0.1201</v>
      </c>
      <c r="M732" s="9">
        <v>5.7000000000000002E-2</v>
      </c>
      <c r="N732" s="15">
        <v>10</v>
      </c>
      <c r="O732" t="s">
        <v>27</v>
      </c>
      <c r="P732" t="s">
        <v>28</v>
      </c>
      <c r="Q732" s="24">
        <v>0.65</v>
      </c>
      <c r="R732" s="5">
        <f t="shared" si="66"/>
        <v>696.02063013698626</v>
      </c>
      <c r="S732" s="5">
        <f t="shared" si="67"/>
        <v>55.055753424657532</v>
      </c>
      <c r="T732" s="5">
        <f t="shared" si="68"/>
        <v>640.96487671232876</v>
      </c>
      <c r="U732" s="15">
        <f t="shared" si="69"/>
        <v>50</v>
      </c>
      <c r="V732" s="3">
        <f t="shared" si="70"/>
        <v>1445.9838249999998</v>
      </c>
      <c r="W732" s="3">
        <f t="shared" si="71"/>
        <v>731</v>
      </c>
    </row>
    <row r="733" spans="1:23" x14ac:dyDescent="0.2">
      <c r="A733" t="s">
        <v>474</v>
      </c>
      <c r="B733" t="s">
        <v>207</v>
      </c>
      <c r="C733" t="s">
        <v>31</v>
      </c>
      <c r="D733" t="s">
        <v>37</v>
      </c>
      <c r="E733" t="s">
        <v>25</v>
      </c>
      <c r="F733" s="7">
        <v>4395110</v>
      </c>
      <c r="G733" t="s">
        <v>1627</v>
      </c>
      <c r="H733" s="5">
        <v>52712</v>
      </c>
      <c r="I733" s="12">
        <v>45961</v>
      </c>
      <c r="J733" s="15">
        <v>60</v>
      </c>
      <c r="K733" s="15">
        <v>10</v>
      </c>
      <c r="L733" s="9">
        <v>0.1066</v>
      </c>
      <c r="M733" s="9">
        <v>6.4500000000000002E-2</v>
      </c>
      <c r="N733" s="15">
        <v>5</v>
      </c>
      <c r="O733" t="s">
        <v>27</v>
      </c>
      <c r="P733" t="s">
        <v>28</v>
      </c>
      <c r="Q733" s="24">
        <v>0.65</v>
      </c>
      <c r="R733" s="5">
        <f t="shared" si="66"/>
        <v>923.68753972602724</v>
      </c>
      <c r="S733" s="5">
        <f t="shared" si="67"/>
        <v>46.574301369863008</v>
      </c>
      <c r="T733" s="5">
        <f t="shared" si="68"/>
        <v>877.11323835616417</v>
      </c>
      <c r="U733" s="15">
        <f t="shared" si="69"/>
        <v>55</v>
      </c>
      <c r="V733" s="3">
        <f t="shared" si="70"/>
        <v>1442.46388</v>
      </c>
      <c r="W733" s="3">
        <f t="shared" si="71"/>
        <v>732</v>
      </c>
    </row>
    <row r="734" spans="1:23" x14ac:dyDescent="0.2">
      <c r="A734" t="s">
        <v>193</v>
      </c>
      <c r="B734" t="s">
        <v>194</v>
      </c>
      <c r="C734" t="s">
        <v>31</v>
      </c>
      <c r="D734" t="s">
        <v>66</v>
      </c>
      <c r="E734" t="s">
        <v>49</v>
      </c>
      <c r="F734" s="7">
        <v>764840</v>
      </c>
      <c r="G734" t="s">
        <v>564</v>
      </c>
      <c r="H734" s="5">
        <v>20079</v>
      </c>
      <c r="I734" s="12">
        <v>46045</v>
      </c>
      <c r="J734" s="15">
        <v>45</v>
      </c>
      <c r="K734" s="15">
        <v>10</v>
      </c>
      <c r="L734" s="9">
        <v>0.16819999999999999</v>
      </c>
      <c r="M734" s="9">
        <v>5.8299999999999998E-2</v>
      </c>
      <c r="N734" s="15">
        <v>5</v>
      </c>
      <c r="O734" t="s">
        <v>27</v>
      </c>
      <c r="P734" t="s">
        <v>28</v>
      </c>
      <c r="Q734" s="24">
        <v>0.65</v>
      </c>
      <c r="R734" s="5">
        <f t="shared" si="66"/>
        <v>416.37794794520539</v>
      </c>
      <c r="S734" s="5">
        <f t="shared" si="67"/>
        <v>16.035694520547942</v>
      </c>
      <c r="T734" s="5">
        <f t="shared" si="68"/>
        <v>400.34225342465743</v>
      </c>
      <c r="U734" s="15">
        <f t="shared" si="69"/>
        <v>40</v>
      </c>
      <c r="V734" s="3">
        <f t="shared" si="70"/>
        <v>1434.3433649999999</v>
      </c>
      <c r="W734" s="3">
        <f t="shared" si="71"/>
        <v>733</v>
      </c>
    </row>
    <row r="735" spans="1:23" x14ac:dyDescent="0.2">
      <c r="A735" t="s">
        <v>468</v>
      </c>
      <c r="B735" t="s">
        <v>412</v>
      </c>
      <c r="C735" t="s">
        <v>41</v>
      </c>
      <c r="D735" t="s">
        <v>48</v>
      </c>
      <c r="E735" t="s">
        <v>49</v>
      </c>
      <c r="F735" s="7">
        <v>1406086</v>
      </c>
      <c r="G735" t="s">
        <v>544</v>
      </c>
      <c r="H735" s="5">
        <v>60967</v>
      </c>
      <c r="I735" s="12">
        <v>46032</v>
      </c>
      <c r="J735" s="15">
        <v>60</v>
      </c>
      <c r="K735" s="15">
        <v>10</v>
      </c>
      <c r="L735" s="9">
        <v>0.1201</v>
      </c>
      <c r="M735" s="9">
        <v>5.2900000000000003E-2</v>
      </c>
      <c r="N735" s="15">
        <v>5</v>
      </c>
      <c r="O735" t="s">
        <v>27</v>
      </c>
      <c r="P735" t="s">
        <v>28</v>
      </c>
      <c r="Q735" s="24">
        <v>0.35</v>
      </c>
      <c r="R735" s="5">
        <f t="shared" si="66"/>
        <v>1203.6389095890411</v>
      </c>
      <c r="S735" s="5">
        <f t="shared" si="67"/>
        <v>44.180195890410957</v>
      </c>
      <c r="T735" s="5">
        <f t="shared" si="68"/>
        <v>1159.4587136986302</v>
      </c>
      <c r="U735" s="15">
        <f t="shared" si="69"/>
        <v>55</v>
      </c>
      <c r="V735" s="3">
        <f t="shared" si="70"/>
        <v>1433.9438399999997</v>
      </c>
      <c r="W735" s="3">
        <f t="shared" si="71"/>
        <v>734</v>
      </c>
    </row>
    <row r="736" spans="1:23" x14ac:dyDescent="0.2">
      <c r="A736" t="s">
        <v>166</v>
      </c>
      <c r="B736" t="s">
        <v>167</v>
      </c>
      <c r="C736" t="s">
        <v>41</v>
      </c>
      <c r="D736" t="s">
        <v>24</v>
      </c>
      <c r="E736" t="s">
        <v>25</v>
      </c>
      <c r="F736" s="7">
        <v>6222733</v>
      </c>
      <c r="G736" t="s">
        <v>1726</v>
      </c>
      <c r="H736" s="5">
        <v>30352</v>
      </c>
      <c r="I736" s="12">
        <v>46024</v>
      </c>
      <c r="J736" s="15">
        <v>45</v>
      </c>
      <c r="K736" s="15">
        <v>4</v>
      </c>
      <c r="L736" s="9">
        <v>0.13980000000000001</v>
      </c>
      <c r="M736" s="9">
        <v>4.5499999999999999E-2</v>
      </c>
      <c r="N736" s="15">
        <v>7</v>
      </c>
      <c r="O736" t="s">
        <v>27</v>
      </c>
      <c r="P736" t="s">
        <v>28</v>
      </c>
      <c r="Q736" s="24">
        <v>0.5</v>
      </c>
      <c r="R736" s="5">
        <f t="shared" si="66"/>
        <v>523.13543013698632</v>
      </c>
      <c r="S736" s="5">
        <f t="shared" si="67"/>
        <v>26.485238356164388</v>
      </c>
      <c r="T736" s="5">
        <f t="shared" si="68"/>
        <v>496.65019178082196</v>
      </c>
      <c r="U736" s="15">
        <f t="shared" si="69"/>
        <v>38</v>
      </c>
      <c r="V736" s="3">
        <f t="shared" si="70"/>
        <v>1431.0968</v>
      </c>
      <c r="W736" s="3">
        <f t="shared" si="71"/>
        <v>735</v>
      </c>
    </row>
    <row r="737" spans="1:23" x14ac:dyDescent="0.2">
      <c r="A737" t="s">
        <v>580</v>
      </c>
      <c r="B737" t="s">
        <v>76</v>
      </c>
      <c r="C737" t="s">
        <v>77</v>
      </c>
      <c r="D737" t="s">
        <v>66</v>
      </c>
      <c r="E737" t="s">
        <v>49</v>
      </c>
      <c r="F737" s="7">
        <v>959016</v>
      </c>
      <c r="G737" t="s">
        <v>1348</v>
      </c>
      <c r="H737" s="5">
        <v>44698</v>
      </c>
      <c r="I737" s="12">
        <v>46019</v>
      </c>
      <c r="J737" s="15">
        <v>45</v>
      </c>
      <c r="K737" s="15">
        <v>2</v>
      </c>
      <c r="L737" s="9">
        <v>0.1115</v>
      </c>
      <c r="M737" s="9">
        <v>6.2300000000000001E-2</v>
      </c>
      <c r="N737" s="15">
        <v>6</v>
      </c>
      <c r="O737" t="s">
        <v>27</v>
      </c>
      <c r="P737" t="s">
        <v>28</v>
      </c>
      <c r="Q737" s="24">
        <v>0.65</v>
      </c>
      <c r="R737" s="5">
        <f t="shared" si="66"/>
        <v>614.44442465753423</v>
      </c>
      <c r="S737" s="5">
        <f t="shared" si="67"/>
        <v>45.775650410958896</v>
      </c>
      <c r="T737" s="5">
        <f t="shared" si="68"/>
        <v>568.66877424657537</v>
      </c>
      <c r="U737" s="15">
        <f t="shared" si="69"/>
        <v>39</v>
      </c>
      <c r="V737" s="3">
        <f t="shared" si="70"/>
        <v>1429.4420400000001</v>
      </c>
      <c r="W737" s="3">
        <f t="shared" si="71"/>
        <v>736</v>
      </c>
    </row>
    <row r="738" spans="1:23" x14ac:dyDescent="0.2">
      <c r="A738" t="s">
        <v>559</v>
      </c>
      <c r="B738" t="s">
        <v>560</v>
      </c>
      <c r="C738" t="s">
        <v>41</v>
      </c>
      <c r="D738" t="s">
        <v>32</v>
      </c>
      <c r="E738" t="s">
        <v>25</v>
      </c>
      <c r="F738" s="7">
        <v>5681664</v>
      </c>
      <c r="G738" t="s">
        <v>561</v>
      </c>
      <c r="H738" s="5">
        <v>98772</v>
      </c>
      <c r="I738" s="12">
        <v>45900</v>
      </c>
      <c r="J738" s="15">
        <v>60</v>
      </c>
      <c r="K738" s="15">
        <v>5</v>
      </c>
      <c r="L738" s="9">
        <v>0.12130000000000001</v>
      </c>
      <c r="M738" s="9">
        <v>4.9000000000000002E-2</v>
      </c>
      <c r="N738" s="15">
        <v>5</v>
      </c>
      <c r="O738" t="s">
        <v>28</v>
      </c>
      <c r="P738" t="s">
        <v>28</v>
      </c>
      <c r="Q738" s="24">
        <v>0.2</v>
      </c>
      <c r="R738" s="5">
        <f t="shared" si="66"/>
        <v>1969.4866191780823</v>
      </c>
      <c r="S738" s="5">
        <f t="shared" si="67"/>
        <v>66.299013698630134</v>
      </c>
      <c r="T738" s="5">
        <f t="shared" si="68"/>
        <v>1903.187605479452</v>
      </c>
      <c r="U738" s="15">
        <f t="shared" si="69"/>
        <v>55</v>
      </c>
      <c r="V738" s="3">
        <f t="shared" si="70"/>
        <v>1428.2431200000001</v>
      </c>
      <c r="W738" s="3">
        <f t="shared" si="71"/>
        <v>737</v>
      </c>
    </row>
    <row r="739" spans="1:23" x14ac:dyDescent="0.2">
      <c r="A739" t="s">
        <v>34</v>
      </c>
      <c r="B739" t="s">
        <v>35</v>
      </c>
      <c r="C739" t="s">
        <v>36</v>
      </c>
      <c r="D739" t="s">
        <v>37</v>
      </c>
      <c r="E739" t="s">
        <v>25</v>
      </c>
      <c r="F739" s="7">
        <v>3714458</v>
      </c>
      <c r="G739" t="s">
        <v>796</v>
      </c>
      <c r="H739" s="5">
        <v>48170</v>
      </c>
      <c r="I739" s="12">
        <v>45737</v>
      </c>
      <c r="J739" s="15">
        <v>90</v>
      </c>
      <c r="K739" s="15">
        <v>7</v>
      </c>
      <c r="L739" s="9">
        <v>0.1153</v>
      </c>
      <c r="M739" s="9">
        <v>5.6099999999999997E-2</v>
      </c>
      <c r="N739" s="15">
        <v>10</v>
      </c>
      <c r="O739" t="s">
        <v>28</v>
      </c>
      <c r="P739" t="s">
        <v>28</v>
      </c>
      <c r="Q739" s="24">
        <v>0.5</v>
      </c>
      <c r="R739" s="5">
        <f t="shared" si="66"/>
        <v>1369.4796986301369</v>
      </c>
      <c r="S739" s="5">
        <f t="shared" si="67"/>
        <v>74.036630136986304</v>
      </c>
      <c r="T739" s="5">
        <f t="shared" si="68"/>
        <v>1295.4430684931506</v>
      </c>
      <c r="U739" s="15">
        <f t="shared" si="69"/>
        <v>80</v>
      </c>
      <c r="V739" s="3">
        <f t="shared" si="70"/>
        <v>1425.8320000000001</v>
      </c>
      <c r="W739" s="3">
        <f t="shared" si="71"/>
        <v>738</v>
      </c>
    </row>
    <row r="740" spans="1:23" x14ac:dyDescent="0.2">
      <c r="A740" t="s">
        <v>169</v>
      </c>
      <c r="B740" t="s">
        <v>170</v>
      </c>
      <c r="C740" t="s">
        <v>31</v>
      </c>
      <c r="D740" t="s">
        <v>37</v>
      </c>
      <c r="E740" t="s">
        <v>25</v>
      </c>
      <c r="F740" s="7">
        <v>4193232</v>
      </c>
      <c r="G740" t="s">
        <v>1417</v>
      </c>
      <c r="H740" s="5">
        <v>28906</v>
      </c>
      <c r="I740" s="12">
        <v>45888</v>
      </c>
      <c r="J740" s="15">
        <v>60</v>
      </c>
      <c r="K740" s="15">
        <v>7</v>
      </c>
      <c r="L740" s="9">
        <v>0.1235</v>
      </c>
      <c r="M740" s="9">
        <v>6.1899999999999997E-2</v>
      </c>
      <c r="N740" s="15">
        <v>7</v>
      </c>
      <c r="O740" t="s">
        <v>27</v>
      </c>
      <c r="P740" t="s">
        <v>28</v>
      </c>
      <c r="Q740" s="24">
        <v>0.8</v>
      </c>
      <c r="R740" s="5">
        <f t="shared" si="66"/>
        <v>586.831397260274</v>
      </c>
      <c r="S740" s="5">
        <f t="shared" si="67"/>
        <v>34.314985753424658</v>
      </c>
      <c r="T740" s="5">
        <f t="shared" si="68"/>
        <v>552.51641150684929</v>
      </c>
      <c r="U740" s="15">
        <f t="shared" si="69"/>
        <v>53</v>
      </c>
      <c r="V740" s="3">
        <f t="shared" si="70"/>
        <v>1424.4876800000002</v>
      </c>
      <c r="W740" s="3">
        <f t="shared" si="71"/>
        <v>739</v>
      </c>
    </row>
    <row r="741" spans="1:23" x14ac:dyDescent="0.2">
      <c r="A741" t="s">
        <v>88</v>
      </c>
      <c r="B741" t="s">
        <v>89</v>
      </c>
      <c r="C741" t="s">
        <v>23</v>
      </c>
      <c r="D741" t="s">
        <v>66</v>
      </c>
      <c r="E741" t="s">
        <v>49</v>
      </c>
      <c r="F741" s="7">
        <v>896464</v>
      </c>
      <c r="G741" t="s">
        <v>391</v>
      </c>
      <c r="H741" s="5">
        <v>35496</v>
      </c>
      <c r="I741" s="12">
        <v>45794</v>
      </c>
      <c r="J741" s="15">
        <v>45</v>
      </c>
      <c r="K741" s="15">
        <v>2</v>
      </c>
      <c r="L741" s="9">
        <v>0.13550000000000001</v>
      </c>
      <c r="M741" s="9">
        <v>5.5500000000000001E-2</v>
      </c>
      <c r="N741" s="15">
        <v>6</v>
      </c>
      <c r="O741" t="s">
        <v>28</v>
      </c>
      <c r="P741" t="s">
        <v>28</v>
      </c>
      <c r="Q741" s="24">
        <v>0.5</v>
      </c>
      <c r="R741" s="5">
        <f t="shared" si="66"/>
        <v>592.97769863013707</v>
      </c>
      <c r="S741" s="5">
        <f t="shared" si="67"/>
        <v>32.384021917808219</v>
      </c>
      <c r="T741" s="5">
        <f t="shared" si="68"/>
        <v>560.59367671232883</v>
      </c>
      <c r="U741" s="15">
        <f t="shared" si="69"/>
        <v>39</v>
      </c>
      <c r="V741" s="3">
        <f t="shared" si="70"/>
        <v>1419.8400000000004</v>
      </c>
      <c r="W741" s="3">
        <f t="shared" si="71"/>
        <v>740</v>
      </c>
    </row>
    <row r="742" spans="1:23" x14ac:dyDescent="0.2">
      <c r="A742" t="s">
        <v>226</v>
      </c>
      <c r="B742" t="s">
        <v>59</v>
      </c>
      <c r="C742" t="s">
        <v>77</v>
      </c>
      <c r="D742" t="s">
        <v>66</v>
      </c>
      <c r="E742" t="s">
        <v>25</v>
      </c>
      <c r="F742" s="7">
        <v>3501061</v>
      </c>
      <c r="G742" t="s">
        <v>1767</v>
      </c>
      <c r="H742" s="5">
        <v>81168</v>
      </c>
      <c r="I742" s="12">
        <v>45661</v>
      </c>
      <c r="J742" s="15">
        <v>60</v>
      </c>
      <c r="K742" s="15">
        <v>10</v>
      </c>
      <c r="L742" s="9">
        <v>9.6299999999999997E-2</v>
      </c>
      <c r="M742" s="9">
        <v>6.1400000000000003E-2</v>
      </c>
      <c r="N742" s="15">
        <v>8</v>
      </c>
      <c r="O742" t="s">
        <v>27</v>
      </c>
      <c r="P742" t="s">
        <v>28</v>
      </c>
      <c r="Q742" s="24">
        <v>0.5</v>
      </c>
      <c r="R742" s="5">
        <f t="shared" si="66"/>
        <v>1284.9005589041094</v>
      </c>
      <c r="S742" s="5">
        <f t="shared" si="67"/>
        <v>109.23211397260275</v>
      </c>
      <c r="T742" s="5">
        <f t="shared" si="68"/>
        <v>1175.6684449315067</v>
      </c>
      <c r="U742" s="15">
        <f t="shared" si="69"/>
        <v>52</v>
      </c>
      <c r="V742" s="3">
        <f t="shared" si="70"/>
        <v>1416.3815999999997</v>
      </c>
      <c r="W742" s="3">
        <f t="shared" si="71"/>
        <v>741</v>
      </c>
    </row>
    <row r="743" spans="1:23" x14ac:dyDescent="0.2">
      <c r="A743" t="s">
        <v>201</v>
      </c>
      <c r="B743" t="s">
        <v>76</v>
      </c>
      <c r="C743" t="s">
        <v>23</v>
      </c>
      <c r="D743" t="s">
        <v>37</v>
      </c>
      <c r="E743" t="s">
        <v>56</v>
      </c>
      <c r="F743" s="7">
        <v>21198154</v>
      </c>
      <c r="G743" t="s">
        <v>779</v>
      </c>
      <c r="H743" s="5">
        <v>48087</v>
      </c>
      <c r="I743" s="12">
        <v>45809</v>
      </c>
      <c r="J743" s="15">
        <v>90</v>
      </c>
      <c r="K743" s="15">
        <v>7</v>
      </c>
      <c r="L743" s="9">
        <v>0.1086</v>
      </c>
      <c r="M743" s="9">
        <v>6.3299999999999995E-2</v>
      </c>
      <c r="N743" s="15">
        <v>10</v>
      </c>
      <c r="O743" t="s">
        <v>28</v>
      </c>
      <c r="P743" t="s">
        <v>28</v>
      </c>
      <c r="Q743" s="24">
        <v>0.65</v>
      </c>
      <c r="R743" s="5">
        <f t="shared" si="66"/>
        <v>1287.6776383561644</v>
      </c>
      <c r="S743" s="5">
        <f t="shared" si="67"/>
        <v>83.394715068493142</v>
      </c>
      <c r="T743" s="5">
        <f t="shared" si="68"/>
        <v>1204.2829232876713</v>
      </c>
      <c r="U743" s="15">
        <f t="shared" si="69"/>
        <v>80</v>
      </c>
      <c r="V743" s="3">
        <f t="shared" si="70"/>
        <v>1415.9217150000002</v>
      </c>
      <c r="W743" s="3">
        <f t="shared" si="71"/>
        <v>742</v>
      </c>
    </row>
    <row r="744" spans="1:23" x14ac:dyDescent="0.2">
      <c r="A744" t="s">
        <v>94</v>
      </c>
      <c r="B744" t="s">
        <v>95</v>
      </c>
      <c r="C744" t="s">
        <v>41</v>
      </c>
      <c r="D744" t="s">
        <v>66</v>
      </c>
      <c r="E744" t="s">
        <v>25</v>
      </c>
      <c r="F744" s="7">
        <v>2406772</v>
      </c>
      <c r="G744" t="s">
        <v>553</v>
      </c>
      <c r="H744" s="5">
        <v>83568</v>
      </c>
      <c r="I744" s="12">
        <v>45889</v>
      </c>
      <c r="J744" s="15">
        <v>60</v>
      </c>
      <c r="K744" s="15">
        <v>5</v>
      </c>
      <c r="L744" s="9">
        <v>0.1091</v>
      </c>
      <c r="M744" s="9">
        <v>6.08E-2</v>
      </c>
      <c r="N744" s="15">
        <v>10</v>
      </c>
      <c r="O744" t="s">
        <v>27</v>
      </c>
      <c r="P744" t="s">
        <v>28</v>
      </c>
      <c r="Q744" s="24">
        <v>0.35</v>
      </c>
      <c r="R744" s="5">
        <f t="shared" si="66"/>
        <v>1498.7291178082191</v>
      </c>
      <c r="S744" s="5">
        <f t="shared" si="67"/>
        <v>139.20368219178081</v>
      </c>
      <c r="T744" s="5">
        <f t="shared" si="68"/>
        <v>1359.5254356164382</v>
      </c>
      <c r="U744" s="15">
        <f t="shared" si="69"/>
        <v>50</v>
      </c>
      <c r="V744" s="3">
        <f t="shared" si="70"/>
        <v>1412.71704</v>
      </c>
      <c r="W744" s="3">
        <f t="shared" si="71"/>
        <v>743</v>
      </c>
    </row>
    <row r="745" spans="1:23" x14ac:dyDescent="0.2">
      <c r="A745" t="s">
        <v>203</v>
      </c>
      <c r="B745" t="s">
        <v>204</v>
      </c>
      <c r="C745" t="s">
        <v>23</v>
      </c>
      <c r="D745" t="s">
        <v>24</v>
      </c>
      <c r="E745" t="s">
        <v>25</v>
      </c>
      <c r="F745" s="7">
        <v>1716971</v>
      </c>
      <c r="G745" t="s">
        <v>1113</v>
      </c>
      <c r="H745" s="5">
        <v>45793</v>
      </c>
      <c r="I745" s="12">
        <v>45921</v>
      </c>
      <c r="J745" s="15">
        <v>90</v>
      </c>
      <c r="K745" s="15">
        <v>4</v>
      </c>
      <c r="L745" s="9">
        <v>9.4600000000000004E-2</v>
      </c>
      <c r="M745" s="9">
        <v>6.0400000000000002E-2</v>
      </c>
      <c r="N745" s="15">
        <v>10</v>
      </c>
      <c r="O745" t="s">
        <v>27</v>
      </c>
      <c r="P745" t="s">
        <v>28</v>
      </c>
      <c r="Q745" s="24">
        <v>0.9</v>
      </c>
      <c r="R745" s="5">
        <f t="shared" si="66"/>
        <v>1068.1687726027399</v>
      </c>
      <c r="S745" s="5">
        <f t="shared" si="67"/>
        <v>75.778005479452048</v>
      </c>
      <c r="T745" s="5">
        <f t="shared" si="68"/>
        <v>992.39076712328779</v>
      </c>
      <c r="U745" s="15">
        <f t="shared" si="69"/>
        <v>80</v>
      </c>
      <c r="V745" s="3">
        <f t="shared" si="70"/>
        <v>1409.50854</v>
      </c>
      <c r="W745" s="3">
        <f t="shared" si="71"/>
        <v>744</v>
      </c>
    </row>
    <row r="746" spans="1:23" x14ac:dyDescent="0.2">
      <c r="A746" t="s">
        <v>889</v>
      </c>
      <c r="B746" t="s">
        <v>286</v>
      </c>
      <c r="C746" t="s">
        <v>23</v>
      </c>
      <c r="D746" t="s">
        <v>66</v>
      </c>
      <c r="E746" t="s">
        <v>49</v>
      </c>
      <c r="F746" s="7">
        <v>1374525</v>
      </c>
      <c r="G746" t="s">
        <v>1344</v>
      </c>
      <c r="H746" s="5">
        <v>27570</v>
      </c>
      <c r="I746" s="12">
        <v>45914</v>
      </c>
      <c r="J746" s="15">
        <v>60</v>
      </c>
      <c r="K746" s="15">
        <v>7</v>
      </c>
      <c r="L746" s="9">
        <v>0.13320000000000001</v>
      </c>
      <c r="M746" s="9">
        <v>5.4899999999999997E-2</v>
      </c>
      <c r="N746" s="15">
        <v>6</v>
      </c>
      <c r="O746" t="s">
        <v>27</v>
      </c>
      <c r="P746" t="s">
        <v>28</v>
      </c>
      <c r="Q746" s="24">
        <v>0.65</v>
      </c>
      <c r="R746" s="5">
        <f t="shared" si="66"/>
        <v>603.66969863013708</v>
      </c>
      <c r="S746" s="5">
        <f t="shared" si="67"/>
        <v>24.880980821917802</v>
      </c>
      <c r="T746" s="5">
        <f t="shared" si="68"/>
        <v>578.7887178082193</v>
      </c>
      <c r="U746" s="15">
        <f t="shared" si="69"/>
        <v>54</v>
      </c>
      <c r="V746" s="3">
        <f t="shared" si="70"/>
        <v>1403.1751500000003</v>
      </c>
      <c r="W746" s="3">
        <f t="shared" si="71"/>
        <v>745</v>
      </c>
    </row>
    <row r="747" spans="1:23" x14ac:dyDescent="0.2">
      <c r="A747" t="s">
        <v>377</v>
      </c>
      <c r="B747" t="s">
        <v>378</v>
      </c>
      <c r="C747" t="s">
        <v>31</v>
      </c>
      <c r="D747" t="s">
        <v>48</v>
      </c>
      <c r="E747" t="s">
        <v>25</v>
      </c>
      <c r="F747" s="7">
        <v>3293043</v>
      </c>
      <c r="G747" t="s">
        <v>1598</v>
      </c>
      <c r="H747" s="5">
        <v>90432</v>
      </c>
      <c r="I747" s="12">
        <v>45847</v>
      </c>
      <c r="J747" s="15">
        <v>90</v>
      </c>
      <c r="K747" s="15">
        <v>7</v>
      </c>
      <c r="L747" s="9">
        <v>0.13320000000000001</v>
      </c>
      <c r="M747" s="9">
        <v>5.5800000000000002E-2</v>
      </c>
      <c r="N747" s="15">
        <v>6</v>
      </c>
      <c r="O747" t="s">
        <v>28</v>
      </c>
      <c r="P747" t="s">
        <v>28</v>
      </c>
      <c r="Q747" s="24">
        <v>0.2</v>
      </c>
      <c r="R747" s="5">
        <f t="shared" si="66"/>
        <v>2970.1337424657531</v>
      </c>
      <c r="S747" s="5">
        <f t="shared" si="67"/>
        <v>82.949681095890398</v>
      </c>
      <c r="T747" s="5">
        <f t="shared" si="68"/>
        <v>2887.1840613698628</v>
      </c>
      <c r="U747" s="15">
        <f t="shared" si="69"/>
        <v>84</v>
      </c>
      <c r="V747" s="3">
        <f t="shared" si="70"/>
        <v>1399.8873600000002</v>
      </c>
      <c r="W747" s="3">
        <f t="shared" si="71"/>
        <v>746</v>
      </c>
    </row>
    <row r="748" spans="1:23" x14ac:dyDescent="0.2">
      <c r="A748" t="s">
        <v>521</v>
      </c>
      <c r="B748" t="s">
        <v>522</v>
      </c>
      <c r="C748" t="s">
        <v>23</v>
      </c>
      <c r="D748" t="s">
        <v>66</v>
      </c>
      <c r="E748" t="s">
        <v>49</v>
      </c>
      <c r="F748" s="7">
        <v>617401</v>
      </c>
      <c r="G748" t="s">
        <v>1493</v>
      </c>
      <c r="H748" s="5">
        <v>74206</v>
      </c>
      <c r="I748" s="12">
        <v>45962</v>
      </c>
      <c r="J748" s="15">
        <v>60</v>
      </c>
      <c r="K748" s="15">
        <v>2</v>
      </c>
      <c r="L748" s="9">
        <v>0.1429</v>
      </c>
      <c r="M748" s="9">
        <v>4.8599999999999997E-2</v>
      </c>
      <c r="N748" s="15">
        <v>7</v>
      </c>
      <c r="O748" t="s">
        <v>27</v>
      </c>
      <c r="P748" t="s">
        <v>28</v>
      </c>
      <c r="Q748" s="24">
        <v>0.2</v>
      </c>
      <c r="R748" s="5">
        <f t="shared" si="66"/>
        <v>1743.1294356164381</v>
      </c>
      <c r="S748" s="5">
        <f t="shared" si="67"/>
        <v>69.164058082191787</v>
      </c>
      <c r="T748" s="5">
        <f t="shared" si="68"/>
        <v>1673.9653775342463</v>
      </c>
      <c r="U748" s="15">
        <f t="shared" si="69"/>
        <v>53</v>
      </c>
      <c r="V748" s="3">
        <f t="shared" si="70"/>
        <v>1399.5251600000001</v>
      </c>
      <c r="W748" s="3">
        <f t="shared" si="71"/>
        <v>747</v>
      </c>
    </row>
    <row r="749" spans="1:23" x14ac:dyDescent="0.2">
      <c r="A749" t="s">
        <v>382</v>
      </c>
      <c r="B749" t="s">
        <v>383</v>
      </c>
      <c r="C749" t="s">
        <v>41</v>
      </c>
      <c r="D749" t="s">
        <v>32</v>
      </c>
      <c r="E749" t="s">
        <v>25</v>
      </c>
      <c r="F749" s="7">
        <v>3772612</v>
      </c>
      <c r="G749" t="s">
        <v>1370</v>
      </c>
      <c r="H749" s="5">
        <v>45552</v>
      </c>
      <c r="I749" s="12">
        <v>45992</v>
      </c>
      <c r="J749" s="15">
        <v>90</v>
      </c>
      <c r="K749" s="15">
        <v>7</v>
      </c>
      <c r="L749" s="9">
        <v>0.1053</v>
      </c>
      <c r="M749" s="9">
        <v>5.8099999999999999E-2</v>
      </c>
      <c r="N749" s="15">
        <v>10</v>
      </c>
      <c r="O749" t="s">
        <v>28</v>
      </c>
      <c r="P749" t="s">
        <v>28</v>
      </c>
      <c r="Q749" s="24">
        <v>0.65</v>
      </c>
      <c r="R749" s="5">
        <f t="shared" si="66"/>
        <v>1182.7296000000001</v>
      </c>
      <c r="S749" s="5">
        <f t="shared" si="67"/>
        <v>72.508799999999994</v>
      </c>
      <c r="T749" s="5">
        <f t="shared" si="68"/>
        <v>1110.2208000000001</v>
      </c>
      <c r="U749" s="15">
        <f t="shared" si="69"/>
        <v>80</v>
      </c>
      <c r="V749" s="3">
        <f t="shared" si="70"/>
        <v>1397.5353600000003</v>
      </c>
      <c r="W749" s="3">
        <f t="shared" si="71"/>
        <v>748</v>
      </c>
    </row>
    <row r="750" spans="1:23" x14ac:dyDescent="0.2">
      <c r="A750" t="s">
        <v>174</v>
      </c>
      <c r="B750" t="s">
        <v>175</v>
      </c>
      <c r="C750" t="s">
        <v>41</v>
      </c>
      <c r="D750" t="s">
        <v>37</v>
      </c>
      <c r="E750" t="s">
        <v>49</v>
      </c>
      <c r="F750" s="7">
        <v>1267987</v>
      </c>
      <c r="G750" t="s">
        <v>1558</v>
      </c>
      <c r="H750" s="5">
        <v>42815</v>
      </c>
      <c r="I750" s="12">
        <v>45800</v>
      </c>
      <c r="J750" s="15">
        <v>60</v>
      </c>
      <c r="K750" s="15">
        <v>10</v>
      </c>
      <c r="L750" s="9">
        <v>0.125</v>
      </c>
      <c r="M750" s="9">
        <v>6.0299999999999999E-2</v>
      </c>
      <c r="N750" s="15">
        <v>5</v>
      </c>
      <c r="O750" t="s">
        <v>28</v>
      </c>
      <c r="P750" t="s">
        <v>28</v>
      </c>
      <c r="Q750" s="24">
        <v>0.5</v>
      </c>
      <c r="R750" s="5">
        <f t="shared" si="66"/>
        <v>879.7602739726027</v>
      </c>
      <c r="S750" s="5">
        <f t="shared" si="67"/>
        <v>35.366363013698624</v>
      </c>
      <c r="T750" s="5">
        <f t="shared" si="68"/>
        <v>844.39391095890403</v>
      </c>
      <c r="U750" s="15">
        <f t="shared" si="69"/>
        <v>55</v>
      </c>
      <c r="V750" s="3">
        <f t="shared" si="70"/>
        <v>1385.0652500000001</v>
      </c>
      <c r="W750" s="3">
        <f t="shared" si="71"/>
        <v>749</v>
      </c>
    </row>
    <row r="751" spans="1:23" x14ac:dyDescent="0.2">
      <c r="A751" t="s">
        <v>203</v>
      </c>
      <c r="B751" t="s">
        <v>204</v>
      </c>
      <c r="C751" t="s">
        <v>23</v>
      </c>
      <c r="D751" t="s">
        <v>24</v>
      </c>
      <c r="E751" t="s">
        <v>25</v>
      </c>
      <c r="F751" s="7">
        <v>1716971</v>
      </c>
      <c r="G751" t="s">
        <v>205</v>
      </c>
      <c r="H751" s="5">
        <v>84684</v>
      </c>
      <c r="I751" s="12">
        <v>45888</v>
      </c>
      <c r="J751" s="15">
        <v>90</v>
      </c>
      <c r="K751" s="15">
        <v>10</v>
      </c>
      <c r="L751" s="9">
        <v>9.4600000000000004E-2</v>
      </c>
      <c r="M751" s="9">
        <v>6.1899999999999997E-2</v>
      </c>
      <c r="N751" s="15">
        <v>5</v>
      </c>
      <c r="O751" t="s">
        <v>27</v>
      </c>
      <c r="P751" t="s">
        <v>28</v>
      </c>
      <c r="Q751" s="24">
        <v>0.5</v>
      </c>
      <c r="R751" s="5">
        <f t="shared" si="66"/>
        <v>1975.3413041095891</v>
      </c>
      <c r="S751" s="5">
        <f t="shared" si="67"/>
        <v>71.807391780821916</v>
      </c>
      <c r="T751" s="5">
        <f t="shared" si="68"/>
        <v>1903.5339123287672</v>
      </c>
      <c r="U751" s="15">
        <f t="shared" si="69"/>
        <v>85</v>
      </c>
      <c r="V751" s="3">
        <f t="shared" si="70"/>
        <v>1384.5834000000002</v>
      </c>
      <c r="W751" s="3">
        <f t="shared" si="71"/>
        <v>750</v>
      </c>
    </row>
    <row r="752" spans="1:23" x14ac:dyDescent="0.2">
      <c r="A752" t="s">
        <v>136</v>
      </c>
      <c r="B752" t="s">
        <v>137</v>
      </c>
      <c r="C752" t="s">
        <v>31</v>
      </c>
      <c r="D752" t="s">
        <v>37</v>
      </c>
      <c r="E752" t="s">
        <v>56</v>
      </c>
      <c r="F752" s="7">
        <v>17196352</v>
      </c>
      <c r="G752" t="s">
        <v>1116</v>
      </c>
      <c r="H752" s="5">
        <v>94565</v>
      </c>
      <c r="I752" s="12">
        <v>45913</v>
      </c>
      <c r="J752" s="15">
        <v>45</v>
      </c>
      <c r="K752" s="15">
        <v>3</v>
      </c>
      <c r="L752" s="9">
        <v>8.1500000000000003E-2</v>
      </c>
      <c r="M752" s="9">
        <v>6.3200000000000006E-2</v>
      </c>
      <c r="N752" s="15">
        <v>6</v>
      </c>
      <c r="O752" t="s">
        <v>27</v>
      </c>
      <c r="P752" t="s">
        <v>28</v>
      </c>
      <c r="Q752" s="24">
        <v>0.8</v>
      </c>
      <c r="R752" s="5">
        <f t="shared" si="66"/>
        <v>950.18393835616439</v>
      </c>
      <c r="S752" s="5">
        <f t="shared" si="67"/>
        <v>98.243967123287675</v>
      </c>
      <c r="T752" s="5">
        <f t="shared" si="68"/>
        <v>851.9399712328767</v>
      </c>
      <c r="U752" s="15">
        <f t="shared" si="69"/>
        <v>39</v>
      </c>
      <c r="V752" s="3">
        <f t="shared" si="70"/>
        <v>1384.4315999999999</v>
      </c>
      <c r="W752" s="3">
        <f t="shared" si="71"/>
        <v>751</v>
      </c>
    </row>
    <row r="753" spans="1:23" x14ac:dyDescent="0.2">
      <c r="A753" t="s">
        <v>163</v>
      </c>
      <c r="B753" t="s">
        <v>164</v>
      </c>
      <c r="C753" t="s">
        <v>77</v>
      </c>
      <c r="D753" t="s">
        <v>66</v>
      </c>
      <c r="E753" t="s">
        <v>25</v>
      </c>
      <c r="F753" s="7">
        <v>4709015</v>
      </c>
      <c r="G753" t="s">
        <v>1302</v>
      </c>
      <c r="H753" s="5">
        <v>100908</v>
      </c>
      <c r="I753" s="12">
        <v>45707</v>
      </c>
      <c r="J753" s="15">
        <v>60</v>
      </c>
      <c r="K753" s="15">
        <v>3</v>
      </c>
      <c r="L753" s="9">
        <v>0.121</v>
      </c>
      <c r="M753" s="9">
        <v>5.2499999999999998E-2</v>
      </c>
      <c r="N753" s="15">
        <v>8</v>
      </c>
      <c r="O753" t="s">
        <v>27</v>
      </c>
      <c r="P753" t="s">
        <v>28</v>
      </c>
      <c r="Q753" s="24">
        <v>0.2</v>
      </c>
      <c r="R753" s="5">
        <f t="shared" si="66"/>
        <v>2007.1015890410958</v>
      </c>
      <c r="S753" s="5">
        <f t="shared" si="67"/>
        <v>116.11331506849315</v>
      </c>
      <c r="T753" s="5">
        <f t="shared" si="68"/>
        <v>1890.9882739726027</v>
      </c>
      <c r="U753" s="15">
        <f t="shared" si="69"/>
        <v>52</v>
      </c>
      <c r="V753" s="3">
        <f t="shared" si="70"/>
        <v>1382.4396000000002</v>
      </c>
      <c r="W753" s="3">
        <f t="shared" si="71"/>
        <v>752</v>
      </c>
    </row>
    <row r="754" spans="1:23" x14ac:dyDescent="0.2">
      <c r="A754" t="s">
        <v>518</v>
      </c>
      <c r="B754" t="s">
        <v>519</v>
      </c>
      <c r="C754" t="s">
        <v>41</v>
      </c>
      <c r="D754" t="s">
        <v>48</v>
      </c>
      <c r="E754" t="s">
        <v>25</v>
      </c>
      <c r="F754" s="7">
        <v>6967315</v>
      </c>
      <c r="G754" t="s">
        <v>1105</v>
      </c>
      <c r="H754" s="5">
        <v>75950</v>
      </c>
      <c r="I754" s="12">
        <v>45989</v>
      </c>
      <c r="J754" s="15">
        <v>45</v>
      </c>
      <c r="K754" s="15">
        <v>2</v>
      </c>
      <c r="L754" s="9">
        <v>9.1999999999999998E-2</v>
      </c>
      <c r="M754" s="9">
        <v>5.5599999999999997E-2</v>
      </c>
      <c r="N754" s="15">
        <v>8</v>
      </c>
      <c r="O754" t="s">
        <v>27</v>
      </c>
      <c r="P754" t="s">
        <v>28</v>
      </c>
      <c r="Q754" s="24">
        <v>0.5</v>
      </c>
      <c r="R754" s="5">
        <f t="shared" si="66"/>
        <v>861.46027397260264</v>
      </c>
      <c r="S754" s="5">
        <f t="shared" si="67"/>
        <v>92.554958904109583</v>
      </c>
      <c r="T754" s="5">
        <f t="shared" si="68"/>
        <v>768.90531506849311</v>
      </c>
      <c r="U754" s="15">
        <f t="shared" si="69"/>
        <v>37</v>
      </c>
      <c r="V754" s="3">
        <f t="shared" si="70"/>
        <v>1382.29</v>
      </c>
      <c r="W754" s="3">
        <f t="shared" si="71"/>
        <v>753</v>
      </c>
    </row>
    <row r="755" spans="1:23" x14ac:dyDescent="0.2">
      <c r="A755" t="s">
        <v>149</v>
      </c>
      <c r="B755" t="s">
        <v>30</v>
      </c>
      <c r="C755" t="s">
        <v>77</v>
      </c>
      <c r="D755" t="s">
        <v>66</v>
      </c>
      <c r="E755" t="s">
        <v>25</v>
      </c>
      <c r="F755" s="7">
        <v>3553623</v>
      </c>
      <c r="G755" t="s">
        <v>150</v>
      </c>
      <c r="H755" s="5">
        <v>68267</v>
      </c>
      <c r="I755" s="12">
        <v>45745</v>
      </c>
      <c r="J755" s="15">
        <v>60</v>
      </c>
      <c r="K755" s="15">
        <v>10</v>
      </c>
      <c r="L755" s="9">
        <v>9.8199999999999996E-2</v>
      </c>
      <c r="M755" s="9">
        <v>5.7799999999999997E-2</v>
      </c>
      <c r="N755" s="15">
        <v>7</v>
      </c>
      <c r="O755" t="s">
        <v>28</v>
      </c>
      <c r="P755" t="s">
        <v>28</v>
      </c>
      <c r="Q755" s="24">
        <v>0.5</v>
      </c>
      <c r="R755" s="5">
        <f t="shared" si="66"/>
        <v>1101.9977095890408</v>
      </c>
      <c r="S755" s="5">
        <f t="shared" si="67"/>
        <v>75.673501917808224</v>
      </c>
      <c r="T755" s="5">
        <f t="shared" si="68"/>
        <v>1026.3242076712327</v>
      </c>
      <c r="U755" s="15">
        <f t="shared" si="69"/>
        <v>53</v>
      </c>
      <c r="V755" s="3">
        <f t="shared" si="70"/>
        <v>1378.9933999999998</v>
      </c>
      <c r="W755" s="3">
        <f t="shared" si="71"/>
        <v>754</v>
      </c>
    </row>
    <row r="756" spans="1:23" x14ac:dyDescent="0.2">
      <c r="A756" t="s">
        <v>29</v>
      </c>
      <c r="B756" t="s">
        <v>30</v>
      </c>
      <c r="C756" t="s">
        <v>31</v>
      </c>
      <c r="D756" t="s">
        <v>32</v>
      </c>
      <c r="E756" t="s">
        <v>25</v>
      </c>
      <c r="F756" s="7">
        <v>4331160</v>
      </c>
      <c r="G756" t="s">
        <v>1336</v>
      </c>
      <c r="H756" s="5">
        <v>27448</v>
      </c>
      <c r="I756" s="12">
        <v>45769</v>
      </c>
      <c r="J756" s="15">
        <v>45</v>
      </c>
      <c r="K756" s="15">
        <v>5</v>
      </c>
      <c r="L756" s="9">
        <v>0.12809999999999999</v>
      </c>
      <c r="M756" s="9">
        <v>5.0900000000000001E-2</v>
      </c>
      <c r="N756" s="15">
        <v>6</v>
      </c>
      <c r="O756" t="s">
        <v>28</v>
      </c>
      <c r="P756" t="s">
        <v>28</v>
      </c>
      <c r="Q756" s="24">
        <v>0.65</v>
      </c>
      <c r="R756" s="5">
        <f t="shared" si="66"/>
        <v>433.49039999999997</v>
      </c>
      <c r="S756" s="5">
        <f t="shared" si="67"/>
        <v>22.966079999999998</v>
      </c>
      <c r="T756" s="5">
        <f t="shared" si="68"/>
        <v>410.52431999999999</v>
      </c>
      <c r="U756" s="15">
        <f t="shared" si="69"/>
        <v>39</v>
      </c>
      <c r="V756" s="3">
        <f t="shared" si="70"/>
        <v>1377.3406399999999</v>
      </c>
      <c r="W756" s="3">
        <f t="shared" si="71"/>
        <v>755</v>
      </c>
    </row>
    <row r="757" spans="1:23" x14ac:dyDescent="0.2">
      <c r="A757" t="s">
        <v>156</v>
      </c>
      <c r="B757" t="s">
        <v>157</v>
      </c>
      <c r="C757" t="s">
        <v>23</v>
      </c>
      <c r="D757" t="s">
        <v>66</v>
      </c>
      <c r="E757" t="s">
        <v>49</v>
      </c>
      <c r="F757" s="7">
        <v>981924</v>
      </c>
      <c r="G757" t="s">
        <v>1127</v>
      </c>
      <c r="H757" s="5">
        <v>63117</v>
      </c>
      <c r="I757" s="12">
        <v>45919</v>
      </c>
      <c r="J757" s="15">
        <v>60</v>
      </c>
      <c r="K757" s="15">
        <v>10</v>
      </c>
      <c r="L757" s="9">
        <v>0.17169999999999999</v>
      </c>
      <c r="M757" s="9">
        <v>6.2600000000000003E-2</v>
      </c>
      <c r="N757" s="15">
        <v>10</v>
      </c>
      <c r="O757" t="s">
        <v>27</v>
      </c>
      <c r="P757" t="s">
        <v>28</v>
      </c>
      <c r="Q757" s="24">
        <v>0.2</v>
      </c>
      <c r="R757" s="5">
        <f t="shared" si="66"/>
        <v>1781.4557095890409</v>
      </c>
      <c r="S757" s="5">
        <f t="shared" si="67"/>
        <v>108.24997808219177</v>
      </c>
      <c r="T757" s="5">
        <f t="shared" si="68"/>
        <v>1673.2057315068491</v>
      </c>
      <c r="U757" s="15">
        <f t="shared" si="69"/>
        <v>50</v>
      </c>
      <c r="V757" s="3">
        <f t="shared" si="70"/>
        <v>1377.2129399999999</v>
      </c>
      <c r="W757" s="3">
        <f t="shared" si="71"/>
        <v>756</v>
      </c>
    </row>
    <row r="758" spans="1:23" x14ac:dyDescent="0.2">
      <c r="A758" t="s">
        <v>297</v>
      </c>
      <c r="B758" t="s">
        <v>298</v>
      </c>
      <c r="C758" t="s">
        <v>36</v>
      </c>
      <c r="D758" t="s">
        <v>24</v>
      </c>
      <c r="E758" t="s">
        <v>49</v>
      </c>
      <c r="F758" s="7">
        <v>1249897</v>
      </c>
      <c r="G758" t="s">
        <v>1628</v>
      </c>
      <c r="H758" s="5">
        <v>44763</v>
      </c>
      <c r="I758" s="12">
        <v>45688</v>
      </c>
      <c r="J758" s="15">
        <v>30</v>
      </c>
      <c r="K758" s="15">
        <v>5</v>
      </c>
      <c r="L758" s="9">
        <v>0.1452</v>
      </c>
      <c r="M758" s="9">
        <v>5.7299999999999997E-2</v>
      </c>
      <c r="N758" s="15">
        <v>8</v>
      </c>
      <c r="O758" t="s">
        <v>27</v>
      </c>
      <c r="P758" t="s">
        <v>28</v>
      </c>
      <c r="Q758" s="24">
        <v>0.35</v>
      </c>
      <c r="R758" s="5">
        <f t="shared" si="66"/>
        <v>534.21267945205477</v>
      </c>
      <c r="S758" s="5">
        <f t="shared" si="67"/>
        <v>56.217422465753423</v>
      </c>
      <c r="T758" s="5">
        <f t="shared" si="68"/>
        <v>477.99525698630134</v>
      </c>
      <c r="U758" s="15">
        <f t="shared" si="69"/>
        <v>22</v>
      </c>
      <c r="V758" s="3">
        <f t="shared" si="70"/>
        <v>1377.133695</v>
      </c>
      <c r="W758" s="3">
        <f t="shared" si="71"/>
        <v>757</v>
      </c>
    </row>
    <row r="759" spans="1:23" x14ac:dyDescent="0.2">
      <c r="A759" t="s">
        <v>43</v>
      </c>
      <c r="B759" t="s">
        <v>44</v>
      </c>
      <c r="C759" t="s">
        <v>23</v>
      </c>
      <c r="D759" t="s">
        <v>24</v>
      </c>
      <c r="E759" t="s">
        <v>25</v>
      </c>
      <c r="F759" s="7">
        <v>2577026</v>
      </c>
      <c r="G759" t="s">
        <v>637</v>
      </c>
      <c r="H759" s="5">
        <v>41218</v>
      </c>
      <c r="I759" s="12">
        <v>46024</v>
      </c>
      <c r="J759" s="15">
        <v>60</v>
      </c>
      <c r="K759" s="15">
        <v>4</v>
      </c>
      <c r="L759" s="9">
        <v>0.123</v>
      </c>
      <c r="M759" s="9">
        <v>5.62E-2</v>
      </c>
      <c r="N759" s="15">
        <v>10</v>
      </c>
      <c r="O759" t="s">
        <v>27</v>
      </c>
      <c r="P759" t="s">
        <v>28</v>
      </c>
      <c r="Q759" s="24">
        <v>0.5</v>
      </c>
      <c r="R759" s="5">
        <f t="shared" si="66"/>
        <v>833.39408219178085</v>
      </c>
      <c r="S759" s="5">
        <f t="shared" si="67"/>
        <v>63.464427397260266</v>
      </c>
      <c r="T759" s="5">
        <f t="shared" si="68"/>
        <v>769.92965479452062</v>
      </c>
      <c r="U759" s="15">
        <f t="shared" si="69"/>
        <v>50</v>
      </c>
      <c r="V759" s="3">
        <f t="shared" si="70"/>
        <v>1376.6812</v>
      </c>
      <c r="W759" s="3">
        <f t="shared" si="71"/>
        <v>758</v>
      </c>
    </row>
    <row r="760" spans="1:23" x14ac:dyDescent="0.2">
      <c r="A760" t="s">
        <v>263</v>
      </c>
      <c r="B760" t="s">
        <v>264</v>
      </c>
      <c r="C760" t="s">
        <v>77</v>
      </c>
      <c r="D760" t="s">
        <v>24</v>
      </c>
      <c r="E760" t="s">
        <v>25</v>
      </c>
      <c r="F760" s="7">
        <v>4450767</v>
      </c>
      <c r="G760" t="s">
        <v>864</v>
      </c>
      <c r="H760" s="5">
        <v>53222</v>
      </c>
      <c r="I760" s="12">
        <v>45768</v>
      </c>
      <c r="J760" s="15">
        <v>60</v>
      </c>
      <c r="K760" s="15">
        <v>4</v>
      </c>
      <c r="L760" s="9">
        <v>0.10489999999999999</v>
      </c>
      <c r="M760" s="9">
        <v>5.33E-2</v>
      </c>
      <c r="N760" s="15">
        <v>8</v>
      </c>
      <c r="O760" t="s">
        <v>27</v>
      </c>
      <c r="P760" t="s">
        <v>28</v>
      </c>
      <c r="Q760" s="24">
        <v>0.5</v>
      </c>
      <c r="R760" s="5">
        <f t="shared" si="66"/>
        <v>917.75141917808207</v>
      </c>
      <c r="S760" s="5">
        <f t="shared" si="67"/>
        <v>62.17496109589041</v>
      </c>
      <c r="T760" s="5">
        <f t="shared" si="68"/>
        <v>855.57645808219172</v>
      </c>
      <c r="U760" s="15">
        <f t="shared" si="69"/>
        <v>52</v>
      </c>
      <c r="V760" s="3">
        <f t="shared" si="70"/>
        <v>1373.1275999999998</v>
      </c>
      <c r="W760" s="3">
        <f t="shared" si="71"/>
        <v>759</v>
      </c>
    </row>
    <row r="761" spans="1:23" x14ac:dyDescent="0.2">
      <c r="A761" t="s">
        <v>145</v>
      </c>
      <c r="B761" t="s">
        <v>146</v>
      </c>
      <c r="C761" t="s">
        <v>23</v>
      </c>
      <c r="D761" t="s">
        <v>48</v>
      </c>
      <c r="E761" t="s">
        <v>25</v>
      </c>
      <c r="F761" s="7">
        <v>5790128</v>
      </c>
      <c r="G761" t="s">
        <v>147</v>
      </c>
      <c r="H761" s="5">
        <v>68446</v>
      </c>
      <c r="I761" s="12">
        <v>45694</v>
      </c>
      <c r="J761" s="15">
        <v>45</v>
      </c>
      <c r="K761" s="15">
        <v>5</v>
      </c>
      <c r="L761" s="9">
        <v>9.5799999999999996E-2</v>
      </c>
      <c r="M761" s="9">
        <v>5.57E-2</v>
      </c>
      <c r="N761" s="15">
        <v>6</v>
      </c>
      <c r="O761" t="s">
        <v>27</v>
      </c>
      <c r="P761" t="s">
        <v>28</v>
      </c>
      <c r="Q761" s="24">
        <v>0.5</v>
      </c>
      <c r="R761" s="5">
        <f t="shared" si="66"/>
        <v>808.41289315068491</v>
      </c>
      <c r="S761" s="5">
        <f t="shared" si="67"/>
        <v>62.670282739726019</v>
      </c>
      <c r="T761" s="5">
        <f t="shared" si="68"/>
        <v>745.74261041095883</v>
      </c>
      <c r="U761" s="15">
        <f t="shared" si="69"/>
        <v>39</v>
      </c>
      <c r="V761" s="3">
        <f t="shared" si="70"/>
        <v>1372.3422999999998</v>
      </c>
      <c r="W761" s="3">
        <f t="shared" si="71"/>
        <v>760</v>
      </c>
    </row>
    <row r="762" spans="1:23" x14ac:dyDescent="0.2">
      <c r="A762" t="s">
        <v>100</v>
      </c>
      <c r="B762" t="s">
        <v>101</v>
      </c>
      <c r="C762" t="s">
        <v>77</v>
      </c>
      <c r="D762" t="s">
        <v>48</v>
      </c>
      <c r="E762" t="s">
        <v>49</v>
      </c>
      <c r="F762" s="7">
        <v>1484226</v>
      </c>
      <c r="G762" t="s">
        <v>102</v>
      </c>
      <c r="H762" s="5">
        <v>51535</v>
      </c>
      <c r="I762" s="12">
        <v>45909</v>
      </c>
      <c r="J762" s="15">
        <v>60</v>
      </c>
      <c r="K762" s="15">
        <v>2</v>
      </c>
      <c r="L762" s="9">
        <v>0.17929999999999999</v>
      </c>
      <c r="M762" s="9">
        <v>4.6199999999999998E-2</v>
      </c>
      <c r="N762" s="15">
        <v>8</v>
      </c>
      <c r="O762" t="s">
        <v>27</v>
      </c>
      <c r="P762" t="s">
        <v>28</v>
      </c>
      <c r="Q762" s="24">
        <v>0.2</v>
      </c>
      <c r="R762" s="5">
        <f t="shared" si="66"/>
        <v>1518.9411780821915</v>
      </c>
      <c r="S762" s="5">
        <f t="shared" si="67"/>
        <v>52.184482191780823</v>
      </c>
      <c r="T762" s="5">
        <f t="shared" si="68"/>
        <v>1466.7566958904108</v>
      </c>
      <c r="U762" s="15">
        <f t="shared" si="69"/>
        <v>52</v>
      </c>
      <c r="V762" s="3">
        <f t="shared" si="70"/>
        <v>1371.8617000000002</v>
      </c>
      <c r="W762" s="3">
        <f t="shared" si="71"/>
        <v>761</v>
      </c>
    </row>
    <row r="763" spans="1:23" x14ac:dyDescent="0.2">
      <c r="A763" t="s">
        <v>518</v>
      </c>
      <c r="B763" t="s">
        <v>519</v>
      </c>
      <c r="C763" t="s">
        <v>41</v>
      </c>
      <c r="D763" t="s">
        <v>48</v>
      </c>
      <c r="E763" t="s">
        <v>25</v>
      </c>
      <c r="F763" s="7">
        <v>6967315</v>
      </c>
      <c r="G763" t="s">
        <v>1465</v>
      </c>
      <c r="H763" s="5">
        <v>55105</v>
      </c>
      <c r="I763" s="12">
        <v>45766</v>
      </c>
      <c r="J763" s="15">
        <v>45</v>
      </c>
      <c r="K763" s="15">
        <v>7</v>
      </c>
      <c r="L763" s="9">
        <v>9.1999999999999998E-2</v>
      </c>
      <c r="M763" s="9">
        <v>6.0900000000000003E-2</v>
      </c>
      <c r="N763" s="15">
        <v>6</v>
      </c>
      <c r="O763" t="s">
        <v>27</v>
      </c>
      <c r="P763" t="s">
        <v>28</v>
      </c>
      <c r="Q763" s="24">
        <v>0.8</v>
      </c>
      <c r="R763" s="5">
        <f t="shared" si="66"/>
        <v>625.02657534246566</v>
      </c>
      <c r="S763" s="5">
        <f t="shared" si="67"/>
        <v>55.165389041095892</v>
      </c>
      <c r="T763" s="5">
        <f t="shared" si="68"/>
        <v>569.8611863013698</v>
      </c>
      <c r="U763" s="15">
        <f t="shared" si="69"/>
        <v>39</v>
      </c>
      <c r="V763" s="3">
        <f t="shared" si="70"/>
        <v>1371.0124000000001</v>
      </c>
      <c r="W763" s="3">
        <f t="shared" si="71"/>
        <v>762</v>
      </c>
    </row>
    <row r="764" spans="1:23" x14ac:dyDescent="0.2">
      <c r="A764" t="s">
        <v>725</v>
      </c>
      <c r="B764" t="s">
        <v>47</v>
      </c>
      <c r="C764" t="s">
        <v>36</v>
      </c>
      <c r="D764" t="s">
        <v>48</v>
      </c>
      <c r="E764" t="s">
        <v>25</v>
      </c>
      <c r="F764" s="7">
        <v>6127831</v>
      </c>
      <c r="G764" t="s">
        <v>1546</v>
      </c>
      <c r="H764" s="5">
        <v>108900</v>
      </c>
      <c r="I764" s="12">
        <v>45711</v>
      </c>
      <c r="J764" s="15">
        <v>60</v>
      </c>
      <c r="K764" s="15">
        <v>2</v>
      </c>
      <c r="L764" s="9">
        <v>0.12529999999999999</v>
      </c>
      <c r="M764" s="9">
        <v>6.2799999999999995E-2</v>
      </c>
      <c r="N764" s="15">
        <v>8</v>
      </c>
      <c r="O764" t="s">
        <v>27</v>
      </c>
      <c r="P764" t="s">
        <v>28</v>
      </c>
      <c r="Q764" s="24">
        <v>0.2</v>
      </c>
      <c r="R764" s="5">
        <f t="shared" si="66"/>
        <v>2243.0416438356165</v>
      </c>
      <c r="S764" s="5">
        <f t="shared" si="67"/>
        <v>149.89413698630136</v>
      </c>
      <c r="T764" s="5">
        <f t="shared" si="68"/>
        <v>2093.1475068493151</v>
      </c>
      <c r="U764" s="15">
        <f t="shared" si="69"/>
        <v>52</v>
      </c>
      <c r="V764" s="3">
        <f t="shared" si="70"/>
        <v>1361.25</v>
      </c>
      <c r="W764" s="3">
        <f t="shared" si="71"/>
        <v>763</v>
      </c>
    </row>
    <row r="765" spans="1:23" x14ac:dyDescent="0.2">
      <c r="A765" t="s">
        <v>468</v>
      </c>
      <c r="B765" t="s">
        <v>412</v>
      </c>
      <c r="C765" t="s">
        <v>41</v>
      </c>
      <c r="D765" t="s">
        <v>48</v>
      </c>
      <c r="E765" t="s">
        <v>49</v>
      </c>
      <c r="F765" s="7">
        <v>1406086</v>
      </c>
      <c r="G765" t="s">
        <v>667</v>
      </c>
      <c r="H765" s="5">
        <v>53984</v>
      </c>
      <c r="I765" s="12">
        <v>46001</v>
      </c>
      <c r="J765" s="15">
        <v>60</v>
      </c>
      <c r="K765" s="15">
        <v>2</v>
      </c>
      <c r="L765" s="9">
        <v>0.1201</v>
      </c>
      <c r="M765" s="9">
        <v>4.8300000000000003E-2</v>
      </c>
      <c r="N765" s="15">
        <v>10</v>
      </c>
      <c r="O765" t="s">
        <v>27</v>
      </c>
      <c r="P765" t="s">
        <v>28</v>
      </c>
      <c r="Q765" s="24">
        <v>0.35</v>
      </c>
      <c r="R765" s="5">
        <f t="shared" si="66"/>
        <v>1065.7772712328767</v>
      </c>
      <c r="S765" s="5">
        <f t="shared" si="67"/>
        <v>71.43636164383561</v>
      </c>
      <c r="T765" s="5">
        <f t="shared" si="68"/>
        <v>994.34090958904108</v>
      </c>
      <c r="U765" s="15">
        <f t="shared" si="69"/>
        <v>50</v>
      </c>
      <c r="V765" s="3">
        <f t="shared" si="70"/>
        <v>1356.6179199999999</v>
      </c>
      <c r="W765" s="3">
        <f t="shared" si="71"/>
        <v>764</v>
      </c>
    </row>
    <row r="766" spans="1:23" x14ac:dyDescent="0.2">
      <c r="A766" t="s">
        <v>491</v>
      </c>
      <c r="B766" t="s">
        <v>131</v>
      </c>
      <c r="C766" t="s">
        <v>31</v>
      </c>
      <c r="D766" t="s">
        <v>32</v>
      </c>
      <c r="E766" t="s">
        <v>56</v>
      </c>
      <c r="F766" s="7">
        <v>21735545</v>
      </c>
      <c r="G766" t="s">
        <v>1615</v>
      </c>
      <c r="H766" s="5">
        <v>91293</v>
      </c>
      <c r="I766" s="12">
        <v>46050</v>
      </c>
      <c r="J766" s="15">
        <v>60</v>
      </c>
      <c r="K766" s="15">
        <v>10</v>
      </c>
      <c r="L766" s="9">
        <v>7.4999999999999997E-2</v>
      </c>
      <c r="M766" s="9">
        <v>4.5400000000000003E-2</v>
      </c>
      <c r="N766" s="15">
        <v>8</v>
      </c>
      <c r="O766" t="s">
        <v>28</v>
      </c>
      <c r="P766" t="s">
        <v>28</v>
      </c>
      <c r="Q766" s="24">
        <v>0.5</v>
      </c>
      <c r="R766" s="5">
        <f t="shared" si="66"/>
        <v>1125.5301369863012</v>
      </c>
      <c r="S766" s="5">
        <f t="shared" si="67"/>
        <v>90.842787945205501</v>
      </c>
      <c r="T766" s="5">
        <f t="shared" si="68"/>
        <v>1034.6873490410956</v>
      </c>
      <c r="U766" s="15">
        <f t="shared" si="69"/>
        <v>52</v>
      </c>
      <c r="V766" s="3">
        <f t="shared" si="70"/>
        <v>1351.1363999999996</v>
      </c>
      <c r="W766" s="3">
        <f t="shared" si="71"/>
        <v>765</v>
      </c>
    </row>
    <row r="767" spans="1:23" x14ac:dyDescent="0.2">
      <c r="A767" t="s">
        <v>273</v>
      </c>
      <c r="B767" t="s">
        <v>274</v>
      </c>
      <c r="C767" t="s">
        <v>41</v>
      </c>
      <c r="D767" t="s">
        <v>37</v>
      </c>
      <c r="E767" t="s">
        <v>56</v>
      </c>
      <c r="F767" s="7">
        <v>12001432</v>
      </c>
      <c r="G767" t="s">
        <v>1372</v>
      </c>
      <c r="H767" s="5">
        <v>88239</v>
      </c>
      <c r="I767" s="12">
        <v>45903</v>
      </c>
      <c r="J767" s="15">
        <v>60</v>
      </c>
      <c r="K767" s="15">
        <v>5</v>
      </c>
      <c r="L767" s="9">
        <v>9.1800000000000007E-2</v>
      </c>
      <c r="M767" s="9">
        <v>4.8099999999999997E-2</v>
      </c>
      <c r="N767" s="15">
        <v>6</v>
      </c>
      <c r="O767" t="s">
        <v>27</v>
      </c>
      <c r="P767" t="s">
        <v>28</v>
      </c>
      <c r="Q767" s="24">
        <v>0.35</v>
      </c>
      <c r="R767" s="5">
        <f t="shared" si="66"/>
        <v>1331.5627726027396</v>
      </c>
      <c r="S767" s="5">
        <f t="shared" si="67"/>
        <v>69.769247671232876</v>
      </c>
      <c r="T767" s="5">
        <f t="shared" si="68"/>
        <v>1261.7935249315067</v>
      </c>
      <c r="U767" s="15">
        <f t="shared" si="69"/>
        <v>54</v>
      </c>
      <c r="V767" s="3">
        <f t="shared" si="70"/>
        <v>1349.6155050000002</v>
      </c>
      <c r="W767" s="3">
        <f t="shared" si="71"/>
        <v>766</v>
      </c>
    </row>
    <row r="768" spans="1:23" x14ac:dyDescent="0.2">
      <c r="A768" t="s">
        <v>226</v>
      </c>
      <c r="B768" t="s">
        <v>59</v>
      </c>
      <c r="C768" t="s">
        <v>77</v>
      </c>
      <c r="D768" t="s">
        <v>66</v>
      </c>
      <c r="E768" t="s">
        <v>25</v>
      </c>
      <c r="F768" s="7">
        <v>3501061</v>
      </c>
      <c r="G768" t="s">
        <v>977</v>
      </c>
      <c r="H768" s="5">
        <v>31055</v>
      </c>
      <c r="I768" s="12">
        <v>45809</v>
      </c>
      <c r="J768" s="15">
        <v>90</v>
      </c>
      <c r="K768" s="15">
        <v>4</v>
      </c>
      <c r="L768" s="9">
        <v>9.6299999999999997E-2</v>
      </c>
      <c r="M768" s="9">
        <v>4.8099999999999997E-2</v>
      </c>
      <c r="N768" s="15">
        <v>10</v>
      </c>
      <c r="O768" t="s">
        <v>27</v>
      </c>
      <c r="P768" t="s">
        <v>28</v>
      </c>
      <c r="Q768" s="24">
        <v>0.9</v>
      </c>
      <c r="R768" s="5">
        <f t="shared" si="66"/>
        <v>737.4073561643836</v>
      </c>
      <c r="S768" s="5">
        <f t="shared" si="67"/>
        <v>40.924534246575341</v>
      </c>
      <c r="T768" s="5">
        <f t="shared" si="68"/>
        <v>696.48282191780822</v>
      </c>
      <c r="U768" s="15">
        <f t="shared" si="69"/>
        <v>80</v>
      </c>
      <c r="V768" s="3">
        <f t="shared" si="70"/>
        <v>1347.1659</v>
      </c>
      <c r="W768" s="3">
        <f t="shared" si="71"/>
        <v>767</v>
      </c>
    </row>
    <row r="769" spans="1:23" x14ac:dyDescent="0.2">
      <c r="A769" t="s">
        <v>228</v>
      </c>
      <c r="B769" t="s">
        <v>62</v>
      </c>
      <c r="C769" t="s">
        <v>23</v>
      </c>
      <c r="D769" t="s">
        <v>66</v>
      </c>
      <c r="E769" t="s">
        <v>49</v>
      </c>
      <c r="F769" s="7">
        <v>1218251</v>
      </c>
      <c r="G769" t="s">
        <v>843</v>
      </c>
      <c r="H769" s="5">
        <v>33249</v>
      </c>
      <c r="I769" s="12">
        <v>45805</v>
      </c>
      <c r="J769" s="15">
        <v>90</v>
      </c>
      <c r="K769" s="15">
        <v>3</v>
      </c>
      <c r="L769" s="9">
        <v>0.1227</v>
      </c>
      <c r="M769" s="9">
        <v>6.0400000000000002E-2</v>
      </c>
      <c r="N769" s="15">
        <v>5</v>
      </c>
      <c r="O769" t="s">
        <v>27</v>
      </c>
      <c r="P769" t="s">
        <v>28</v>
      </c>
      <c r="Q769" s="24">
        <v>0.65</v>
      </c>
      <c r="R769" s="5">
        <f t="shared" si="66"/>
        <v>1005.9416630136986</v>
      </c>
      <c r="S769" s="5">
        <f t="shared" si="67"/>
        <v>27.510131506849316</v>
      </c>
      <c r="T769" s="5">
        <f t="shared" si="68"/>
        <v>978.4315315068493</v>
      </c>
      <c r="U769" s="15">
        <f t="shared" si="69"/>
        <v>85</v>
      </c>
      <c r="V769" s="3">
        <f t="shared" si="70"/>
        <v>1346.418255</v>
      </c>
      <c r="W769" s="3">
        <f t="shared" si="71"/>
        <v>768</v>
      </c>
    </row>
    <row r="770" spans="1:23" x14ac:dyDescent="0.2">
      <c r="A770" t="s">
        <v>351</v>
      </c>
      <c r="B770" t="s">
        <v>352</v>
      </c>
      <c r="C770" t="s">
        <v>36</v>
      </c>
      <c r="D770" t="s">
        <v>24</v>
      </c>
      <c r="E770" t="s">
        <v>49</v>
      </c>
      <c r="F770" s="7">
        <v>1439833</v>
      </c>
      <c r="G770" t="s">
        <v>1275</v>
      </c>
      <c r="H770" s="5">
        <v>12947</v>
      </c>
      <c r="I770" s="12">
        <v>46047</v>
      </c>
      <c r="J770" s="15">
        <v>60</v>
      </c>
      <c r="K770" s="15">
        <v>2</v>
      </c>
      <c r="L770" s="9">
        <v>0.17630000000000001</v>
      </c>
      <c r="M770" s="9">
        <v>4.6899999999999997E-2</v>
      </c>
      <c r="N770" s="15">
        <v>10</v>
      </c>
      <c r="O770" t="s">
        <v>27</v>
      </c>
      <c r="P770" t="s">
        <v>28</v>
      </c>
      <c r="Q770" s="24">
        <v>0.8</v>
      </c>
      <c r="R770" s="5">
        <f t="shared" ref="R770:R833" si="72">H770*L770*(J770/365)</f>
        <v>375.21470136986301</v>
      </c>
      <c r="S770" s="5">
        <f t="shared" ref="S770:S833" si="73">H770*M770*(N770/365)</f>
        <v>16.63600821917808</v>
      </c>
      <c r="T770" s="5">
        <f t="shared" ref="T770:T833" si="74">R770-S770</f>
        <v>358.5786931506849</v>
      </c>
      <c r="U770" s="15">
        <f t="shared" ref="U770:U833" si="75">J770-N770</f>
        <v>50</v>
      </c>
      <c r="V770" s="3">
        <f t="shared" ref="V770:V833" si="76">Q770*(L770-M770)*H770</f>
        <v>1340.2734400000002</v>
      </c>
      <c r="W770" s="3">
        <f t="shared" ref="W770:W833" si="77">RANK(V770,$V$2:$V$1501)</f>
        <v>769</v>
      </c>
    </row>
    <row r="771" spans="1:23" x14ac:dyDescent="0.2">
      <c r="A771" t="s">
        <v>145</v>
      </c>
      <c r="B771" t="s">
        <v>146</v>
      </c>
      <c r="C771" t="s">
        <v>23</v>
      </c>
      <c r="D771" t="s">
        <v>48</v>
      </c>
      <c r="E771" t="s">
        <v>25</v>
      </c>
      <c r="F771" s="7">
        <v>5790128</v>
      </c>
      <c r="G771" t="s">
        <v>742</v>
      </c>
      <c r="H771" s="5">
        <v>31116</v>
      </c>
      <c r="I771" s="12">
        <v>45922</v>
      </c>
      <c r="J771" s="15">
        <v>60</v>
      </c>
      <c r="K771" s="15">
        <v>10</v>
      </c>
      <c r="L771" s="9">
        <v>9.5799999999999996E-2</v>
      </c>
      <c r="M771" s="9">
        <v>4.8000000000000001E-2</v>
      </c>
      <c r="N771" s="15">
        <v>5</v>
      </c>
      <c r="O771" t="s">
        <v>28</v>
      </c>
      <c r="P771" t="s">
        <v>28</v>
      </c>
      <c r="Q771" s="24">
        <v>0.9</v>
      </c>
      <c r="R771" s="5">
        <f t="shared" si="72"/>
        <v>490.01306301369863</v>
      </c>
      <c r="S771" s="5">
        <f t="shared" si="73"/>
        <v>20.459835616438355</v>
      </c>
      <c r="T771" s="5">
        <f t="shared" si="74"/>
        <v>469.55322739726029</v>
      </c>
      <c r="U771" s="15">
        <f t="shared" si="75"/>
        <v>55</v>
      </c>
      <c r="V771" s="3">
        <f t="shared" si="76"/>
        <v>1338.6103199999998</v>
      </c>
      <c r="W771" s="3">
        <f t="shared" si="77"/>
        <v>770</v>
      </c>
    </row>
    <row r="772" spans="1:23" x14ac:dyDescent="0.2">
      <c r="A772" t="s">
        <v>142</v>
      </c>
      <c r="B772" t="s">
        <v>143</v>
      </c>
      <c r="C772" t="s">
        <v>36</v>
      </c>
      <c r="D772" t="s">
        <v>66</v>
      </c>
      <c r="E772" t="s">
        <v>49</v>
      </c>
      <c r="F772" s="7">
        <v>735440</v>
      </c>
      <c r="G772" t="s">
        <v>776</v>
      </c>
      <c r="H772" s="5">
        <v>26076</v>
      </c>
      <c r="I772" s="12">
        <v>46033</v>
      </c>
      <c r="J772" s="15">
        <v>45</v>
      </c>
      <c r="K772" s="15">
        <v>3</v>
      </c>
      <c r="L772" s="9">
        <v>0.13020000000000001</v>
      </c>
      <c r="M772" s="9">
        <v>5.1299999999999998E-2</v>
      </c>
      <c r="N772" s="15">
        <v>10</v>
      </c>
      <c r="O772" t="s">
        <v>27</v>
      </c>
      <c r="P772" t="s">
        <v>28</v>
      </c>
      <c r="Q772" s="24">
        <v>0.65</v>
      </c>
      <c r="R772" s="5">
        <f t="shared" si="72"/>
        <v>418.57338082191779</v>
      </c>
      <c r="S772" s="5">
        <f t="shared" si="73"/>
        <v>36.64928219178082</v>
      </c>
      <c r="T772" s="5">
        <f t="shared" si="74"/>
        <v>381.924098630137</v>
      </c>
      <c r="U772" s="15">
        <f t="shared" si="75"/>
        <v>35</v>
      </c>
      <c r="V772" s="3">
        <f t="shared" si="76"/>
        <v>1337.3076600000004</v>
      </c>
      <c r="W772" s="3">
        <f t="shared" si="77"/>
        <v>771</v>
      </c>
    </row>
    <row r="773" spans="1:23" x14ac:dyDescent="0.2">
      <c r="A773" t="s">
        <v>220</v>
      </c>
      <c r="B773" t="s">
        <v>221</v>
      </c>
      <c r="C773" t="s">
        <v>36</v>
      </c>
      <c r="D773" t="s">
        <v>37</v>
      </c>
      <c r="E773" t="s">
        <v>25</v>
      </c>
      <c r="F773" s="7">
        <v>6280246</v>
      </c>
      <c r="G773" t="s">
        <v>1357</v>
      </c>
      <c r="H773" s="5">
        <v>23433</v>
      </c>
      <c r="I773" s="12">
        <v>46076</v>
      </c>
      <c r="J773" s="15">
        <v>90</v>
      </c>
      <c r="K773" s="15">
        <v>3</v>
      </c>
      <c r="L773" s="9">
        <v>0.1205</v>
      </c>
      <c r="M773" s="9">
        <v>5.7599999999999998E-2</v>
      </c>
      <c r="N773" s="15">
        <v>10</v>
      </c>
      <c r="O773" t="s">
        <v>28</v>
      </c>
      <c r="P773" t="s">
        <v>28</v>
      </c>
      <c r="Q773" s="24">
        <v>0.9</v>
      </c>
      <c r="R773" s="5">
        <f t="shared" si="72"/>
        <v>696.24900000000002</v>
      </c>
      <c r="S773" s="5">
        <f t="shared" si="73"/>
        <v>36.979199999999999</v>
      </c>
      <c r="T773" s="5">
        <f t="shared" si="74"/>
        <v>659.26980000000003</v>
      </c>
      <c r="U773" s="15">
        <f t="shared" si="75"/>
        <v>80</v>
      </c>
      <c r="V773" s="3">
        <f t="shared" si="76"/>
        <v>1326.54213</v>
      </c>
      <c r="W773" s="3">
        <f t="shared" si="77"/>
        <v>772</v>
      </c>
    </row>
    <row r="774" spans="1:23" x14ac:dyDescent="0.2">
      <c r="A774" t="s">
        <v>156</v>
      </c>
      <c r="B774" t="s">
        <v>157</v>
      </c>
      <c r="C774" t="s">
        <v>23</v>
      </c>
      <c r="D774" t="s">
        <v>66</v>
      </c>
      <c r="E774" t="s">
        <v>49</v>
      </c>
      <c r="F774" s="7">
        <v>981924</v>
      </c>
      <c r="G774" t="s">
        <v>1229</v>
      </c>
      <c r="H774" s="5">
        <v>32700</v>
      </c>
      <c r="I774" s="12">
        <v>45910</v>
      </c>
      <c r="J774" s="15">
        <v>45</v>
      </c>
      <c r="K774" s="15">
        <v>10</v>
      </c>
      <c r="L774" s="9">
        <v>0.17169999999999999</v>
      </c>
      <c r="M774" s="9">
        <v>5.5800000000000002E-2</v>
      </c>
      <c r="N774" s="15">
        <v>5</v>
      </c>
      <c r="O774" t="s">
        <v>27</v>
      </c>
      <c r="P774" t="s">
        <v>28</v>
      </c>
      <c r="Q774" s="24">
        <v>0.35</v>
      </c>
      <c r="R774" s="5">
        <f t="shared" si="72"/>
        <v>692.20972602739721</v>
      </c>
      <c r="S774" s="5">
        <f t="shared" si="73"/>
        <v>24.995342465753424</v>
      </c>
      <c r="T774" s="5">
        <f t="shared" si="74"/>
        <v>667.21438356164379</v>
      </c>
      <c r="U774" s="15">
        <f t="shared" si="75"/>
        <v>40</v>
      </c>
      <c r="V774" s="3">
        <f t="shared" si="76"/>
        <v>1326.4755</v>
      </c>
      <c r="W774" s="3">
        <f t="shared" si="77"/>
        <v>773</v>
      </c>
    </row>
    <row r="775" spans="1:23" x14ac:dyDescent="0.2">
      <c r="A775" t="s">
        <v>109</v>
      </c>
      <c r="B775" t="s">
        <v>110</v>
      </c>
      <c r="C775" t="s">
        <v>41</v>
      </c>
      <c r="D775" t="s">
        <v>37</v>
      </c>
      <c r="E775" t="s">
        <v>49</v>
      </c>
      <c r="F775" s="7">
        <v>1383695</v>
      </c>
      <c r="G775" t="s">
        <v>574</v>
      </c>
      <c r="H775" s="5">
        <v>16910</v>
      </c>
      <c r="I775" s="12">
        <v>45827</v>
      </c>
      <c r="J775" s="15">
        <v>45</v>
      </c>
      <c r="K775" s="15">
        <v>5</v>
      </c>
      <c r="L775" s="9">
        <v>0.16850000000000001</v>
      </c>
      <c r="M775" s="9">
        <v>4.7899999999999998E-2</v>
      </c>
      <c r="N775" s="15">
        <v>10</v>
      </c>
      <c r="O775" t="s">
        <v>27</v>
      </c>
      <c r="P775" t="s">
        <v>28</v>
      </c>
      <c r="Q775" s="24">
        <v>0.65</v>
      </c>
      <c r="R775" s="5">
        <f t="shared" si="72"/>
        <v>351.28787671232874</v>
      </c>
      <c r="S775" s="5">
        <f t="shared" si="73"/>
        <v>22.191479452054789</v>
      </c>
      <c r="T775" s="5">
        <f t="shared" si="74"/>
        <v>329.09639726027393</v>
      </c>
      <c r="U775" s="15">
        <f t="shared" si="75"/>
        <v>35</v>
      </c>
      <c r="V775" s="3">
        <f t="shared" si="76"/>
        <v>1325.5749000000003</v>
      </c>
      <c r="W775" s="3">
        <f t="shared" si="77"/>
        <v>774</v>
      </c>
    </row>
    <row r="776" spans="1:23" x14ac:dyDescent="0.2">
      <c r="A776" t="s">
        <v>407</v>
      </c>
      <c r="B776" t="s">
        <v>218</v>
      </c>
      <c r="C776" t="s">
        <v>41</v>
      </c>
      <c r="D776" t="s">
        <v>32</v>
      </c>
      <c r="E776" t="s">
        <v>25</v>
      </c>
      <c r="F776" s="7">
        <v>1514188</v>
      </c>
      <c r="G776" t="s">
        <v>1785</v>
      </c>
      <c r="H776" s="5">
        <v>24074</v>
      </c>
      <c r="I776" s="12">
        <v>45883</v>
      </c>
      <c r="J776" s="15">
        <v>60</v>
      </c>
      <c r="K776" s="15">
        <v>2</v>
      </c>
      <c r="L776" s="9">
        <v>0.11600000000000001</v>
      </c>
      <c r="M776" s="9">
        <v>4.7199999999999999E-2</v>
      </c>
      <c r="N776" s="15">
        <v>8</v>
      </c>
      <c r="O776" t="s">
        <v>27</v>
      </c>
      <c r="P776" t="s">
        <v>28</v>
      </c>
      <c r="Q776" s="24">
        <v>0.8</v>
      </c>
      <c r="R776" s="5">
        <f t="shared" si="72"/>
        <v>459.05490410958907</v>
      </c>
      <c r="S776" s="5">
        <f t="shared" si="73"/>
        <v>24.905047671232875</v>
      </c>
      <c r="T776" s="5">
        <f t="shared" si="74"/>
        <v>434.14985643835621</v>
      </c>
      <c r="U776" s="15">
        <f t="shared" si="75"/>
        <v>52</v>
      </c>
      <c r="V776" s="3">
        <f t="shared" si="76"/>
        <v>1325.0329600000002</v>
      </c>
      <c r="W776" s="3">
        <f t="shared" si="77"/>
        <v>775</v>
      </c>
    </row>
    <row r="777" spans="1:23" x14ac:dyDescent="0.2">
      <c r="A777" t="s">
        <v>120</v>
      </c>
      <c r="B777" t="s">
        <v>121</v>
      </c>
      <c r="C777" t="s">
        <v>31</v>
      </c>
      <c r="D777" t="s">
        <v>48</v>
      </c>
      <c r="E777" t="s">
        <v>56</v>
      </c>
      <c r="F777" s="7">
        <v>14943587</v>
      </c>
      <c r="G777" t="s">
        <v>266</v>
      </c>
      <c r="H777" s="5">
        <v>28426</v>
      </c>
      <c r="I777" s="12">
        <v>45985</v>
      </c>
      <c r="J777" s="15">
        <v>90</v>
      </c>
      <c r="K777" s="15">
        <v>10</v>
      </c>
      <c r="L777" s="9">
        <v>0.1046</v>
      </c>
      <c r="M777" s="9">
        <v>4.65E-2</v>
      </c>
      <c r="N777" s="15">
        <v>8</v>
      </c>
      <c r="O777" t="s">
        <v>27</v>
      </c>
      <c r="P777" t="s">
        <v>28</v>
      </c>
      <c r="Q777" s="24">
        <v>0.8</v>
      </c>
      <c r="R777" s="5">
        <f t="shared" si="72"/>
        <v>733.15716164383548</v>
      </c>
      <c r="S777" s="5">
        <f t="shared" si="73"/>
        <v>28.971156164383562</v>
      </c>
      <c r="T777" s="5">
        <f t="shared" si="74"/>
        <v>704.18600547945186</v>
      </c>
      <c r="U777" s="15">
        <f t="shared" si="75"/>
        <v>82</v>
      </c>
      <c r="V777" s="3">
        <f t="shared" si="76"/>
        <v>1321.2404799999999</v>
      </c>
      <c r="W777" s="3">
        <f t="shared" si="77"/>
        <v>776</v>
      </c>
    </row>
    <row r="778" spans="1:23" x14ac:dyDescent="0.2">
      <c r="A778" t="s">
        <v>396</v>
      </c>
      <c r="B778" t="s">
        <v>397</v>
      </c>
      <c r="C778" t="s">
        <v>77</v>
      </c>
      <c r="D778" t="s">
        <v>66</v>
      </c>
      <c r="E778" t="s">
        <v>49</v>
      </c>
      <c r="F778" s="7">
        <v>1043844</v>
      </c>
      <c r="G778" t="s">
        <v>398</v>
      </c>
      <c r="H778" s="5">
        <v>95459</v>
      </c>
      <c r="I778" s="12">
        <v>45928</v>
      </c>
      <c r="J778" s="15">
        <v>30</v>
      </c>
      <c r="K778" s="15">
        <v>3</v>
      </c>
      <c r="L778" s="9">
        <v>0.11550000000000001</v>
      </c>
      <c r="M778" s="9">
        <v>4.6699999999999998E-2</v>
      </c>
      <c r="N778" s="15">
        <v>8</v>
      </c>
      <c r="O778" t="s">
        <v>27</v>
      </c>
      <c r="P778" t="s">
        <v>28</v>
      </c>
      <c r="Q778" s="24">
        <v>0.2</v>
      </c>
      <c r="R778" s="5">
        <f t="shared" si="72"/>
        <v>906.20667123287672</v>
      </c>
      <c r="S778" s="5">
        <f t="shared" si="73"/>
        <v>97.708170958904105</v>
      </c>
      <c r="T778" s="5">
        <f t="shared" si="74"/>
        <v>808.49850027397258</v>
      </c>
      <c r="U778" s="15">
        <f t="shared" si="75"/>
        <v>22</v>
      </c>
      <c r="V778" s="3">
        <f t="shared" si="76"/>
        <v>1313.51584</v>
      </c>
      <c r="W778" s="3">
        <f t="shared" si="77"/>
        <v>777</v>
      </c>
    </row>
    <row r="779" spans="1:23" x14ac:dyDescent="0.2">
      <c r="A779" t="s">
        <v>392</v>
      </c>
      <c r="B779" t="s">
        <v>393</v>
      </c>
      <c r="C779" t="s">
        <v>23</v>
      </c>
      <c r="D779" t="s">
        <v>32</v>
      </c>
      <c r="E779" t="s">
        <v>56</v>
      </c>
      <c r="F779" s="7">
        <v>13101534</v>
      </c>
      <c r="G779" t="s">
        <v>823</v>
      </c>
      <c r="H779" s="5">
        <v>98013</v>
      </c>
      <c r="I779" s="12">
        <v>45820</v>
      </c>
      <c r="J779" s="15">
        <v>90</v>
      </c>
      <c r="K779" s="15">
        <v>3</v>
      </c>
      <c r="L779" s="9">
        <v>8.9499999999999996E-2</v>
      </c>
      <c r="M779" s="9">
        <v>5.1299999999999998E-2</v>
      </c>
      <c r="N779" s="15">
        <v>10</v>
      </c>
      <c r="O779" t="s">
        <v>27</v>
      </c>
      <c r="P779" t="s">
        <v>28</v>
      </c>
      <c r="Q779" s="24">
        <v>0.35</v>
      </c>
      <c r="R779" s="5">
        <f t="shared" si="72"/>
        <v>2162.9992191780816</v>
      </c>
      <c r="S779" s="5">
        <f t="shared" si="73"/>
        <v>137.75525753424657</v>
      </c>
      <c r="T779" s="5">
        <f t="shared" si="74"/>
        <v>2025.2439616438351</v>
      </c>
      <c r="U779" s="15">
        <f t="shared" si="75"/>
        <v>80</v>
      </c>
      <c r="V779" s="3">
        <f t="shared" si="76"/>
        <v>1310.4338099999998</v>
      </c>
      <c r="W779" s="3">
        <f t="shared" si="77"/>
        <v>778</v>
      </c>
    </row>
    <row r="780" spans="1:23" x14ac:dyDescent="0.2">
      <c r="A780" t="s">
        <v>100</v>
      </c>
      <c r="B780" t="s">
        <v>101</v>
      </c>
      <c r="C780" t="s">
        <v>77</v>
      </c>
      <c r="D780" t="s">
        <v>48</v>
      </c>
      <c r="E780" t="s">
        <v>49</v>
      </c>
      <c r="F780" s="7">
        <v>1484226</v>
      </c>
      <c r="G780" t="s">
        <v>1505</v>
      </c>
      <c r="H780" s="5">
        <v>49095</v>
      </c>
      <c r="I780" s="12">
        <v>45683</v>
      </c>
      <c r="J780" s="15">
        <v>60</v>
      </c>
      <c r="K780" s="15">
        <v>2</v>
      </c>
      <c r="L780" s="9">
        <v>0.17929999999999999</v>
      </c>
      <c r="M780" s="9">
        <v>4.6100000000000002E-2</v>
      </c>
      <c r="N780" s="15">
        <v>7</v>
      </c>
      <c r="O780" t="s">
        <v>28</v>
      </c>
      <c r="P780" t="s">
        <v>28</v>
      </c>
      <c r="Q780" s="24">
        <v>0.2</v>
      </c>
      <c r="R780" s="5">
        <f t="shared" si="72"/>
        <v>1447.0246849315067</v>
      </c>
      <c r="S780" s="5">
        <f t="shared" si="73"/>
        <v>43.405360273972605</v>
      </c>
      <c r="T780" s="5">
        <f t="shared" si="74"/>
        <v>1403.6193246575342</v>
      </c>
      <c r="U780" s="15">
        <f t="shared" si="75"/>
        <v>53</v>
      </c>
      <c r="V780" s="3">
        <f t="shared" si="76"/>
        <v>1307.8907999999999</v>
      </c>
      <c r="W780" s="3">
        <f t="shared" si="77"/>
        <v>779</v>
      </c>
    </row>
    <row r="781" spans="1:23" x14ac:dyDescent="0.2">
      <c r="A781" t="s">
        <v>109</v>
      </c>
      <c r="B781" t="s">
        <v>110</v>
      </c>
      <c r="C781" t="s">
        <v>41</v>
      </c>
      <c r="D781" t="s">
        <v>37</v>
      </c>
      <c r="E781" t="s">
        <v>49</v>
      </c>
      <c r="F781" s="7">
        <v>1383695</v>
      </c>
      <c r="G781" t="s">
        <v>1170</v>
      </c>
      <c r="H781" s="5">
        <v>34344</v>
      </c>
      <c r="I781" s="12">
        <v>46039</v>
      </c>
      <c r="J781" s="15">
        <v>60</v>
      </c>
      <c r="K781" s="15">
        <v>10</v>
      </c>
      <c r="L781" s="9">
        <v>0.16850000000000001</v>
      </c>
      <c r="M781" s="9">
        <v>5.9799999999999999E-2</v>
      </c>
      <c r="N781" s="15">
        <v>10</v>
      </c>
      <c r="O781" t="s">
        <v>27</v>
      </c>
      <c r="P781" t="s">
        <v>28</v>
      </c>
      <c r="Q781" s="24">
        <v>0.35</v>
      </c>
      <c r="R781" s="5">
        <f t="shared" si="72"/>
        <v>951.2817534246575</v>
      </c>
      <c r="S781" s="5">
        <f t="shared" si="73"/>
        <v>56.26770410958904</v>
      </c>
      <c r="T781" s="5">
        <f t="shared" si="74"/>
        <v>895.01404931506841</v>
      </c>
      <c r="U781" s="15">
        <f t="shared" si="75"/>
        <v>50</v>
      </c>
      <c r="V781" s="3">
        <f t="shared" si="76"/>
        <v>1306.6174800000001</v>
      </c>
      <c r="W781" s="3">
        <f t="shared" si="77"/>
        <v>780</v>
      </c>
    </row>
    <row r="782" spans="1:23" x14ac:dyDescent="0.2">
      <c r="A782" t="s">
        <v>166</v>
      </c>
      <c r="B782" t="s">
        <v>167</v>
      </c>
      <c r="C782" t="s">
        <v>41</v>
      </c>
      <c r="D782" t="s">
        <v>24</v>
      </c>
      <c r="E782" t="s">
        <v>25</v>
      </c>
      <c r="F782" s="7">
        <v>6222733</v>
      </c>
      <c r="G782" t="s">
        <v>1340</v>
      </c>
      <c r="H782" s="5">
        <v>28232</v>
      </c>
      <c r="I782" s="12">
        <v>45844</v>
      </c>
      <c r="J782" s="15">
        <v>90</v>
      </c>
      <c r="K782" s="15">
        <v>2</v>
      </c>
      <c r="L782" s="9">
        <v>0.13980000000000001</v>
      </c>
      <c r="M782" s="9">
        <v>4.8099999999999997E-2</v>
      </c>
      <c r="N782" s="15">
        <v>7</v>
      </c>
      <c r="O782" t="s">
        <v>28</v>
      </c>
      <c r="P782" t="s">
        <v>28</v>
      </c>
      <c r="Q782" s="24">
        <v>0.5</v>
      </c>
      <c r="R782" s="5">
        <f t="shared" si="72"/>
        <v>973.19184657534254</v>
      </c>
      <c r="S782" s="5">
        <f t="shared" si="73"/>
        <v>26.043053150684933</v>
      </c>
      <c r="T782" s="5">
        <f t="shared" si="74"/>
        <v>947.14879342465758</v>
      </c>
      <c r="U782" s="15">
        <f t="shared" si="75"/>
        <v>83</v>
      </c>
      <c r="V782" s="3">
        <f t="shared" si="76"/>
        <v>1294.4372000000001</v>
      </c>
      <c r="W782" s="3">
        <f t="shared" si="77"/>
        <v>781</v>
      </c>
    </row>
    <row r="783" spans="1:23" x14ac:dyDescent="0.2">
      <c r="A783" t="s">
        <v>453</v>
      </c>
      <c r="B783" t="s">
        <v>454</v>
      </c>
      <c r="C783" t="s">
        <v>23</v>
      </c>
      <c r="D783" t="s">
        <v>32</v>
      </c>
      <c r="E783" t="s">
        <v>49</v>
      </c>
      <c r="F783" s="7">
        <v>1410716</v>
      </c>
      <c r="G783" t="s">
        <v>1118</v>
      </c>
      <c r="H783" s="5">
        <v>66493</v>
      </c>
      <c r="I783" s="12">
        <v>45794</v>
      </c>
      <c r="J783" s="15">
        <v>60</v>
      </c>
      <c r="K783" s="15">
        <v>2</v>
      </c>
      <c r="L783" s="9">
        <v>0.1472</v>
      </c>
      <c r="M783" s="9">
        <v>4.99E-2</v>
      </c>
      <c r="N783" s="15">
        <v>8</v>
      </c>
      <c r="O783" t="s">
        <v>27</v>
      </c>
      <c r="P783" t="s">
        <v>28</v>
      </c>
      <c r="Q783" s="24">
        <v>0.2</v>
      </c>
      <c r="R783" s="5">
        <f t="shared" si="72"/>
        <v>1608.94842739726</v>
      </c>
      <c r="S783" s="5">
        <f t="shared" si="73"/>
        <v>72.723303013698626</v>
      </c>
      <c r="T783" s="5">
        <f t="shared" si="74"/>
        <v>1536.2251243835615</v>
      </c>
      <c r="U783" s="15">
        <f t="shared" si="75"/>
        <v>52</v>
      </c>
      <c r="V783" s="3">
        <f t="shared" si="76"/>
        <v>1293.9537800000001</v>
      </c>
      <c r="W783" s="3">
        <f t="shared" si="77"/>
        <v>782</v>
      </c>
    </row>
    <row r="784" spans="1:23" x14ac:dyDescent="0.2">
      <c r="A784" t="s">
        <v>153</v>
      </c>
      <c r="B784" t="s">
        <v>154</v>
      </c>
      <c r="C784" t="s">
        <v>41</v>
      </c>
      <c r="D784" t="s">
        <v>66</v>
      </c>
      <c r="E784" t="s">
        <v>49</v>
      </c>
      <c r="F784" s="7">
        <v>367690</v>
      </c>
      <c r="G784" t="s">
        <v>987</v>
      </c>
      <c r="H784" s="5">
        <v>34923</v>
      </c>
      <c r="I784" s="12">
        <v>45941</v>
      </c>
      <c r="J784" s="15">
        <v>60</v>
      </c>
      <c r="K784" s="15">
        <v>10</v>
      </c>
      <c r="L784" s="9">
        <v>0.1305</v>
      </c>
      <c r="M784" s="9">
        <v>5.6399999999999999E-2</v>
      </c>
      <c r="N784" s="15">
        <v>6</v>
      </c>
      <c r="O784" t="s">
        <v>28</v>
      </c>
      <c r="P784" t="s">
        <v>28</v>
      </c>
      <c r="Q784" s="24">
        <v>0.5</v>
      </c>
      <c r="R784" s="5">
        <f t="shared" si="72"/>
        <v>749.17010958904109</v>
      </c>
      <c r="S784" s="5">
        <f t="shared" si="73"/>
        <v>32.377926575342464</v>
      </c>
      <c r="T784" s="5">
        <f t="shared" si="74"/>
        <v>716.7921830136986</v>
      </c>
      <c r="U784" s="15">
        <f t="shared" si="75"/>
        <v>54</v>
      </c>
      <c r="V784" s="3">
        <f t="shared" si="76"/>
        <v>1293.89715</v>
      </c>
      <c r="W784" s="3">
        <f t="shared" si="77"/>
        <v>783</v>
      </c>
    </row>
    <row r="785" spans="1:23" x14ac:dyDescent="0.2">
      <c r="A785" t="s">
        <v>457</v>
      </c>
      <c r="B785" t="s">
        <v>184</v>
      </c>
      <c r="C785" t="s">
        <v>36</v>
      </c>
      <c r="D785" t="s">
        <v>66</v>
      </c>
      <c r="E785" t="s">
        <v>49</v>
      </c>
      <c r="F785" s="7">
        <v>1104797</v>
      </c>
      <c r="G785" t="s">
        <v>1358</v>
      </c>
      <c r="H785" s="5">
        <v>36960</v>
      </c>
      <c r="I785" s="12">
        <v>46029</v>
      </c>
      <c r="J785" s="15">
        <v>45</v>
      </c>
      <c r="K785" s="15">
        <v>5</v>
      </c>
      <c r="L785" s="9">
        <v>0.13320000000000001</v>
      </c>
      <c r="M785" s="9">
        <v>6.3500000000000001E-2</v>
      </c>
      <c r="N785" s="15">
        <v>5</v>
      </c>
      <c r="O785" t="s">
        <v>27</v>
      </c>
      <c r="P785" t="s">
        <v>28</v>
      </c>
      <c r="Q785" s="24">
        <v>0.5</v>
      </c>
      <c r="R785" s="5">
        <f t="shared" si="72"/>
        <v>606.9540821917808</v>
      </c>
      <c r="S785" s="5">
        <f t="shared" si="73"/>
        <v>32.150136986301369</v>
      </c>
      <c r="T785" s="5">
        <f t="shared" si="74"/>
        <v>574.80394520547941</v>
      </c>
      <c r="U785" s="15">
        <f t="shared" si="75"/>
        <v>40</v>
      </c>
      <c r="V785" s="3">
        <f t="shared" si="76"/>
        <v>1288.0560000000003</v>
      </c>
      <c r="W785" s="3">
        <f t="shared" si="77"/>
        <v>784</v>
      </c>
    </row>
    <row r="786" spans="1:23" x14ac:dyDescent="0.2">
      <c r="A786" t="s">
        <v>259</v>
      </c>
      <c r="B786" t="s">
        <v>260</v>
      </c>
      <c r="C786" t="s">
        <v>77</v>
      </c>
      <c r="D786" t="s">
        <v>37</v>
      </c>
      <c r="E786" t="s">
        <v>56</v>
      </c>
      <c r="F786" s="7">
        <v>20068674</v>
      </c>
      <c r="G786" t="s">
        <v>261</v>
      </c>
      <c r="H786" s="5">
        <v>34818</v>
      </c>
      <c r="I786" s="12">
        <v>45671</v>
      </c>
      <c r="J786" s="15">
        <v>60</v>
      </c>
      <c r="K786" s="15">
        <v>7</v>
      </c>
      <c r="L786" s="9">
        <v>0.1062</v>
      </c>
      <c r="M786" s="9">
        <v>4.9500000000000002E-2</v>
      </c>
      <c r="N786" s="15">
        <v>6</v>
      </c>
      <c r="O786" t="s">
        <v>27</v>
      </c>
      <c r="P786" t="s">
        <v>28</v>
      </c>
      <c r="Q786" s="24">
        <v>0.65</v>
      </c>
      <c r="R786" s="5">
        <f t="shared" si="72"/>
        <v>607.83642739726031</v>
      </c>
      <c r="S786" s="5">
        <f t="shared" si="73"/>
        <v>28.331358904109585</v>
      </c>
      <c r="T786" s="5">
        <f t="shared" si="74"/>
        <v>579.5050684931507</v>
      </c>
      <c r="U786" s="15">
        <f t="shared" si="75"/>
        <v>54</v>
      </c>
      <c r="V786" s="3">
        <f t="shared" si="76"/>
        <v>1283.21739</v>
      </c>
      <c r="W786" s="3">
        <f t="shared" si="77"/>
        <v>785</v>
      </c>
    </row>
    <row r="787" spans="1:23" x14ac:dyDescent="0.2">
      <c r="A787" t="s">
        <v>94</v>
      </c>
      <c r="B787" t="s">
        <v>95</v>
      </c>
      <c r="C787" t="s">
        <v>41</v>
      </c>
      <c r="D787" t="s">
        <v>66</v>
      </c>
      <c r="E787" t="s">
        <v>25</v>
      </c>
      <c r="F787" s="7">
        <v>2406772</v>
      </c>
      <c r="G787" t="s">
        <v>517</v>
      </c>
      <c r="H787" s="5">
        <v>63505</v>
      </c>
      <c r="I787" s="12">
        <v>45727</v>
      </c>
      <c r="J787" s="15">
        <v>60</v>
      </c>
      <c r="K787" s="15">
        <v>10</v>
      </c>
      <c r="L787" s="9">
        <v>0.1091</v>
      </c>
      <c r="M787" s="9">
        <v>5.1499999999999997E-2</v>
      </c>
      <c r="N787" s="15">
        <v>8</v>
      </c>
      <c r="O787" t="s">
        <v>27</v>
      </c>
      <c r="P787" t="s">
        <v>28</v>
      </c>
      <c r="Q787" s="24">
        <v>0.35</v>
      </c>
      <c r="R787" s="5">
        <f t="shared" si="72"/>
        <v>1138.9143287671234</v>
      </c>
      <c r="S787" s="5">
        <f t="shared" si="73"/>
        <v>71.682356164383549</v>
      </c>
      <c r="T787" s="5">
        <f t="shared" si="74"/>
        <v>1067.2319726027399</v>
      </c>
      <c r="U787" s="15">
        <f t="shared" si="75"/>
        <v>52</v>
      </c>
      <c r="V787" s="3">
        <f t="shared" si="76"/>
        <v>1280.2608</v>
      </c>
      <c r="W787" s="3">
        <f t="shared" si="77"/>
        <v>786</v>
      </c>
    </row>
    <row r="788" spans="1:23" x14ac:dyDescent="0.2">
      <c r="A788" t="s">
        <v>571</v>
      </c>
      <c r="B788" t="s">
        <v>214</v>
      </c>
      <c r="C788" t="s">
        <v>31</v>
      </c>
      <c r="D788" t="s">
        <v>48</v>
      </c>
      <c r="E788" t="s">
        <v>25</v>
      </c>
      <c r="F788" s="7">
        <v>4353599</v>
      </c>
      <c r="G788" t="s">
        <v>1181</v>
      </c>
      <c r="H788" s="5">
        <v>28716</v>
      </c>
      <c r="I788" s="12">
        <v>45686</v>
      </c>
      <c r="J788" s="15">
        <v>30</v>
      </c>
      <c r="K788" s="15">
        <v>5</v>
      </c>
      <c r="L788" s="9">
        <v>9.5600000000000004E-2</v>
      </c>
      <c r="M788" s="9">
        <v>4.6100000000000002E-2</v>
      </c>
      <c r="N788" s="15">
        <v>10</v>
      </c>
      <c r="O788" t="s">
        <v>27</v>
      </c>
      <c r="P788" t="s">
        <v>28</v>
      </c>
      <c r="Q788" s="24">
        <v>0.9</v>
      </c>
      <c r="R788" s="5">
        <f t="shared" si="72"/>
        <v>225.63695342465752</v>
      </c>
      <c r="S788" s="5">
        <f t="shared" si="73"/>
        <v>36.268701369863017</v>
      </c>
      <c r="T788" s="5">
        <f t="shared" si="74"/>
        <v>189.36825205479451</v>
      </c>
      <c r="U788" s="15">
        <f t="shared" si="75"/>
        <v>20</v>
      </c>
      <c r="V788" s="3">
        <f t="shared" si="76"/>
        <v>1279.2978000000003</v>
      </c>
      <c r="W788" s="3">
        <f t="shared" si="77"/>
        <v>787</v>
      </c>
    </row>
    <row r="789" spans="1:23" x14ac:dyDescent="0.2">
      <c r="A789" t="s">
        <v>889</v>
      </c>
      <c r="B789" t="s">
        <v>286</v>
      </c>
      <c r="C789" t="s">
        <v>23</v>
      </c>
      <c r="D789" t="s">
        <v>66</v>
      </c>
      <c r="E789" t="s">
        <v>49</v>
      </c>
      <c r="F789" s="7">
        <v>1374525</v>
      </c>
      <c r="G789" t="s">
        <v>1043</v>
      </c>
      <c r="H789" s="5">
        <v>90852</v>
      </c>
      <c r="I789" s="12">
        <v>45861</v>
      </c>
      <c r="J789" s="15">
        <v>45</v>
      </c>
      <c r="K789" s="15">
        <v>2</v>
      </c>
      <c r="L789" s="9">
        <v>0.13320000000000001</v>
      </c>
      <c r="M789" s="9">
        <v>6.3E-2</v>
      </c>
      <c r="N789" s="15">
        <v>8</v>
      </c>
      <c r="O789" t="s">
        <v>27</v>
      </c>
      <c r="P789" t="s">
        <v>28</v>
      </c>
      <c r="Q789" s="24">
        <v>0.2</v>
      </c>
      <c r="R789" s="5">
        <f t="shared" si="72"/>
        <v>1491.964076712329</v>
      </c>
      <c r="S789" s="5">
        <f t="shared" si="73"/>
        <v>125.45043287671234</v>
      </c>
      <c r="T789" s="5">
        <f t="shared" si="74"/>
        <v>1366.5136438356167</v>
      </c>
      <c r="U789" s="15">
        <f t="shared" si="75"/>
        <v>37</v>
      </c>
      <c r="V789" s="3">
        <f t="shared" si="76"/>
        <v>1275.5620800000004</v>
      </c>
      <c r="W789" s="3">
        <f t="shared" si="77"/>
        <v>788</v>
      </c>
    </row>
    <row r="790" spans="1:23" x14ac:dyDescent="0.2">
      <c r="A790" t="s">
        <v>213</v>
      </c>
      <c r="B790" t="s">
        <v>214</v>
      </c>
      <c r="C790" t="s">
        <v>77</v>
      </c>
      <c r="D790" t="s">
        <v>32</v>
      </c>
      <c r="E790" t="s">
        <v>56</v>
      </c>
      <c r="F790" s="7">
        <v>22426293</v>
      </c>
      <c r="G790" t="s">
        <v>928</v>
      </c>
      <c r="H790" s="5">
        <v>102287</v>
      </c>
      <c r="I790" s="12">
        <v>45670</v>
      </c>
      <c r="J790" s="15">
        <v>60</v>
      </c>
      <c r="K790" s="15">
        <v>2</v>
      </c>
      <c r="L790" s="9">
        <v>9.8299999999999998E-2</v>
      </c>
      <c r="M790" s="9">
        <v>6.2700000000000006E-2</v>
      </c>
      <c r="N790" s="15">
        <v>8</v>
      </c>
      <c r="O790" t="s">
        <v>27</v>
      </c>
      <c r="P790" t="s">
        <v>28</v>
      </c>
      <c r="Q790" s="24">
        <v>0.35</v>
      </c>
      <c r="R790" s="5">
        <f t="shared" si="72"/>
        <v>1652.845824657534</v>
      </c>
      <c r="S790" s="5">
        <f t="shared" si="73"/>
        <v>140.56755945205481</v>
      </c>
      <c r="T790" s="5">
        <f t="shared" si="74"/>
        <v>1512.2782652054791</v>
      </c>
      <c r="U790" s="15">
        <f t="shared" si="75"/>
        <v>52</v>
      </c>
      <c r="V790" s="3">
        <f t="shared" si="76"/>
        <v>1274.4960199999998</v>
      </c>
      <c r="W790" s="3">
        <f t="shared" si="77"/>
        <v>789</v>
      </c>
    </row>
    <row r="791" spans="1:23" x14ac:dyDescent="0.2">
      <c r="A791" t="s">
        <v>429</v>
      </c>
      <c r="B791" t="s">
        <v>430</v>
      </c>
      <c r="C791" t="s">
        <v>41</v>
      </c>
      <c r="D791" t="s">
        <v>48</v>
      </c>
      <c r="E791" t="s">
        <v>56</v>
      </c>
      <c r="F791" s="7">
        <v>22445214</v>
      </c>
      <c r="G791" t="s">
        <v>1768</v>
      </c>
      <c r="H791" s="5">
        <v>93748</v>
      </c>
      <c r="I791" s="12">
        <v>45957</v>
      </c>
      <c r="J791" s="15">
        <v>60</v>
      </c>
      <c r="K791" s="15">
        <v>2</v>
      </c>
      <c r="L791" s="9">
        <v>8.4000000000000005E-2</v>
      </c>
      <c r="M791" s="9">
        <v>4.5199999999999997E-2</v>
      </c>
      <c r="N791" s="15">
        <v>7</v>
      </c>
      <c r="O791" t="s">
        <v>27</v>
      </c>
      <c r="P791" t="s">
        <v>28</v>
      </c>
      <c r="Q791" s="24">
        <v>0.35</v>
      </c>
      <c r="R791" s="5">
        <f t="shared" si="72"/>
        <v>1294.4929315068493</v>
      </c>
      <c r="S791" s="5">
        <f t="shared" si="73"/>
        <v>81.265389589041106</v>
      </c>
      <c r="T791" s="5">
        <f t="shared" si="74"/>
        <v>1213.2275419178081</v>
      </c>
      <c r="U791" s="15">
        <f t="shared" si="75"/>
        <v>53</v>
      </c>
      <c r="V791" s="3">
        <f t="shared" si="76"/>
        <v>1273.0978400000001</v>
      </c>
      <c r="W791" s="3">
        <f t="shared" si="77"/>
        <v>790</v>
      </c>
    </row>
    <row r="792" spans="1:23" x14ac:dyDescent="0.2">
      <c r="A792" t="s">
        <v>252</v>
      </c>
      <c r="B792" t="s">
        <v>89</v>
      </c>
      <c r="C792" t="s">
        <v>31</v>
      </c>
      <c r="D792" t="s">
        <v>24</v>
      </c>
      <c r="E792" t="s">
        <v>49</v>
      </c>
      <c r="F792" s="7">
        <v>971327</v>
      </c>
      <c r="G792" t="s">
        <v>1570</v>
      </c>
      <c r="H792" s="5">
        <v>35567</v>
      </c>
      <c r="I792" s="12">
        <v>45974</v>
      </c>
      <c r="J792" s="15">
        <v>45</v>
      </c>
      <c r="K792" s="15">
        <v>4</v>
      </c>
      <c r="L792" s="9">
        <v>0.15229999999999999</v>
      </c>
      <c r="M792" s="9">
        <v>5.0200000000000002E-2</v>
      </c>
      <c r="N792" s="15">
        <v>8</v>
      </c>
      <c r="O792" t="s">
        <v>28</v>
      </c>
      <c r="P792" t="s">
        <v>28</v>
      </c>
      <c r="Q792" s="24">
        <v>0.35</v>
      </c>
      <c r="R792" s="5">
        <f t="shared" si="72"/>
        <v>667.83132739726022</v>
      </c>
      <c r="S792" s="5">
        <f t="shared" si="73"/>
        <v>39.133444383561645</v>
      </c>
      <c r="T792" s="5">
        <f t="shared" si="74"/>
        <v>628.69788301369863</v>
      </c>
      <c r="U792" s="15">
        <f t="shared" si="75"/>
        <v>37</v>
      </c>
      <c r="V792" s="3">
        <f t="shared" si="76"/>
        <v>1270.9867449999999</v>
      </c>
      <c r="W792" s="3">
        <f t="shared" si="77"/>
        <v>791</v>
      </c>
    </row>
    <row r="793" spans="1:23" x14ac:dyDescent="0.2">
      <c r="A793" t="s">
        <v>186</v>
      </c>
      <c r="B793" t="s">
        <v>187</v>
      </c>
      <c r="C793" t="s">
        <v>41</v>
      </c>
      <c r="D793" t="s">
        <v>32</v>
      </c>
      <c r="E793" t="s">
        <v>25</v>
      </c>
      <c r="F793" s="7">
        <v>3649528</v>
      </c>
      <c r="G793" t="s">
        <v>1413</v>
      </c>
      <c r="H793" s="5">
        <v>94285</v>
      </c>
      <c r="I793" s="12">
        <v>45913</v>
      </c>
      <c r="J793" s="15">
        <v>90</v>
      </c>
      <c r="K793" s="15">
        <v>2</v>
      </c>
      <c r="L793" s="9">
        <v>0.1283</v>
      </c>
      <c r="M793" s="9">
        <v>6.1100000000000002E-2</v>
      </c>
      <c r="N793" s="15">
        <v>6</v>
      </c>
      <c r="O793" t="s">
        <v>27</v>
      </c>
      <c r="P793" t="s">
        <v>28</v>
      </c>
      <c r="Q793" s="24">
        <v>0.2</v>
      </c>
      <c r="R793" s="5">
        <f t="shared" si="72"/>
        <v>2982.7640958904108</v>
      </c>
      <c r="S793" s="5">
        <f t="shared" si="73"/>
        <v>94.698304109589031</v>
      </c>
      <c r="T793" s="5">
        <f t="shared" si="74"/>
        <v>2888.0657917808217</v>
      </c>
      <c r="U793" s="15">
        <f t="shared" si="75"/>
        <v>84</v>
      </c>
      <c r="V793" s="3">
        <f t="shared" si="76"/>
        <v>1267.1904</v>
      </c>
      <c r="W793" s="3">
        <f t="shared" si="77"/>
        <v>792</v>
      </c>
    </row>
    <row r="794" spans="1:23" x14ac:dyDescent="0.2">
      <c r="A794" t="s">
        <v>249</v>
      </c>
      <c r="B794" t="s">
        <v>250</v>
      </c>
      <c r="C794" t="s">
        <v>23</v>
      </c>
      <c r="D794" t="s">
        <v>66</v>
      </c>
      <c r="E794" t="s">
        <v>25</v>
      </c>
      <c r="F794" s="7">
        <v>2803992</v>
      </c>
      <c r="G794" t="s">
        <v>251</v>
      </c>
      <c r="H794" s="5">
        <v>91310</v>
      </c>
      <c r="I794" s="12">
        <v>45929</v>
      </c>
      <c r="J794" s="15">
        <v>45</v>
      </c>
      <c r="K794" s="15">
        <v>5</v>
      </c>
      <c r="L794" s="9">
        <v>0.1036</v>
      </c>
      <c r="M794" s="9">
        <v>6.4000000000000001E-2</v>
      </c>
      <c r="N794" s="15">
        <v>7</v>
      </c>
      <c r="O794" t="s">
        <v>27</v>
      </c>
      <c r="P794" t="s">
        <v>28</v>
      </c>
      <c r="Q794" s="24">
        <v>0.35</v>
      </c>
      <c r="R794" s="5">
        <f t="shared" si="72"/>
        <v>1166.2663561643835</v>
      </c>
      <c r="S794" s="5">
        <f t="shared" si="73"/>
        <v>112.07364383561645</v>
      </c>
      <c r="T794" s="5">
        <f t="shared" si="74"/>
        <v>1054.1927123287671</v>
      </c>
      <c r="U794" s="15">
        <f t="shared" si="75"/>
        <v>38</v>
      </c>
      <c r="V794" s="3">
        <f t="shared" si="76"/>
        <v>1265.5565999999997</v>
      </c>
      <c r="W794" s="3">
        <f t="shared" si="77"/>
        <v>793</v>
      </c>
    </row>
    <row r="795" spans="1:23" x14ac:dyDescent="0.2">
      <c r="A795" t="s">
        <v>120</v>
      </c>
      <c r="B795" t="s">
        <v>121</v>
      </c>
      <c r="C795" t="s">
        <v>31</v>
      </c>
      <c r="D795" t="s">
        <v>48</v>
      </c>
      <c r="E795" t="s">
        <v>56</v>
      </c>
      <c r="F795" s="7">
        <v>14943587</v>
      </c>
      <c r="G795" t="s">
        <v>1267</v>
      </c>
      <c r="H795" s="5">
        <v>36749</v>
      </c>
      <c r="I795" s="12">
        <v>45995</v>
      </c>
      <c r="J795" s="15">
        <v>90</v>
      </c>
      <c r="K795" s="15">
        <v>3</v>
      </c>
      <c r="L795" s="9">
        <v>0.1046</v>
      </c>
      <c r="M795" s="9">
        <v>6.1600000000000002E-2</v>
      </c>
      <c r="N795" s="15">
        <v>7</v>
      </c>
      <c r="O795" t="s">
        <v>27</v>
      </c>
      <c r="P795" t="s">
        <v>28</v>
      </c>
      <c r="Q795" s="24">
        <v>0.8</v>
      </c>
      <c r="R795" s="5">
        <f t="shared" si="72"/>
        <v>947.82215342465747</v>
      </c>
      <c r="S795" s="5">
        <f t="shared" si="73"/>
        <v>43.414161095890414</v>
      </c>
      <c r="T795" s="5">
        <f t="shared" si="74"/>
        <v>904.40799232876702</v>
      </c>
      <c r="U795" s="15">
        <f t="shared" si="75"/>
        <v>83</v>
      </c>
      <c r="V795" s="3">
        <f t="shared" si="76"/>
        <v>1264.1656</v>
      </c>
      <c r="W795" s="3">
        <f t="shared" si="77"/>
        <v>794</v>
      </c>
    </row>
    <row r="796" spans="1:23" x14ac:dyDescent="0.2">
      <c r="A796" t="s">
        <v>61</v>
      </c>
      <c r="B796" t="s">
        <v>62</v>
      </c>
      <c r="C796" t="s">
        <v>31</v>
      </c>
      <c r="D796" t="s">
        <v>48</v>
      </c>
      <c r="E796" t="s">
        <v>25</v>
      </c>
      <c r="F796" s="7">
        <v>3350013</v>
      </c>
      <c r="G796" t="s">
        <v>616</v>
      </c>
      <c r="H796" s="5">
        <v>98725</v>
      </c>
      <c r="I796" s="12">
        <v>45919</v>
      </c>
      <c r="J796" s="15">
        <v>45</v>
      </c>
      <c r="K796" s="15">
        <v>7</v>
      </c>
      <c r="L796" s="9">
        <v>0.1144</v>
      </c>
      <c r="M796" s="9">
        <v>5.04E-2</v>
      </c>
      <c r="N796" s="15">
        <v>10</v>
      </c>
      <c r="O796" t="s">
        <v>27</v>
      </c>
      <c r="P796" t="s">
        <v>28</v>
      </c>
      <c r="Q796" s="24">
        <v>0.2</v>
      </c>
      <c r="R796" s="5">
        <f t="shared" si="72"/>
        <v>1392.4282191780821</v>
      </c>
      <c r="S796" s="5">
        <f t="shared" si="73"/>
        <v>136.32164383561641</v>
      </c>
      <c r="T796" s="5">
        <f t="shared" si="74"/>
        <v>1256.1065753424657</v>
      </c>
      <c r="U796" s="15">
        <f t="shared" si="75"/>
        <v>35</v>
      </c>
      <c r="V796" s="3">
        <f t="shared" si="76"/>
        <v>1263.68</v>
      </c>
      <c r="W796" s="3">
        <f t="shared" si="77"/>
        <v>795</v>
      </c>
    </row>
    <row r="797" spans="1:23" x14ac:dyDescent="0.2">
      <c r="A797" t="s">
        <v>197</v>
      </c>
      <c r="B797" t="s">
        <v>198</v>
      </c>
      <c r="C797" t="s">
        <v>23</v>
      </c>
      <c r="D797" t="s">
        <v>48</v>
      </c>
      <c r="E797" t="s">
        <v>56</v>
      </c>
      <c r="F797" s="7">
        <v>13513506</v>
      </c>
      <c r="G797" t="s">
        <v>199</v>
      </c>
      <c r="H797" s="5">
        <v>92031</v>
      </c>
      <c r="I797" s="12">
        <v>45757</v>
      </c>
      <c r="J797" s="15">
        <v>45</v>
      </c>
      <c r="K797" s="15">
        <v>10</v>
      </c>
      <c r="L797" s="9">
        <v>8.1799999999999998E-2</v>
      </c>
      <c r="M797" s="9">
        <v>6.0699999999999997E-2</v>
      </c>
      <c r="N797" s="15">
        <v>6</v>
      </c>
      <c r="O797" t="s">
        <v>27</v>
      </c>
      <c r="P797" t="s">
        <v>28</v>
      </c>
      <c r="Q797" s="24">
        <v>0.65</v>
      </c>
      <c r="R797" s="5">
        <f t="shared" si="72"/>
        <v>928.12633150684928</v>
      </c>
      <c r="S797" s="5">
        <f t="shared" si="73"/>
        <v>91.829288219178068</v>
      </c>
      <c r="T797" s="5">
        <f t="shared" si="74"/>
        <v>836.29704328767116</v>
      </c>
      <c r="U797" s="15">
        <f t="shared" si="75"/>
        <v>39</v>
      </c>
      <c r="V797" s="3">
        <f t="shared" si="76"/>
        <v>1262.2051650000001</v>
      </c>
      <c r="W797" s="3">
        <f t="shared" si="77"/>
        <v>796</v>
      </c>
    </row>
    <row r="798" spans="1:23" x14ac:dyDescent="0.2">
      <c r="A798" t="s">
        <v>201</v>
      </c>
      <c r="B798" t="s">
        <v>76</v>
      </c>
      <c r="C798" t="s">
        <v>23</v>
      </c>
      <c r="D798" t="s">
        <v>37</v>
      </c>
      <c r="E798" t="s">
        <v>56</v>
      </c>
      <c r="F798" s="7">
        <v>21198154</v>
      </c>
      <c r="G798" t="s">
        <v>965</v>
      </c>
      <c r="H798" s="5">
        <v>101158</v>
      </c>
      <c r="I798" s="12">
        <v>45898</v>
      </c>
      <c r="J798" s="15">
        <v>60</v>
      </c>
      <c r="K798" s="15">
        <v>2</v>
      </c>
      <c r="L798" s="9">
        <v>0.1086</v>
      </c>
      <c r="M798" s="9">
        <v>4.6300000000000001E-2</v>
      </c>
      <c r="N798" s="15">
        <v>7</v>
      </c>
      <c r="O798" t="s">
        <v>27</v>
      </c>
      <c r="P798" t="s">
        <v>28</v>
      </c>
      <c r="Q798" s="24">
        <v>0.2</v>
      </c>
      <c r="R798" s="5">
        <f t="shared" si="72"/>
        <v>1805.8781589041093</v>
      </c>
      <c r="S798" s="5">
        <f t="shared" si="73"/>
        <v>89.822761095890414</v>
      </c>
      <c r="T798" s="5">
        <f t="shared" si="74"/>
        <v>1716.0553978082189</v>
      </c>
      <c r="U798" s="15">
        <f t="shared" si="75"/>
        <v>53</v>
      </c>
      <c r="V798" s="3">
        <f t="shared" si="76"/>
        <v>1260.42868</v>
      </c>
      <c r="W798" s="3">
        <f t="shared" si="77"/>
        <v>797</v>
      </c>
    </row>
    <row r="799" spans="1:23" x14ac:dyDescent="0.2">
      <c r="A799" t="s">
        <v>228</v>
      </c>
      <c r="B799" t="s">
        <v>62</v>
      </c>
      <c r="C799" t="s">
        <v>23</v>
      </c>
      <c r="D799" t="s">
        <v>66</v>
      </c>
      <c r="E799" t="s">
        <v>49</v>
      </c>
      <c r="F799" s="7">
        <v>1218251</v>
      </c>
      <c r="G799" t="s">
        <v>1714</v>
      </c>
      <c r="H799" s="5">
        <v>22552</v>
      </c>
      <c r="I799" s="12">
        <v>45978</v>
      </c>
      <c r="J799" s="15">
        <v>60</v>
      </c>
      <c r="K799" s="15">
        <v>10</v>
      </c>
      <c r="L799" s="9">
        <v>0.1227</v>
      </c>
      <c r="M799" s="9">
        <v>5.3199999999999997E-2</v>
      </c>
      <c r="N799" s="15">
        <v>5</v>
      </c>
      <c r="O799" t="s">
        <v>27</v>
      </c>
      <c r="P799" t="s">
        <v>28</v>
      </c>
      <c r="Q799" s="24">
        <v>0.8</v>
      </c>
      <c r="R799" s="5">
        <f t="shared" si="72"/>
        <v>454.87075068493147</v>
      </c>
      <c r="S799" s="5">
        <f t="shared" si="73"/>
        <v>16.43515616438356</v>
      </c>
      <c r="T799" s="5">
        <f t="shared" si="74"/>
        <v>438.43559452054791</v>
      </c>
      <c r="U799" s="15">
        <f t="shared" si="75"/>
        <v>55</v>
      </c>
      <c r="V799" s="3">
        <f t="shared" si="76"/>
        <v>1253.8912000000003</v>
      </c>
      <c r="W799" s="3">
        <f t="shared" si="77"/>
        <v>798</v>
      </c>
    </row>
    <row r="800" spans="1:23" x14ac:dyDescent="0.2">
      <c r="A800" t="s">
        <v>252</v>
      </c>
      <c r="B800" t="s">
        <v>89</v>
      </c>
      <c r="C800" t="s">
        <v>31</v>
      </c>
      <c r="D800" t="s">
        <v>24</v>
      </c>
      <c r="E800" t="s">
        <v>49</v>
      </c>
      <c r="F800" s="7">
        <v>971327</v>
      </c>
      <c r="G800" t="s">
        <v>1448</v>
      </c>
      <c r="H800" s="5">
        <v>15646</v>
      </c>
      <c r="I800" s="12">
        <v>45724</v>
      </c>
      <c r="J800" s="15">
        <v>60</v>
      </c>
      <c r="K800" s="15">
        <v>7</v>
      </c>
      <c r="L800" s="9">
        <v>0.15229999999999999</v>
      </c>
      <c r="M800" s="9">
        <v>6.3399999999999998E-2</v>
      </c>
      <c r="N800" s="15">
        <v>5</v>
      </c>
      <c r="O800" t="s">
        <v>27</v>
      </c>
      <c r="P800" t="s">
        <v>28</v>
      </c>
      <c r="Q800" s="24">
        <v>0.9</v>
      </c>
      <c r="R800" s="5">
        <f t="shared" si="72"/>
        <v>391.70725479452051</v>
      </c>
      <c r="S800" s="5">
        <f t="shared" si="73"/>
        <v>13.588443835616436</v>
      </c>
      <c r="T800" s="5">
        <f t="shared" si="74"/>
        <v>378.11881095890408</v>
      </c>
      <c r="U800" s="15">
        <f t="shared" si="75"/>
        <v>55</v>
      </c>
      <c r="V800" s="3">
        <f t="shared" si="76"/>
        <v>1251.83646</v>
      </c>
      <c r="W800" s="3">
        <f t="shared" si="77"/>
        <v>799</v>
      </c>
    </row>
    <row r="801" spans="1:23" x14ac:dyDescent="0.2">
      <c r="A801" t="s">
        <v>448</v>
      </c>
      <c r="B801" t="s">
        <v>264</v>
      </c>
      <c r="C801" t="s">
        <v>77</v>
      </c>
      <c r="D801" t="s">
        <v>37</v>
      </c>
      <c r="E801" t="s">
        <v>25</v>
      </c>
      <c r="F801" s="7">
        <v>5041335</v>
      </c>
      <c r="G801" t="s">
        <v>1429</v>
      </c>
      <c r="H801" s="5">
        <v>22198</v>
      </c>
      <c r="I801" s="12">
        <v>46038</v>
      </c>
      <c r="J801" s="15">
        <v>60</v>
      </c>
      <c r="K801" s="15">
        <v>7</v>
      </c>
      <c r="L801" s="9">
        <v>0.1198</v>
      </c>
      <c r="M801" s="9">
        <v>5.7299999999999997E-2</v>
      </c>
      <c r="N801" s="15">
        <v>7</v>
      </c>
      <c r="O801" t="s">
        <v>27</v>
      </c>
      <c r="P801" t="s">
        <v>28</v>
      </c>
      <c r="Q801" s="24">
        <v>0.9</v>
      </c>
      <c r="R801" s="5">
        <f t="shared" si="72"/>
        <v>437.14855890410956</v>
      </c>
      <c r="S801" s="5">
        <f t="shared" si="73"/>
        <v>24.393473424657532</v>
      </c>
      <c r="T801" s="5">
        <f t="shared" si="74"/>
        <v>412.75508547945202</v>
      </c>
      <c r="U801" s="15">
        <f t="shared" si="75"/>
        <v>53</v>
      </c>
      <c r="V801" s="3">
        <f t="shared" si="76"/>
        <v>1248.6375</v>
      </c>
      <c r="W801" s="3">
        <f t="shared" si="77"/>
        <v>800</v>
      </c>
    </row>
    <row r="802" spans="1:23" x14ac:dyDescent="0.2">
      <c r="A802" t="s">
        <v>281</v>
      </c>
      <c r="B802" t="s">
        <v>47</v>
      </c>
      <c r="C802" t="s">
        <v>23</v>
      </c>
      <c r="D802" t="s">
        <v>66</v>
      </c>
      <c r="E802" t="s">
        <v>56</v>
      </c>
      <c r="F802" s="7">
        <v>22780879</v>
      </c>
      <c r="G802" t="s">
        <v>1184</v>
      </c>
      <c r="H802" s="5">
        <v>100575</v>
      </c>
      <c r="I802" s="12">
        <v>46023</v>
      </c>
      <c r="J802" s="15">
        <v>60</v>
      </c>
      <c r="K802" s="15">
        <v>5</v>
      </c>
      <c r="L802" s="9">
        <v>7.0800000000000002E-2</v>
      </c>
      <c r="M802" s="9">
        <v>5.5300000000000002E-2</v>
      </c>
      <c r="N802" s="15">
        <v>10</v>
      </c>
      <c r="O802" t="s">
        <v>28</v>
      </c>
      <c r="P802" t="s">
        <v>28</v>
      </c>
      <c r="Q802" s="24">
        <v>0.8</v>
      </c>
      <c r="R802" s="5">
        <f t="shared" si="72"/>
        <v>1170.5276712328766</v>
      </c>
      <c r="S802" s="5">
        <f t="shared" si="73"/>
        <v>152.37801369863016</v>
      </c>
      <c r="T802" s="5">
        <f t="shared" si="74"/>
        <v>1018.1496575342464</v>
      </c>
      <c r="U802" s="15">
        <f t="shared" si="75"/>
        <v>50</v>
      </c>
      <c r="V802" s="3">
        <f t="shared" si="76"/>
        <v>1247.1300000000001</v>
      </c>
      <c r="W802" s="3">
        <f t="shared" si="77"/>
        <v>801</v>
      </c>
    </row>
    <row r="803" spans="1:23" x14ac:dyDescent="0.2">
      <c r="A803" t="s">
        <v>401</v>
      </c>
      <c r="B803" t="s">
        <v>402</v>
      </c>
      <c r="C803" t="s">
        <v>41</v>
      </c>
      <c r="D803" t="s">
        <v>32</v>
      </c>
      <c r="E803" t="s">
        <v>25</v>
      </c>
      <c r="F803" s="7">
        <v>4153903</v>
      </c>
      <c r="G803" t="s">
        <v>419</v>
      </c>
      <c r="H803" s="5">
        <v>44990</v>
      </c>
      <c r="I803" s="12">
        <v>45813</v>
      </c>
      <c r="J803" s="15">
        <v>90</v>
      </c>
      <c r="K803" s="15">
        <v>10</v>
      </c>
      <c r="L803" s="9">
        <v>0.13669999999999999</v>
      </c>
      <c r="M803" s="9">
        <v>5.7500000000000002E-2</v>
      </c>
      <c r="N803" s="15">
        <v>10</v>
      </c>
      <c r="O803" t="s">
        <v>27</v>
      </c>
      <c r="P803" t="s">
        <v>28</v>
      </c>
      <c r="Q803" s="24">
        <v>0.35</v>
      </c>
      <c r="R803" s="5">
        <f t="shared" si="72"/>
        <v>1516.4711506849314</v>
      </c>
      <c r="S803" s="5">
        <f t="shared" si="73"/>
        <v>70.87465753424658</v>
      </c>
      <c r="T803" s="5">
        <f t="shared" si="74"/>
        <v>1445.5964931506849</v>
      </c>
      <c r="U803" s="15">
        <f t="shared" si="75"/>
        <v>80</v>
      </c>
      <c r="V803" s="3">
        <f t="shared" si="76"/>
        <v>1247.1227999999999</v>
      </c>
      <c r="W803" s="3">
        <f t="shared" si="77"/>
        <v>802</v>
      </c>
    </row>
    <row r="804" spans="1:23" x14ac:dyDescent="0.2">
      <c r="A804" t="s">
        <v>829</v>
      </c>
      <c r="B804" t="s">
        <v>194</v>
      </c>
      <c r="C804" t="s">
        <v>23</v>
      </c>
      <c r="D804" t="s">
        <v>24</v>
      </c>
      <c r="E804" t="s">
        <v>25</v>
      </c>
      <c r="F804" s="7">
        <v>4842575</v>
      </c>
      <c r="G804" t="s">
        <v>933</v>
      </c>
      <c r="H804" s="5">
        <v>34577</v>
      </c>
      <c r="I804" s="12">
        <v>45690</v>
      </c>
      <c r="J804" s="15">
        <v>60</v>
      </c>
      <c r="K804" s="15">
        <v>4</v>
      </c>
      <c r="L804" s="9">
        <v>0.10639999999999999</v>
      </c>
      <c r="M804" s="9">
        <v>6.1400000000000003E-2</v>
      </c>
      <c r="N804" s="15">
        <v>5</v>
      </c>
      <c r="O804" t="s">
        <v>27</v>
      </c>
      <c r="P804" t="s">
        <v>28</v>
      </c>
      <c r="Q804" s="24">
        <v>0.8</v>
      </c>
      <c r="R804" s="5">
        <f t="shared" si="72"/>
        <v>604.76593972602734</v>
      </c>
      <c r="S804" s="5">
        <f t="shared" si="73"/>
        <v>29.082572602739727</v>
      </c>
      <c r="T804" s="5">
        <f t="shared" si="74"/>
        <v>575.68336712328767</v>
      </c>
      <c r="U804" s="15">
        <f t="shared" si="75"/>
        <v>55</v>
      </c>
      <c r="V804" s="3">
        <f t="shared" si="76"/>
        <v>1244.7719999999999</v>
      </c>
      <c r="W804" s="3">
        <f t="shared" si="77"/>
        <v>803</v>
      </c>
    </row>
    <row r="805" spans="1:23" x14ac:dyDescent="0.2">
      <c r="A805" t="s">
        <v>453</v>
      </c>
      <c r="B805" t="s">
        <v>454</v>
      </c>
      <c r="C805" t="s">
        <v>23</v>
      </c>
      <c r="D805" t="s">
        <v>32</v>
      </c>
      <c r="E805" t="s">
        <v>49</v>
      </c>
      <c r="F805" s="7">
        <v>1410716</v>
      </c>
      <c r="G805" t="s">
        <v>1019</v>
      </c>
      <c r="H805" s="5">
        <v>22029</v>
      </c>
      <c r="I805" s="12">
        <v>45916</v>
      </c>
      <c r="J805" s="15">
        <v>60</v>
      </c>
      <c r="K805" s="15">
        <v>7</v>
      </c>
      <c r="L805" s="9">
        <v>0.1472</v>
      </c>
      <c r="M805" s="9">
        <v>6.0400000000000002E-2</v>
      </c>
      <c r="N805" s="15">
        <v>8</v>
      </c>
      <c r="O805" t="s">
        <v>28</v>
      </c>
      <c r="P805" t="s">
        <v>28</v>
      </c>
      <c r="Q805" s="24">
        <v>0.65</v>
      </c>
      <c r="R805" s="5">
        <f t="shared" si="72"/>
        <v>533.04144657534243</v>
      </c>
      <c r="S805" s="5">
        <f t="shared" si="73"/>
        <v>29.162774794520548</v>
      </c>
      <c r="T805" s="5">
        <f t="shared" si="74"/>
        <v>503.87867178082189</v>
      </c>
      <c r="U805" s="15">
        <f t="shared" si="75"/>
        <v>52</v>
      </c>
      <c r="V805" s="3">
        <f t="shared" si="76"/>
        <v>1242.8761799999997</v>
      </c>
      <c r="W805" s="3">
        <f t="shared" si="77"/>
        <v>804</v>
      </c>
    </row>
    <row r="806" spans="1:23" x14ac:dyDescent="0.2">
      <c r="A806" t="s">
        <v>518</v>
      </c>
      <c r="B806" t="s">
        <v>519</v>
      </c>
      <c r="C806" t="s">
        <v>41</v>
      </c>
      <c r="D806" t="s">
        <v>48</v>
      </c>
      <c r="E806" t="s">
        <v>25</v>
      </c>
      <c r="F806" s="7">
        <v>6967315</v>
      </c>
      <c r="G806" t="s">
        <v>848</v>
      </c>
      <c r="H806" s="5">
        <v>87771</v>
      </c>
      <c r="I806" s="12">
        <v>45740</v>
      </c>
      <c r="J806" s="15">
        <v>60</v>
      </c>
      <c r="K806" s="15">
        <v>4</v>
      </c>
      <c r="L806" s="9">
        <v>9.1999999999999998E-2</v>
      </c>
      <c r="M806" s="9">
        <v>5.16E-2</v>
      </c>
      <c r="N806" s="15">
        <v>5</v>
      </c>
      <c r="O806" t="s">
        <v>28</v>
      </c>
      <c r="P806" t="s">
        <v>28</v>
      </c>
      <c r="Q806" s="24">
        <v>0.35</v>
      </c>
      <c r="R806" s="5">
        <f t="shared" si="72"/>
        <v>1327.3860821917808</v>
      </c>
      <c r="S806" s="5">
        <f t="shared" si="73"/>
        <v>62.040871232876704</v>
      </c>
      <c r="T806" s="5">
        <f t="shared" si="74"/>
        <v>1265.3452109589041</v>
      </c>
      <c r="U806" s="15">
        <f t="shared" si="75"/>
        <v>55</v>
      </c>
      <c r="V806" s="3">
        <f t="shared" si="76"/>
        <v>1241.0819399999998</v>
      </c>
      <c r="W806" s="3">
        <f t="shared" si="77"/>
        <v>805</v>
      </c>
    </row>
    <row r="807" spans="1:23" x14ac:dyDescent="0.2">
      <c r="A807" t="s">
        <v>136</v>
      </c>
      <c r="B807" t="s">
        <v>137</v>
      </c>
      <c r="C807" t="s">
        <v>31</v>
      </c>
      <c r="D807" t="s">
        <v>37</v>
      </c>
      <c r="E807" t="s">
        <v>56</v>
      </c>
      <c r="F807" s="7">
        <v>17196352</v>
      </c>
      <c r="G807" t="s">
        <v>138</v>
      </c>
      <c r="H807" s="5">
        <v>67576</v>
      </c>
      <c r="I807" s="12">
        <v>45714</v>
      </c>
      <c r="J807" s="15">
        <v>60</v>
      </c>
      <c r="K807" s="15">
        <v>5</v>
      </c>
      <c r="L807" s="9">
        <v>8.1500000000000003E-2</v>
      </c>
      <c r="M807" s="9">
        <v>5.33E-2</v>
      </c>
      <c r="N807" s="15">
        <v>6</v>
      </c>
      <c r="O807" t="s">
        <v>27</v>
      </c>
      <c r="P807" t="s">
        <v>28</v>
      </c>
      <c r="Q807" s="24">
        <v>0.65</v>
      </c>
      <c r="R807" s="5">
        <f t="shared" si="72"/>
        <v>905.33326027397266</v>
      </c>
      <c r="S807" s="5">
        <f t="shared" si="73"/>
        <v>59.207684383561634</v>
      </c>
      <c r="T807" s="5">
        <f t="shared" si="74"/>
        <v>846.12557589041103</v>
      </c>
      <c r="U807" s="15">
        <f t="shared" si="75"/>
        <v>54</v>
      </c>
      <c r="V807" s="3">
        <f t="shared" si="76"/>
        <v>1238.6680800000001</v>
      </c>
      <c r="W807" s="3">
        <f t="shared" si="77"/>
        <v>806</v>
      </c>
    </row>
    <row r="808" spans="1:23" x14ac:dyDescent="0.2">
      <c r="A808" t="s">
        <v>421</v>
      </c>
      <c r="B808" t="s">
        <v>422</v>
      </c>
      <c r="C808" t="s">
        <v>41</v>
      </c>
      <c r="D808" t="s">
        <v>66</v>
      </c>
      <c r="E808" t="s">
        <v>56</v>
      </c>
      <c r="F808" s="7">
        <v>13972206</v>
      </c>
      <c r="G808" t="s">
        <v>470</v>
      </c>
      <c r="H808" s="5">
        <v>58952</v>
      </c>
      <c r="I808" s="12">
        <v>45803</v>
      </c>
      <c r="J808" s="15">
        <v>90</v>
      </c>
      <c r="K808" s="15">
        <v>7</v>
      </c>
      <c r="L808" s="9">
        <v>9.5000000000000001E-2</v>
      </c>
      <c r="M808" s="9">
        <v>5.2999999999999999E-2</v>
      </c>
      <c r="N808" s="15">
        <v>8</v>
      </c>
      <c r="O808" t="s">
        <v>27</v>
      </c>
      <c r="P808" t="s">
        <v>28</v>
      </c>
      <c r="Q808" s="24">
        <v>0.5</v>
      </c>
      <c r="R808" s="5">
        <f t="shared" si="72"/>
        <v>1380.9304109589041</v>
      </c>
      <c r="S808" s="5">
        <f t="shared" si="73"/>
        <v>68.481227397260284</v>
      </c>
      <c r="T808" s="5">
        <f t="shared" si="74"/>
        <v>1312.4491835616438</v>
      </c>
      <c r="U808" s="15">
        <f t="shared" si="75"/>
        <v>82</v>
      </c>
      <c r="V808" s="3">
        <f t="shared" si="76"/>
        <v>1237.9920000000002</v>
      </c>
      <c r="W808" s="3">
        <f t="shared" si="77"/>
        <v>807</v>
      </c>
    </row>
    <row r="809" spans="1:23" x14ac:dyDescent="0.2">
      <c r="A809" t="s">
        <v>474</v>
      </c>
      <c r="B809" t="s">
        <v>207</v>
      </c>
      <c r="C809" t="s">
        <v>31</v>
      </c>
      <c r="D809" t="s">
        <v>37</v>
      </c>
      <c r="E809" t="s">
        <v>25</v>
      </c>
      <c r="F809" s="7">
        <v>4395110</v>
      </c>
      <c r="G809" t="s">
        <v>1772</v>
      </c>
      <c r="H809" s="5">
        <v>33402</v>
      </c>
      <c r="I809" s="12">
        <v>45721</v>
      </c>
      <c r="J809" s="15">
        <v>60</v>
      </c>
      <c r="K809" s="15">
        <v>4</v>
      </c>
      <c r="L809" s="9">
        <v>0.1066</v>
      </c>
      <c r="M809" s="9">
        <v>4.9700000000000001E-2</v>
      </c>
      <c r="N809" s="15">
        <v>6</v>
      </c>
      <c r="O809" t="s">
        <v>27</v>
      </c>
      <c r="P809" t="s">
        <v>28</v>
      </c>
      <c r="Q809" s="24">
        <v>0.65</v>
      </c>
      <c r="R809" s="5">
        <f t="shared" si="72"/>
        <v>585.3128547945206</v>
      </c>
      <c r="S809" s="5">
        <f t="shared" si="73"/>
        <v>27.288976438356162</v>
      </c>
      <c r="T809" s="5">
        <f t="shared" si="74"/>
        <v>558.02387835616446</v>
      </c>
      <c r="U809" s="15">
        <f t="shared" si="75"/>
        <v>54</v>
      </c>
      <c r="V809" s="3">
        <f t="shared" si="76"/>
        <v>1235.3729700000001</v>
      </c>
      <c r="W809" s="3">
        <f t="shared" si="77"/>
        <v>808</v>
      </c>
    </row>
    <row r="810" spans="1:23" x14ac:dyDescent="0.2">
      <c r="A810" t="s">
        <v>166</v>
      </c>
      <c r="B810" t="s">
        <v>167</v>
      </c>
      <c r="C810" t="s">
        <v>41</v>
      </c>
      <c r="D810" t="s">
        <v>24</v>
      </c>
      <c r="E810" t="s">
        <v>25</v>
      </c>
      <c r="F810" s="7">
        <v>6222733</v>
      </c>
      <c r="G810" t="s">
        <v>915</v>
      </c>
      <c r="H810" s="5">
        <v>16461</v>
      </c>
      <c r="I810" s="12">
        <v>45984</v>
      </c>
      <c r="J810" s="15">
        <v>30</v>
      </c>
      <c r="K810" s="15">
        <v>2</v>
      </c>
      <c r="L810" s="9">
        <v>0.13980000000000001</v>
      </c>
      <c r="M810" s="9">
        <v>4.6100000000000002E-2</v>
      </c>
      <c r="N810" s="15">
        <v>10</v>
      </c>
      <c r="O810" t="s">
        <v>27</v>
      </c>
      <c r="P810" t="s">
        <v>28</v>
      </c>
      <c r="Q810" s="24">
        <v>0.8</v>
      </c>
      <c r="R810" s="5">
        <f t="shared" si="72"/>
        <v>189.14365479452056</v>
      </c>
      <c r="S810" s="5">
        <f t="shared" si="73"/>
        <v>20.790468493150687</v>
      </c>
      <c r="T810" s="5">
        <f t="shared" si="74"/>
        <v>168.35318630136987</v>
      </c>
      <c r="U810" s="15">
        <f t="shared" si="75"/>
        <v>20</v>
      </c>
      <c r="V810" s="3">
        <f t="shared" si="76"/>
        <v>1233.9165600000001</v>
      </c>
      <c r="W810" s="3">
        <f t="shared" si="77"/>
        <v>809</v>
      </c>
    </row>
    <row r="811" spans="1:23" x14ac:dyDescent="0.2">
      <c r="A811" t="s">
        <v>314</v>
      </c>
      <c r="B811" t="s">
        <v>211</v>
      </c>
      <c r="C811" t="s">
        <v>36</v>
      </c>
      <c r="D811" t="s">
        <v>66</v>
      </c>
      <c r="E811" t="s">
        <v>56</v>
      </c>
      <c r="F811" s="7">
        <v>16270036</v>
      </c>
      <c r="G811" t="s">
        <v>577</v>
      </c>
      <c r="H811" s="5">
        <v>54056</v>
      </c>
      <c r="I811" s="12">
        <v>46037</v>
      </c>
      <c r="J811" s="15">
        <v>45</v>
      </c>
      <c r="K811" s="15">
        <v>5</v>
      </c>
      <c r="L811" s="9">
        <v>9.2200000000000004E-2</v>
      </c>
      <c r="M811" s="9">
        <v>5.7099999999999998E-2</v>
      </c>
      <c r="N811" s="15">
        <v>5</v>
      </c>
      <c r="O811" t="s">
        <v>28</v>
      </c>
      <c r="P811" t="s">
        <v>28</v>
      </c>
      <c r="Q811" s="24">
        <v>0.65</v>
      </c>
      <c r="R811" s="5">
        <f t="shared" si="72"/>
        <v>614.46121643835613</v>
      </c>
      <c r="S811" s="5">
        <f t="shared" si="73"/>
        <v>42.282158904109586</v>
      </c>
      <c r="T811" s="5">
        <f t="shared" si="74"/>
        <v>572.17905753424657</v>
      </c>
      <c r="U811" s="15">
        <f t="shared" si="75"/>
        <v>40</v>
      </c>
      <c r="V811" s="3">
        <f t="shared" si="76"/>
        <v>1233.2876400000002</v>
      </c>
      <c r="W811" s="3">
        <f t="shared" si="77"/>
        <v>810</v>
      </c>
    </row>
    <row r="812" spans="1:23" x14ac:dyDescent="0.2">
      <c r="A812" t="s">
        <v>308</v>
      </c>
      <c r="B812" t="s">
        <v>309</v>
      </c>
      <c r="C812" t="s">
        <v>31</v>
      </c>
      <c r="D812" t="s">
        <v>24</v>
      </c>
      <c r="E812" t="s">
        <v>49</v>
      </c>
      <c r="F812" s="7">
        <v>1224427</v>
      </c>
      <c r="G812" t="s">
        <v>767</v>
      </c>
      <c r="H812" s="5">
        <v>67082</v>
      </c>
      <c r="I812" s="12">
        <v>46042</v>
      </c>
      <c r="J812" s="15">
        <v>60</v>
      </c>
      <c r="K812" s="15">
        <v>5</v>
      </c>
      <c r="L812" s="9">
        <v>0.15670000000000001</v>
      </c>
      <c r="M812" s="9">
        <v>6.5000000000000002E-2</v>
      </c>
      <c r="N812" s="15">
        <v>8</v>
      </c>
      <c r="O812" t="s">
        <v>27</v>
      </c>
      <c r="P812" t="s">
        <v>28</v>
      </c>
      <c r="Q812" s="24">
        <v>0.2</v>
      </c>
      <c r="R812" s="5">
        <f t="shared" si="72"/>
        <v>1727.9588054794522</v>
      </c>
      <c r="S812" s="5">
        <f t="shared" si="73"/>
        <v>95.568876712328773</v>
      </c>
      <c r="T812" s="5">
        <f t="shared" si="74"/>
        <v>1632.3899287671234</v>
      </c>
      <c r="U812" s="15">
        <f t="shared" si="75"/>
        <v>52</v>
      </c>
      <c r="V812" s="3">
        <f t="shared" si="76"/>
        <v>1230.2838800000002</v>
      </c>
      <c r="W812" s="3">
        <f t="shared" si="77"/>
        <v>811</v>
      </c>
    </row>
    <row r="813" spans="1:23" x14ac:dyDescent="0.2">
      <c r="A813" t="s">
        <v>120</v>
      </c>
      <c r="B813" t="s">
        <v>121</v>
      </c>
      <c r="C813" t="s">
        <v>31</v>
      </c>
      <c r="D813" t="s">
        <v>48</v>
      </c>
      <c r="E813" t="s">
        <v>56</v>
      </c>
      <c r="F813" s="7">
        <v>14943587</v>
      </c>
      <c r="G813" t="s">
        <v>719</v>
      </c>
      <c r="H813" s="5">
        <v>79915</v>
      </c>
      <c r="I813" s="12">
        <v>46003</v>
      </c>
      <c r="J813" s="15">
        <v>45</v>
      </c>
      <c r="K813" s="15">
        <v>2</v>
      </c>
      <c r="L813" s="9">
        <v>0.1046</v>
      </c>
      <c r="M813" s="9">
        <v>6.0699999999999997E-2</v>
      </c>
      <c r="N813" s="15">
        <v>10</v>
      </c>
      <c r="O813" t="s">
        <v>27</v>
      </c>
      <c r="P813" t="s">
        <v>28</v>
      </c>
      <c r="Q813" s="24">
        <v>0.35</v>
      </c>
      <c r="R813" s="5">
        <f t="shared" si="72"/>
        <v>1030.5750821917809</v>
      </c>
      <c r="S813" s="5">
        <f t="shared" si="73"/>
        <v>132.89973972602738</v>
      </c>
      <c r="T813" s="5">
        <f t="shared" si="74"/>
        <v>897.67534246575349</v>
      </c>
      <c r="U813" s="15">
        <f t="shared" si="75"/>
        <v>35</v>
      </c>
      <c r="V813" s="3">
        <f t="shared" si="76"/>
        <v>1227.893975</v>
      </c>
      <c r="W813" s="3">
        <f t="shared" si="77"/>
        <v>812</v>
      </c>
    </row>
    <row r="814" spans="1:23" x14ac:dyDescent="0.2">
      <c r="A814" t="s">
        <v>351</v>
      </c>
      <c r="B814" t="s">
        <v>352</v>
      </c>
      <c r="C814" t="s">
        <v>36</v>
      </c>
      <c r="D814" t="s">
        <v>24</v>
      </c>
      <c r="E814" t="s">
        <v>49</v>
      </c>
      <c r="F814" s="7">
        <v>1439833</v>
      </c>
      <c r="G814" t="s">
        <v>1486</v>
      </c>
      <c r="H814" s="5">
        <v>18967</v>
      </c>
      <c r="I814" s="12">
        <v>45754</v>
      </c>
      <c r="J814" s="15">
        <v>60</v>
      </c>
      <c r="K814" s="15">
        <v>4</v>
      </c>
      <c r="L814" s="9">
        <v>0.17630000000000001</v>
      </c>
      <c r="M814" s="9">
        <v>4.7E-2</v>
      </c>
      <c r="N814" s="15">
        <v>8</v>
      </c>
      <c r="O814" t="s">
        <v>27</v>
      </c>
      <c r="P814" t="s">
        <v>28</v>
      </c>
      <c r="Q814" s="24">
        <v>0.5</v>
      </c>
      <c r="R814" s="5">
        <f t="shared" si="72"/>
        <v>549.67924931506855</v>
      </c>
      <c r="S814" s="5">
        <f t="shared" si="73"/>
        <v>19.53860821917808</v>
      </c>
      <c r="T814" s="5">
        <f t="shared" si="74"/>
        <v>530.14064109589049</v>
      </c>
      <c r="U814" s="15">
        <f t="shared" si="75"/>
        <v>52</v>
      </c>
      <c r="V814" s="3">
        <f t="shared" si="76"/>
        <v>1226.2165500000003</v>
      </c>
      <c r="W814" s="3">
        <f t="shared" si="77"/>
        <v>813</v>
      </c>
    </row>
    <row r="815" spans="1:23" x14ac:dyDescent="0.2">
      <c r="A815" t="s">
        <v>203</v>
      </c>
      <c r="B815" t="s">
        <v>204</v>
      </c>
      <c r="C815" t="s">
        <v>23</v>
      </c>
      <c r="D815" t="s">
        <v>24</v>
      </c>
      <c r="E815" t="s">
        <v>25</v>
      </c>
      <c r="F815" s="7">
        <v>1716971</v>
      </c>
      <c r="G815" t="s">
        <v>1247</v>
      </c>
      <c r="H815" s="5">
        <v>77984</v>
      </c>
      <c r="I815" s="12">
        <v>46035</v>
      </c>
      <c r="J815" s="15">
        <v>60</v>
      </c>
      <c r="K815" s="15">
        <v>2</v>
      </c>
      <c r="L815" s="9">
        <v>9.4600000000000004E-2</v>
      </c>
      <c r="M815" s="9">
        <v>4.9700000000000001E-2</v>
      </c>
      <c r="N815" s="15">
        <v>10</v>
      </c>
      <c r="O815" t="s">
        <v>27</v>
      </c>
      <c r="P815" t="s">
        <v>28</v>
      </c>
      <c r="Q815" s="24">
        <v>0.35</v>
      </c>
      <c r="R815" s="5">
        <f t="shared" si="72"/>
        <v>1212.7046136986301</v>
      </c>
      <c r="S815" s="5">
        <f t="shared" si="73"/>
        <v>106.18643287671232</v>
      </c>
      <c r="T815" s="5">
        <f t="shared" si="74"/>
        <v>1106.5181808219177</v>
      </c>
      <c r="U815" s="15">
        <f t="shared" si="75"/>
        <v>50</v>
      </c>
      <c r="V815" s="3">
        <f t="shared" si="76"/>
        <v>1225.51856</v>
      </c>
      <c r="W815" s="3">
        <f t="shared" si="77"/>
        <v>814</v>
      </c>
    </row>
    <row r="816" spans="1:23" x14ac:dyDescent="0.2">
      <c r="A816" t="s">
        <v>183</v>
      </c>
      <c r="B816" t="s">
        <v>184</v>
      </c>
      <c r="C816" t="s">
        <v>77</v>
      </c>
      <c r="D816" t="s">
        <v>32</v>
      </c>
      <c r="E816" t="s">
        <v>25</v>
      </c>
      <c r="F816" s="7">
        <v>6014522</v>
      </c>
      <c r="G816" t="s">
        <v>1365</v>
      </c>
      <c r="H816" s="5">
        <v>78036</v>
      </c>
      <c r="I816" s="12">
        <v>45745</v>
      </c>
      <c r="J816" s="15">
        <v>60</v>
      </c>
      <c r="K816" s="15">
        <v>7</v>
      </c>
      <c r="L816" s="9">
        <v>0.12870000000000001</v>
      </c>
      <c r="M816" s="9">
        <v>5.0200000000000002E-2</v>
      </c>
      <c r="N816" s="15">
        <v>6</v>
      </c>
      <c r="O816" t="s">
        <v>27</v>
      </c>
      <c r="P816" t="s">
        <v>28</v>
      </c>
      <c r="Q816" s="24">
        <v>0.2</v>
      </c>
      <c r="R816" s="5">
        <f t="shared" si="72"/>
        <v>1650.9424438356164</v>
      </c>
      <c r="S816" s="5">
        <f t="shared" si="73"/>
        <v>64.39573479452055</v>
      </c>
      <c r="T816" s="5">
        <f t="shared" si="74"/>
        <v>1586.5467090410957</v>
      </c>
      <c r="U816" s="15">
        <f t="shared" si="75"/>
        <v>54</v>
      </c>
      <c r="V816" s="3">
        <f t="shared" si="76"/>
        <v>1225.1652000000001</v>
      </c>
      <c r="W816" s="3">
        <f t="shared" si="77"/>
        <v>815</v>
      </c>
    </row>
    <row r="817" spans="1:23" x14ac:dyDescent="0.2">
      <c r="A817" t="s">
        <v>494</v>
      </c>
      <c r="B817" t="s">
        <v>495</v>
      </c>
      <c r="C817" t="s">
        <v>41</v>
      </c>
      <c r="D817" t="s">
        <v>48</v>
      </c>
      <c r="E817" t="s">
        <v>25</v>
      </c>
      <c r="F817" s="7">
        <v>6247349</v>
      </c>
      <c r="G817" t="s">
        <v>496</v>
      </c>
      <c r="H817" s="5">
        <v>54827</v>
      </c>
      <c r="I817" s="12">
        <v>45687</v>
      </c>
      <c r="J817" s="15">
        <v>60</v>
      </c>
      <c r="K817" s="15">
        <v>10</v>
      </c>
      <c r="L817" s="9">
        <v>0.1241</v>
      </c>
      <c r="M817" s="9">
        <v>6.0299999999999999E-2</v>
      </c>
      <c r="N817" s="15">
        <v>5</v>
      </c>
      <c r="O817" t="s">
        <v>27</v>
      </c>
      <c r="P817" t="s">
        <v>28</v>
      </c>
      <c r="Q817" s="24">
        <v>0.35</v>
      </c>
      <c r="R817" s="5">
        <f t="shared" si="72"/>
        <v>1118.4708000000001</v>
      </c>
      <c r="S817" s="5">
        <f t="shared" si="73"/>
        <v>45.288604109589038</v>
      </c>
      <c r="T817" s="5">
        <f t="shared" si="74"/>
        <v>1073.1821958904111</v>
      </c>
      <c r="U817" s="15">
        <f t="shared" si="75"/>
        <v>55</v>
      </c>
      <c r="V817" s="3">
        <f t="shared" si="76"/>
        <v>1224.2869099999998</v>
      </c>
      <c r="W817" s="3">
        <f t="shared" si="77"/>
        <v>816</v>
      </c>
    </row>
    <row r="818" spans="1:23" x14ac:dyDescent="0.2">
      <c r="A818" t="s">
        <v>648</v>
      </c>
      <c r="B818" t="s">
        <v>204</v>
      </c>
      <c r="C818" t="s">
        <v>36</v>
      </c>
      <c r="D818" t="s">
        <v>37</v>
      </c>
      <c r="E818" t="s">
        <v>49</v>
      </c>
      <c r="F818" s="7">
        <v>1076320</v>
      </c>
      <c r="G818" t="s">
        <v>1526</v>
      </c>
      <c r="H818" s="5">
        <v>70258</v>
      </c>
      <c r="I818" s="12">
        <v>45739</v>
      </c>
      <c r="J818" s="15">
        <v>30</v>
      </c>
      <c r="K818" s="15">
        <v>4</v>
      </c>
      <c r="L818" s="9">
        <v>0.15140000000000001</v>
      </c>
      <c r="M818" s="9">
        <v>6.4299999999999996E-2</v>
      </c>
      <c r="N818" s="15">
        <v>8</v>
      </c>
      <c r="O818" t="s">
        <v>27</v>
      </c>
      <c r="P818" t="s">
        <v>28</v>
      </c>
      <c r="Q818" s="24">
        <v>0.2</v>
      </c>
      <c r="R818" s="5">
        <f t="shared" si="72"/>
        <v>874.27900273972602</v>
      </c>
      <c r="S818" s="5">
        <f t="shared" si="73"/>
        <v>99.015658082191777</v>
      </c>
      <c r="T818" s="5">
        <f t="shared" si="74"/>
        <v>775.26334465753428</v>
      </c>
      <c r="U818" s="15">
        <f t="shared" si="75"/>
        <v>22</v>
      </c>
      <c r="V818" s="3">
        <f t="shared" si="76"/>
        <v>1223.89436</v>
      </c>
      <c r="W818" s="3">
        <f t="shared" si="77"/>
        <v>817</v>
      </c>
    </row>
    <row r="819" spans="1:23" x14ac:dyDescent="0.2">
      <c r="A819" t="s">
        <v>139</v>
      </c>
      <c r="B819" t="s">
        <v>140</v>
      </c>
      <c r="C819" t="s">
        <v>77</v>
      </c>
      <c r="D819" t="s">
        <v>24</v>
      </c>
      <c r="E819" t="s">
        <v>56</v>
      </c>
      <c r="F819" s="7">
        <v>22396514</v>
      </c>
      <c r="G819" t="s">
        <v>316</v>
      </c>
      <c r="H819" s="5">
        <v>51008</v>
      </c>
      <c r="I819" s="12">
        <v>45798</v>
      </c>
      <c r="J819" s="15">
        <v>60</v>
      </c>
      <c r="K819" s="15">
        <v>10</v>
      </c>
      <c r="L819" s="9">
        <v>7.5700000000000003E-2</v>
      </c>
      <c r="M819" s="9">
        <v>4.9099999999999998E-2</v>
      </c>
      <c r="N819" s="15">
        <v>8</v>
      </c>
      <c r="O819" t="s">
        <v>27</v>
      </c>
      <c r="P819" t="s">
        <v>28</v>
      </c>
      <c r="Q819" s="24">
        <v>0.9</v>
      </c>
      <c r="R819" s="5">
        <f t="shared" si="72"/>
        <v>634.73516712328762</v>
      </c>
      <c r="S819" s="5">
        <f t="shared" si="73"/>
        <v>54.892992876712327</v>
      </c>
      <c r="T819" s="5">
        <f t="shared" si="74"/>
        <v>579.84217424657527</v>
      </c>
      <c r="U819" s="15">
        <f t="shared" si="75"/>
        <v>52</v>
      </c>
      <c r="V819" s="3">
        <f t="shared" si="76"/>
        <v>1221.1315200000004</v>
      </c>
      <c r="W819" s="3">
        <f t="shared" si="77"/>
        <v>818</v>
      </c>
    </row>
    <row r="820" spans="1:23" x14ac:dyDescent="0.2">
      <c r="A820" t="s">
        <v>197</v>
      </c>
      <c r="B820" t="s">
        <v>198</v>
      </c>
      <c r="C820" t="s">
        <v>23</v>
      </c>
      <c r="D820" t="s">
        <v>48</v>
      </c>
      <c r="E820" t="s">
        <v>56</v>
      </c>
      <c r="F820" s="7">
        <v>13513506</v>
      </c>
      <c r="G820" t="s">
        <v>896</v>
      </c>
      <c r="H820" s="5">
        <v>41588</v>
      </c>
      <c r="I820" s="12">
        <v>45795</v>
      </c>
      <c r="J820" s="15">
        <v>45</v>
      </c>
      <c r="K820" s="15">
        <v>7</v>
      </c>
      <c r="L820" s="9">
        <v>8.1799999999999998E-2</v>
      </c>
      <c r="M820" s="9">
        <v>4.5100000000000001E-2</v>
      </c>
      <c r="N820" s="15">
        <v>8</v>
      </c>
      <c r="O820" t="s">
        <v>27</v>
      </c>
      <c r="P820" t="s">
        <v>28</v>
      </c>
      <c r="Q820" s="24">
        <v>0.8</v>
      </c>
      <c r="R820" s="5">
        <f t="shared" si="72"/>
        <v>419.41213150684928</v>
      </c>
      <c r="S820" s="5">
        <f t="shared" si="73"/>
        <v>41.109453150684928</v>
      </c>
      <c r="T820" s="5">
        <f t="shared" si="74"/>
        <v>378.30267835616434</v>
      </c>
      <c r="U820" s="15">
        <f t="shared" si="75"/>
        <v>37</v>
      </c>
      <c r="V820" s="3">
        <f t="shared" si="76"/>
        <v>1221.0236799999998</v>
      </c>
      <c r="W820" s="3">
        <f t="shared" si="77"/>
        <v>819</v>
      </c>
    </row>
    <row r="821" spans="1:23" x14ac:dyDescent="0.2">
      <c r="A821" t="s">
        <v>220</v>
      </c>
      <c r="B821" t="s">
        <v>221</v>
      </c>
      <c r="C821" t="s">
        <v>36</v>
      </c>
      <c r="D821" t="s">
        <v>37</v>
      </c>
      <c r="E821" t="s">
        <v>25</v>
      </c>
      <c r="F821" s="7">
        <v>6280246</v>
      </c>
      <c r="G821" t="s">
        <v>546</v>
      </c>
      <c r="H821" s="5">
        <v>58769</v>
      </c>
      <c r="I821" s="12">
        <v>45748</v>
      </c>
      <c r="J821" s="15">
        <v>45</v>
      </c>
      <c r="K821" s="15">
        <v>7</v>
      </c>
      <c r="L821" s="9">
        <v>0.1205</v>
      </c>
      <c r="M821" s="9">
        <v>6.13E-2</v>
      </c>
      <c r="N821" s="15">
        <v>8</v>
      </c>
      <c r="O821" t="s">
        <v>27</v>
      </c>
      <c r="P821" t="s">
        <v>28</v>
      </c>
      <c r="Q821" s="24">
        <v>0.35</v>
      </c>
      <c r="R821" s="5">
        <f t="shared" si="72"/>
        <v>873.08192465753416</v>
      </c>
      <c r="S821" s="5">
        <f t="shared" si="73"/>
        <v>78.959774246575336</v>
      </c>
      <c r="T821" s="5">
        <f t="shared" si="74"/>
        <v>794.12215041095885</v>
      </c>
      <c r="U821" s="15">
        <f t="shared" si="75"/>
        <v>37</v>
      </c>
      <c r="V821" s="3">
        <f t="shared" si="76"/>
        <v>1217.6936799999999</v>
      </c>
      <c r="W821" s="3">
        <f t="shared" si="77"/>
        <v>820</v>
      </c>
    </row>
    <row r="822" spans="1:23" x14ac:dyDescent="0.2">
      <c r="A822" t="s">
        <v>308</v>
      </c>
      <c r="B822" t="s">
        <v>309</v>
      </c>
      <c r="C822" t="s">
        <v>31</v>
      </c>
      <c r="D822" t="s">
        <v>24</v>
      </c>
      <c r="E822" t="s">
        <v>49</v>
      </c>
      <c r="F822" s="7">
        <v>1224427</v>
      </c>
      <c r="G822" t="s">
        <v>535</v>
      </c>
      <c r="H822" s="5">
        <v>14559</v>
      </c>
      <c r="I822" s="12">
        <v>45915</v>
      </c>
      <c r="J822" s="15">
        <v>90</v>
      </c>
      <c r="K822" s="15">
        <v>10</v>
      </c>
      <c r="L822" s="9">
        <v>0.15670000000000001</v>
      </c>
      <c r="M822" s="9">
        <v>5.2200000000000003E-2</v>
      </c>
      <c r="N822" s="15">
        <v>10</v>
      </c>
      <c r="O822" t="s">
        <v>27</v>
      </c>
      <c r="P822" t="s">
        <v>28</v>
      </c>
      <c r="Q822" s="24">
        <v>0.8</v>
      </c>
      <c r="R822" s="5">
        <f t="shared" si="72"/>
        <v>562.53582739726028</v>
      </c>
      <c r="S822" s="5">
        <f t="shared" si="73"/>
        <v>20.821364383561644</v>
      </c>
      <c r="T822" s="5">
        <f t="shared" si="74"/>
        <v>541.71446301369861</v>
      </c>
      <c r="U822" s="15">
        <f t="shared" si="75"/>
        <v>80</v>
      </c>
      <c r="V822" s="3">
        <f t="shared" si="76"/>
        <v>1217.1324000000002</v>
      </c>
      <c r="W822" s="3">
        <f t="shared" si="77"/>
        <v>821</v>
      </c>
    </row>
    <row r="823" spans="1:23" x14ac:dyDescent="0.2">
      <c r="A823" t="s">
        <v>97</v>
      </c>
      <c r="B823" t="s">
        <v>98</v>
      </c>
      <c r="C823" t="s">
        <v>41</v>
      </c>
      <c r="D823" t="s">
        <v>32</v>
      </c>
      <c r="E823" t="s">
        <v>56</v>
      </c>
      <c r="F823" s="7">
        <v>19754920</v>
      </c>
      <c r="G823" t="s">
        <v>1286</v>
      </c>
      <c r="H823" s="5">
        <v>62264</v>
      </c>
      <c r="I823" s="12">
        <v>45727</v>
      </c>
      <c r="J823" s="15">
        <v>60</v>
      </c>
      <c r="K823" s="15">
        <v>3</v>
      </c>
      <c r="L823" s="9">
        <v>8.1100000000000005E-2</v>
      </c>
      <c r="M823" s="9">
        <v>5.9400000000000001E-2</v>
      </c>
      <c r="N823" s="15">
        <v>8</v>
      </c>
      <c r="O823" t="s">
        <v>27</v>
      </c>
      <c r="P823" t="s">
        <v>28</v>
      </c>
      <c r="Q823" s="24">
        <v>0.9</v>
      </c>
      <c r="R823" s="5">
        <f t="shared" si="72"/>
        <v>830.0729424657535</v>
      </c>
      <c r="S823" s="5">
        <f t="shared" si="73"/>
        <v>81.062610410958911</v>
      </c>
      <c r="T823" s="5">
        <f t="shared" si="74"/>
        <v>749.01033205479462</v>
      </c>
      <c r="U823" s="15">
        <f t="shared" si="75"/>
        <v>52</v>
      </c>
      <c r="V823" s="3">
        <f t="shared" si="76"/>
        <v>1216.0159200000003</v>
      </c>
      <c r="W823" s="3">
        <f t="shared" si="77"/>
        <v>822</v>
      </c>
    </row>
    <row r="824" spans="1:23" x14ac:dyDescent="0.2">
      <c r="A824" t="s">
        <v>130</v>
      </c>
      <c r="B824" t="s">
        <v>131</v>
      </c>
      <c r="C824" t="s">
        <v>36</v>
      </c>
      <c r="D824" t="s">
        <v>48</v>
      </c>
      <c r="E824" t="s">
        <v>56</v>
      </c>
      <c r="F824" s="7">
        <v>10372464</v>
      </c>
      <c r="G824" t="s">
        <v>630</v>
      </c>
      <c r="H824" s="5">
        <v>80039</v>
      </c>
      <c r="I824" s="12">
        <v>45997</v>
      </c>
      <c r="J824" s="15">
        <v>60</v>
      </c>
      <c r="K824" s="15">
        <v>10</v>
      </c>
      <c r="L824" s="9">
        <v>8.77E-2</v>
      </c>
      <c r="M824" s="9">
        <v>5.74E-2</v>
      </c>
      <c r="N824" s="15">
        <v>8</v>
      </c>
      <c r="O824" t="s">
        <v>27</v>
      </c>
      <c r="P824" t="s">
        <v>28</v>
      </c>
      <c r="Q824" s="24">
        <v>0.5</v>
      </c>
      <c r="R824" s="5">
        <f t="shared" si="72"/>
        <v>1153.877309589041</v>
      </c>
      <c r="S824" s="5">
        <f t="shared" si="73"/>
        <v>100.6956405479452</v>
      </c>
      <c r="T824" s="5">
        <f t="shared" si="74"/>
        <v>1053.1816690410958</v>
      </c>
      <c r="U824" s="15">
        <f t="shared" si="75"/>
        <v>52</v>
      </c>
      <c r="V824" s="3">
        <f t="shared" si="76"/>
        <v>1212.59085</v>
      </c>
      <c r="W824" s="3">
        <f t="shared" si="77"/>
        <v>823</v>
      </c>
    </row>
    <row r="825" spans="1:23" x14ac:dyDescent="0.2">
      <c r="A825" t="s">
        <v>120</v>
      </c>
      <c r="B825" t="s">
        <v>121</v>
      </c>
      <c r="C825" t="s">
        <v>31</v>
      </c>
      <c r="D825" t="s">
        <v>48</v>
      </c>
      <c r="E825" t="s">
        <v>56</v>
      </c>
      <c r="F825" s="7">
        <v>14943587</v>
      </c>
      <c r="G825" t="s">
        <v>1735</v>
      </c>
      <c r="H825" s="5">
        <v>82091</v>
      </c>
      <c r="I825" s="12">
        <v>45789</v>
      </c>
      <c r="J825" s="15">
        <v>60</v>
      </c>
      <c r="K825" s="15">
        <v>7</v>
      </c>
      <c r="L825" s="9">
        <v>0.1046</v>
      </c>
      <c r="M825" s="9">
        <v>6.25E-2</v>
      </c>
      <c r="N825" s="15">
        <v>5</v>
      </c>
      <c r="O825" t="s">
        <v>27</v>
      </c>
      <c r="P825" t="s">
        <v>28</v>
      </c>
      <c r="Q825" s="24">
        <v>0.35</v>
      </c>
      <c r="R825" s="5">
        <f t="shared" si="72"/>
        <v>1411.5153863013697</v>
      </c>
      <c r="S825" s="5">
        <f t="shared" si="73"/>
        <v>70.283390410958901</v>
      </c>
      <c r="T825" s="5">
        <f t="shared" si="74"/>
        <v>1341.2319958904109</v>
      </c>
      <c r="U825" s="15">
        <f t="shared" si="75"/>
        <v>55</v>
      </c>
      <c r="V825" s="3">
        <f t="shared" si="76"/>
        <v>1209.6108849999998</v>
      </c>
      <c r="W825" s="3">
        <f t="shared" si="77"/>
        <v>824</v>
      </c>
    </row>
    <row r="826" spans="1:23" x14ac:dyDescent="0.2">
      <c r="A826" t="s">
        <v>91</v>
      </c>
      <c r="B826" t="s">
        <v>92</v>
      </c>
      <c r="C826" t="s">
        <v>36</v>
      </c>
      <c r="D826" t="s">
        <v>24</v>
      </c>
      <c r="E826" t="s">
        <v>56</v>
      </c>
      <c r="F826" s="7">
        <v>15029491</v>
      </c>
      <c r="G826" t="s">
        <v>1729</v>
      </c>
      <c r="H826" s="5">
        <v>88576</v>
      </c>
      <c r="I826" s="12">
        <v>45834</v>
      </c>
      <c r="J826" s="15">
        <v>30</v>
      </c>
      <c r="K826" s="15">
        <v>4</v>
      </c>
      <c r="L826" s="9">
        <v>9.8400000000000001E-2</v>
      </c>
      <c r="M826" s="9">
        <v>5.9400000000000001E-2</v>
      </c>
      <c r="N826" s="15">
        <v>10</v>
      </c>
      <c r="O826" t="s">
        <v>27</v>
      </c>
      <c r="P826" t="s">
        <v>28</v>
      </c>
      <c r="Q826" s="24">
        <v>0.35</v>
      </c>
      <c r="R826" s="5">
        <f t="shared" si="72"/>
        <v>716.37356712328756</v>
      </c>
      <c r="S826" s="5">
        <f t="shared" si="73"/>
        <v>144.14833972602742</v>
      </c>
      <c r="T826" s="5">
        <f t="shared" si="74"/>
        <v>572.22522739726014</v>
      </c>
      <c r="U826" s="15">
        <f t="shared" si="75"/>
        <v>20</v>
      </c>
      <c r="V826" s="3">
        <f t="shared" si="76"/>
        <v>1209.0623999999998</v>
      </c>
      <c r="W826" s="3">
        <f t="shared" si="77"/>
        <v>825</v>
      </c>
    </row>
    <row r="827" spans="1:23" x14ac:dyDescent="0.2">
      <c r="A827" t="s">
        <v>549</v>
      </c>
      <c r="B827" t="s">
        <v>161</v>
      </c>
      <c r="C827" t="s">
        <v>77</v>
      </c>
      <c r="D827" t="s">
        <v>48</v>
      </c>
      <c r="E827" t="s">
        <v>56</v>
      </c>
      <c r="F827" s="7">
        <v>15837870</v>
      </c>
      <c r="G827" t="s">
        <v>550</v>
      </c>
      <c r="H827" s="5">
        <v>22198</v>
      </c>
      <c r="I827" s="12">
        <v>45829</v>
      </c>
      <c r="J827" s="15">
        <v>45</v>
      </c>
      <c r="K827" s="15">
        <v>4</v>
      </c>
      <c r="L827" s="9">
        <v>0.1089</v>
      </c>
      <c r="M827" s="9">
        <v>4.8399999999999999E-2</v>
      </c>
      <c r="N827" s="15">
        <v>5</v>
      </c>
      <c r="O827" t="s">
        <v>27</v>
      </c>
      <c r="P827" t="s">
        <v>28</v>
      </c>
      <c r="Q827" s="24">
        <v>0.9</v>
      </c>
      <c r="R827" s="5">
        <f t="shared" si="72"/>
        <v>298.03095616438355</v>
      </c>
      <c r="S827" s="5">
        <f t="shared" si="73"/>
        <v>14.71757808219178</v>
      </c>
      <c r="T827" s="5">
        <f t="shared" si="74"/>
        <v>283.31337808219178</v>
      </c>
      <c r="U827" s="15">
        <f t="shared" si="75"/>
        <v>40</v>
      </c>
      <c r="V827" s="3">
        <f t="shared" si="76"/>
        <v>1208.6811</v>
      </c>
      <c r="W827" s="3">
        <f t="shared" si="77"/>
        <v>826</v>
      </c>
    </row>
    <row r="828" spans="1:23" x14ac:dyDescent="0.2">
      <c r="A828" t="s">
        <v>117</v>
      </c>
      <c r="B828" t="s">
        <v>118</v>
      </c>
      <c r="C828" t="s">
        <v>77</v>
      </c>
      <c r="D828" t="s">
        <v>32</v>
      </c>
      <c r="E828" t="s">
        <v>25</v>
      </c>
      <c r="F828" s="7">
        <v>6024640</v>
      </c>
      <c r="G828" t="s">
        <v>1097</v>
      </c>
      <c r="H828" s="5">
        <v>14348</v>
      </c>
      <c r="I828" s="12">
        <v>46039</v>
      </c>
      <c r="J828" s="15">
        <v>30</v>
      </c>
      <c r="K828" s="15">
        <v>2</v>
      </c>
      <c r="L828" s="9">
        <v>0.13769999999999999</v>
      </c>
      <c r="M828" s="9">
        <v>4.53E-2</v>
      </c>
      <c r="N828" s="15">
        <v>8</v>
      </c>
      <c r="O828" t="s">
        <v>27</v>
      </c>
      <c r="P828" t="s">
        <v>28</v>
      </c>
      <c r="Q828" s="24">
        <v>0.9</v>
      </c>
      <c r="R828" s="5">
        <f t="shared" si="72"/>
        <v>162.3879123287671</v>
      </c>
      <c r="S828" s="5">
        <f t="shared" si="73"/>
        <v>14.24579506849315</v>
      </c>
      <c r="T828" s="5">
        <f t="shared" si="74"/>
        <v>148.14211726027395</v>
      </c>
      <c r="U828" s="15">
        <f t="shared" si="75"/>
        <v>22</v>
      </c>
      <c r="V828" s="3">
        <f t="shared" si="76"/>
        <v>1193.1796799999997</v>
      </c>
      <c r="W828" s="3">
        <f t="shared" si="77"/>
        <v>827</v>
      </c>
    </row>
    <row r="829" spans="1:23" x14ac:dyDescent="0.2">
      <c r="A829" t="s">
        <v>223</v>
      </c>
      <c r="B829" t="s">
        <v>224</v>
      </c>
      <c r="C829" t="s">
        <v>36</v>
      </c>
      <c r="D829" t="s">
        <v>48</v>
      </c>
      <c r="E829" t="s">
        <v>25</v>
      </c>
      <c r="F829" s="7">
        <v>3916164</v>
      </c>
      <c r="G829" t="s">
        <v>404</v>
      </c>
      <c r="H829" s="5">
        <v>100740</v>
      </c>
      <c r="I829" s="12">
        <v>45914</v>
      </c>
      <c r="J829" s="15">
        <v>90</v>
      </c>
      <c r="K829" s="15">
        <v>4</v>
      </c>
      <c r="L829" s="9">
        <v>0.1119</v>
      </c>
      <c r="M829" s="9">
        <v>5.2699999999999997E-2</v>
      </c>
      <c r="N829" s="15">
        <v>6</v>
      </c>
      <c r="O829" t="s">
        <v>27</v>
      </c>
      <c r="P829" t="s">
        <v>28</v>
      </c>
      <c r="Q829" s="24">
        <v>0.2</v>
      </c>
      <c r="R829" s="5">
        <f t="shared" si="72"/>
        <v>2779.596</v>
      </c>
      <c r="S829" s="5">
        <f t="shared" si="73"/>
        <v>87.271199999999979</v>
      </c>
      <c r="T829" s="5">
        <f t="shared" si="74"/>
        <v>2692.3247999999999</v>
      </c>
      <c r="U829" s="15">
        <f t="shared" si="75"/>
        <v>84</v>
      </c>
      <c r="V829" s="3">
        <f t="shared" si="76"/>
        <v>1192.7616</v>
      </c>
      <c r="W829" s="3">
        <f t="shared" si="77"/>
        <v>828</v>
      </c>
    </row>
    <row r="830" spans="1:23" x14ac:dyDescent="0.2">
      <c r="A830" t="s">
        <v>117</v>
      </c>
      <c r="B830" t="s">
        <v>118</v>
      </c>
      <c r="C830" t="s">
        <v>77</v>
      </c>
      <c r="D830" t="s">
        <v>32</v>
      </c>
      <c r="E830" t="s">
        <v>25</v>
      </c>
      <c r="F830" s="7">
        <v>6024640</v>
      </c>
      <c r="G830" t="s">
        <v>568</v>
      </c>
      <c r="H830" s="5">
        <v>37260</v>
      </c>
      <c r="I830" s="12">
        <v>45962</v>
      </c>
      <c r="J830" s="15">
        <v>45</v>
      </c>
      <c r="K830" s="15">
        <v>5</v>
      </c>
      <c r="L830" s="9">
        <v>0.13769999999999999</v>
      </c>
      <c r="M830" s="9">
        <v>4.6600000000000003E-2</v>
      </c>
      <c r="N830" s="15">
        <v>8</v>
      </c>
      <c r="O830" t="s">
        <v>28</v>
      </c>
      <c r="P830" t="s">
        <v>28</v>
      </c>
      <c r="Q830" s="24">
        <v>0.35</v>
      </c>
      <c r="R830" s="5">
        <f t="shared" si="72"/>
        <v>632.5523013698629</v>
      </c>
      <c r="S830" s="5">
        <f t="shared" si="73"/>
        <v>38.056241095890414</v>
      </c>
      <c r="T830" s="5">
        <f t="shared" si="74"/>
        <v>594.49606027397249</v>
      </c>
      <c r="U830" s="15">
        <f t="shared" si="75"/>
        <v>37</v>
      </c>
      <c r="V830" s="3">
        <f t="shared" si="76"/>
        <v>1188.0350999999998</v>
      </c>
      <c r="W830" s="3">
        <f t="shared" si="77"/>
        <v>829</v>
      </c>
    </row>
    <row r="831" spans="1:23" x14ac:dyDescent="0.2">
      <c r="A831" t="s">
        <v>94</v>
      </c>
      <c r="B831" t="s">
        <v>95</v>
      </c>
      <c r="C831" t="s">
        <v>41</v>
      </c>
      <c r="D831" t="s">
        <v>66</v>
      </c>
      <c r="E831" t="s">
        <v>25</v>
      </c>
      <c r="F831" s="7">
        <v>2406772</v>
      </c>
      <c r="G831" t="s">
        <v>1354</v>
      </c>
      <c r="H831" s="5">
        <v>39784</v>
      </c>
      <c r="I831" s="12">
        <v>45844</v>
      </c>
      <c r="J831" s="15">
        <v>45</v>
      </c>
      <c r="K831" s="15">
        <v>4</v>
      </c>
      <c r="L831" s="9">
        <v>0.1091</v>
      </c>
      <c r="M831" s="9">
        <v>6.3200000000000006E-2</v>
      </c>
      <c r="N831" s="15">
        <v>5</v>
      </c>
      <c r="O831" t="s">
        <v>27</v>
      </c>
      <c r="P831" t="s">
        <v>28</v>
      </c>
      <c r="Q831" s="24">
        <v>0.65</v>
      </c>
      <c r="R831" s="5">
        <f t="shared" si="72"/>
        <v>535.12204931506847</v>
      </c>
      <c r="S831" s="5">
        <f t="shared" si="73"/>
        <v>34.44313424657534</v>
      </c>
      <c r="T831" s="5">
        <f t="shared" si="74"/>
        <v>500.6789150684931</v>
      </c>
      <c r="U831" s="15">
        <f t="shared" si="75"/>
        <v>40</v>
      </c>
      <c r="V831" s="3">
        <f t="shared" si="76"/>
        <v>1186.9556399999999</v>
      </c>
      <c r="W831" s="3">
        <f t="shared" si="77"/>
        <v>830</v>
      </c>
    </row>
    <row r="832" spans="1:23" x14ac:dyDescent="0.2">
      <c r="A832" t="s">
        <v>268</v>
      </c>
      <c r="B832" t="s">
        <v>269</v>
      </c>
      <c r="C832" t="s">
        <v>36</v>
      </c>
      <c r="D832" t="s">
        <v>37</v>
      </c>
      <c r="E832" t="s">
        <v>25</v>
      </c>
      <c r="F832" s="7">
        <v>1810544</v>
      </c>
      <c r="G832" t="s">
        <v>1248</v>
      </c>
      <c r="H832" s="5">
        <v>68164</v>
      </c>
      <c r="I832" s="12">
        <v>45850</v>
      </c>
      <c r="J832" s="15">
        <v>60</v>
      </c>
      <c r="K832" s="15">
        <v>7</v>
      </c>
      <c r="L832" s="9">
        <v>9.6299999999999997E-2</v>
      </c>
      <c r="M832" s="9">
        <v>4.6600000000000003E-2</v>
      </c>
      <c r="N832" s="15">
        <v>6</v>
      </c>
      <c r="O832" t="s">
        <v>27</v>
      </c>
      <c r="P832" t="s">
        <v>28</v>
      </c>
      <c r="Q832" s="24">
        <v>0.35</v>
      </c>
      <c r="R832" s="5">
        <f t="shared" si="72"/>
        <v>1079.0454575342465</v>
      </c>
      <c r="S832" s="5">
        <f t="shared" si="73"/>
        <v>52.215491506849318</v>
      </c>
      <c r="T832" s="5">
        <f t="shared" si="74"/>
        <v>1026.8299660273972</v>
      </c>
      <c r="U832" s="15">
        <f t="shared" si="75"/>
        <v>54</v>
      </c>
      <c r="V832" s="3">
        <f t="shared" si="76"/>
        <v>1185.7127799999998</v>
      </c>
      <c r="W832" s="3">
        <f t="shared" si="77"/>
        <v>831</v>
      </c>
    </row>
    <row r="833" spans="1:23" x14ac:dyDescent="0.2">
      <c r="A833" t="s">
        <v>549</v>
      </c>
      <c r="B833" t="s">
        <v>161</v>
      </c>
      <c r="C833" t="s">
        <v>77</v>
      </c>
      <c r="D833" t="s">
        <v>48</v>
      </c>
      <c r="E833" t="s">
        <v>56</v>
      </c>
      <c r="F833" s="7">
        <v>15837870</v>
      </c>
      <c r="G833" t="s">
        <v>1130</v>
      </c>
      <c r="H833" s="5">
        <v>94180</v>
      </c>
      <c r="I833" s="12">
        <v>45890</v>
      </c>
      <c r="J833" s="15">
        <v>60</v>
      </c>
      <c r="K833" s="15">
        <v>2</v>
      </c>
      <c r="L833" s="9">
        <v>0.1089</v>
      </c>
      <c r="M833" s="9">
        <v>4.5999999999999999E-2</v>
      </c>
      <c r="N833" s="15">
        <v>5</v>
      </c>
      <c r="O833" t="s">
        <v>27</v>
      </c>
      <c r="P833" t="s">
        <v>28</v>
      </c>
      <c r="Q833" s="24">
        <v>0.2</v>
      </c>
      <c r="R833" s="5">
        <f t="shared" si="72"/>
        <v>1685.9510136986298</v>
      </c>
      <c r="S833" s="5">
        <f t="shared" si="73"/>
        <v>59.346301369863006</v>
      </c>
      <c r="T833" s="5">
        <f t="shared" si="74"/>
        <v>1626.6047123287667</v>
      </c>
      <c r="U833" s="15">
        <f t="shared" si="75"/>
        <v>55</v>
      </c>
      <c r="V833" s="3">
        <f t="shared" si="76"/>
        <v>1184.7844</v>
      </c>
      <c r="W833" s="3">
        <f t="shared" si="77"/>
        <v>832</v>
      </c>
    </row>
    <row r="834" spans="1:23" x14ac:dyDescent="0.2">
      <c r="A834" t="s">
        <v>289</v>
      </c>
      <c r="B834" t="s">
        <v>204</v>
      </c>
      <c r="C834" t="s">
        <v>31</v>
      </c>
      <c r="D834" t="s">
        <v>32</v>
      </c>
      <c r="E834" t="s">
        <v>49</v>
      </c>
      <c r="F834" s="7">
        <v>782629</v>
      </c>
      <c r="G834" t="s">
        <v>598</v>
      </c>
      <c r="H834" s="5">
        <v>35741</v>
      </c>
      <c r="I834" s="12">
        <v>46006</v>
      </c>
      <c r="J834" s="15">
        <v>45</v>
      </c>
      <c r="K834" s="15">
        <v>5</v>
      </c>
      <c r="L834" s="9">
        <v>0.14219999999999999</v>
      </c>
      <c r="M834" s="9">
        <v>4.7600000000000003E-2</v>
      </c>
      <c r="N834" s="15">
        <v>7</v>
      </c>
      <c r="O834" t="s">
        <v>27</v>
      </c>
      <c r="P834" t="s">
        <v>28</v>
      </c>
      <c r="Q834" s="24">
        <v>0.35</v>
      </c>
      <c r="R834" s="5">
        <f t="shared" ref="R834:R897" si="78">H834*L834*(J834/365)</f>
        <v>626.59358630136978</v>
      </c>
      <c r="S834" s="5">
        <f t="shared" ref="S834:S897" si="79">H834*M834*(N834/365)</f>
        <v>32.627126575342466</v>
      </c>
      <c r="T834" s="5">
        <f t="shared" ref="T834:T897" si="80">R834-S834</f>
        <v>593.96645972602732</v>
      </c>
      <c r="U834" s="15">
        <f t="shared" ref="U834:U897" si="81">J834-N834</f>
        <v>38</v>
      </c>
      <c r="V834" s="3">
        <f t="shared" ref="V834:V897" si="82">Q834*(L834-M834)*H834</f>
        <v>1183.3845099999999</v>
      </c>
      <c r="W834" s="3">
        <f t="shared" ref="W834:W897" si="83">RANK(V834,$V$2:$V$1501)</f>
        <v>833</v>
      </c>
    </row>
    <row r="835" spans="1:23" x14ac:dyDescent="0.2">
      <c r="A835" t="s">
        <v>203</v>
      </c>
      <c r="B835" t="s">
        <v>204</v>
      </c>
      <c r="C835" t="s">
        <v>23</v>
      </c>
      <c r="D835" t="s">
        <v>24</v>
      </c>
      <c r="E835" t="s">
        <v>25</v>
      </c>
      <c r="F835" s="7">
        <v>1716971</v>
      </c>
      <c r="G835" t="s">
        <v>1727</v>
      </c>
      <c r="H835" s="5">
        <v>32749</v>
      </c>
      <c r="I835" s="12">
        <v>45723</v>
      </c>
      <c r="J835" s="15">
        <v>60</v>
      </c>
      <c r="K835" s="15">
        <v>4</v>
      </c>
      <c r="L835" s="9">
        <v>9.4600000000000004E-2</v>
      </c>
      <c r="M835" s="9">
        <v>5.45E-2</v>
      </c>
      <c r="N835" s="15">
        <v>8</v>
      </c>
      <c r="O835" t="s">
        <v>27</v>
      </c>
      <c r="P835" t="s">
        <v>28</v>
      </c>
      <c r="Q835" s="24">
        <v>0.9</v>
      </c>
      <c r="R835" s="5">
        <f t="shared" si="78"/>
        <v>509.26938082191782</v>
      </c>
      <c r="S835" s="5">
        <f t="shared" si="79"/>
        <v>39.119353424657533</v>
      </c>
      <c r="T835" s="5">
        <f t="shared" si="80"/>
        <v>470.15002739726026</v>
      </c>
      <c r="U835" s="15">
        <f t="shared" si="81"/>
        <v>52</v>
      </c>
      <c r="V835" s="3">
        <f t="shared" si="82"/>
        <v>1181.9114100000002</v>
      </c>
      <c r="W835" s="3">
        <f t="shared" si="83"/>
        <v>834</v>
      </c>
    </row>
    <row r="836" spans="1:23" x14ac:dyDescent="0.2">
      <c r="A836" t="s">
        <v>58</v>
      </c>
      <c r="B836" t="s">
        <v>59</v>
      </c>
      <c r="C836" t="s">
        <v>23</v>
      </c>
      <c r="D836" t="s">
        <v>24</v>
      </c>
      <c r="E836" t="s">
        <v>25</v>
      </c>
      <c r="F836" s="7">
        <v>4269919</v>
      </c>
      <c r="G836" t="s">
        <v>1509</v>
      </c>
      <c r="H836" s="5">
        <v>51586</v>
      </c>
      <c r="I836" s="12">
        <v>45786</v>
      </c>
      <c r="J836" s="15">
        <v>60</v>
      </c>
      <c r="K836" s="15">
        <v>3</v>
      </c>
      <c r="L836" s="9">
        <v>0.1212</v>
      </c>
      <c r="M836" s="9">
        <v>5.6300000000000003E-2</v>
      </c>
      <c r="N836" s="15">
        <v>7</v>
      </c>
      <c r="O836" t="s">
        <v>27</v>
      </c>
      <c r="P836" t="s">
        <v>28</v>
      </c>
      <c r="Q836" s="24">
        <v>0.35</v>
      </c>
      <c r="R836" s="5">
        <f t="shared" si="78"/>
        <v>1027.7627178082191</v>
      </c>
      <c r="S836" s="5">
        <f t="shared" si="79"/>
        <v>55.698746849315071</v>
      </c>
      <c r="T836" s="5">
        <f t="shared" si="80"/>
        <v>972.06397095890406</v>
      </c>
      <c r="U836" s="15">
        <f t="shared" si="81"/>
        <v>53</v>
      </c>
      <c r="V836" s="3">
        <f t="shared" si="82"/>
        <v>1171.7759899999999</v>
      </c>
      <c r="W836" s="3">
        <f t="shared" si="83"/>
        <v>835</v>
      </c>
    </row>
    <row r="837" spans="1:23" x14ac:dyDescent="0.2">
      <c r="A837" t="s">
        <v>115</v>
      </c>
      <c r="B837" t="s">
        <v>80</v>
      </c>
      <c r="C837" t="s">
        <v>36</v>
      </c>
      <c r="D837" t="s">
        <v>24</v>
      </c>
      <c r="E837" t="s">
        <v>49</v>
      </c>
      <c r="F837" s="7">
        <v>373467</v>
      </c>
      <c r="G837" t="s">
        <v>385</v>
      </c>
      <c r="H837" s="5">
        <v>83058</v>
      </c>
      <c r="I837" s="12">
        <v>45869</v>
      </c>
      <c r="J837" s="15">
        <v>90</v>
      </c>
      <c r="K837" s="15">
        <v>2</v>
      </c>
      <c r="L837" s="9">
        <v>0.126</v>
      </c>
      <c r="M837" s="9">
        <v>5.5500000000000001E-2</v>
      </c>
      <c r="N837" s="15">
        <v>5</v>
      </c>
      <c r="O837" t="s">
        <v>27</v>
      </c>
      <c r="P837" t="s">
        <v>28</v>
      </c>
      <c r="Q837" s="24">
        <v>0.2</v>
      </c>
      <c r="R837" s="5">
        <f t="shared" si="78"/>
        <v>2580.486904109589</v>
      </c>
      <c r="S837" s="5">
        <f t="shared" si="79"/>
        <v>63.146835616438352</v>
      </c>
      <c r="T837" s="5">
        <f t="shared" si="80"/>
        <v>2517.3400684931507</v>
      </c>
      <c r="U837" s="15">
        <f t="shared" si="81"/>
        <v>85</v>
      </c>
      <c r="V837" s="3">
        <f t="shared" si="82"/>
        <v>1171.1178000000002</v>
      </c>
      <c r="W837" s="3">
        <f t="shared" si="83"/>
        <v>836</v>
      </c>
    </row>
    <row r="838" spans="1:23" x14ac:dyDescent="0.2">
      <c r="A838" t="s">
        <v>750</v>
      </c>
      <c r="B838" t="s">
        <v>751</v>
      </c>
      <c r="C838" t="s">
        <v>41</v>
      </c>
      <c r="D838" t="s">
        <v>48</v>
      </c>
      <c r="E838" t="s">
        <v>25</v>
      </c>
      <c r="F838" s="7">
        <v>1709806</v>
      </c>
      <c r="G838" t="s">
        <v>1103</v>
      </c>
      <c r="H838" s="5">
        <v>18674</v>
      </c>
      <c r="I838" s="12">
        <v>45954</v>
      </c>
      <c r="J838" s="15">
        <v>60</v>
      </c>
      <c r="K838" s="15">
        <v>2</v>
      </c>
      <c r="L838" s="9">
        <v>0.12709999999999999</v>
      </c>
      <c r="M838" s="9">
        <v>5.7599999999999998E-2</v>
      </c>
      <c r="N838" s="15">
        <v>8</v>
      </c>
      <c r="O838" t="s">
        <v>27</v>
      </c>
      <c r="P838" t="s">
        <v>28</v>
      </c>
      <c r="Q838" s="24">
        <v>0.9</v>
      </c>
      <c r="R838" s="5">
        <f t="shared" si="78"/>
        <v>390.15869589041097</v>
      </c>
      <c r="S838" s="5">
        <f t="shared" si="79"/>
        <v>23.575285479452056</v>
      </c>
      <c r="T838" s="5">
        <f t="shared" si="80"/>
        <v>366.58341041095889</v>
      </c>
      <c r="U838" s="15">
        <f t="shared" si="81"/>
        <v>52</v>
      </c>
      <c r="V838" s="3">
        <f t="shared" si="82"/>
        <v>1168.0586999999998</v>
      </c>
      <c r="W838" s="3">
        <f t="shared" si="83"/>
        <v>837</v>
      </c>
    </row>
    <row r="839" spans="1:23" x14ac:dyDescent="0.2">
      <c r="A839" t="s">
        <v>358</v>
      </c>
      <c r="B839" t="s">
        <v>164</v>
      </c>
      <c r="C839" t="s">
        <v>77</v>
      </c>
      <c r="D839" t="s">
        <v>48</v>
      </c>
      <c r="E839" t="s">
        <v>56</v>
      </c>
      <c r="F839" s="7">
        <v>11944379</v>
      </c>
      <c r="G839" t="s">
        <v>930</v>
      </c>
      <c r="H839" s="5">
        <v>70891</v>
      </c>
      <c r="I839" s="12">
        <v>45718</v>
      </c>
      <c r="J839" s="15">
        <v>90</v>
      </c>
      <c r="K839" s="15">
        <v>2</v>
      </c>
      <c r="L839" s="9">
        <v>7.0999999999999994E-2</v>
      </c>
      <c r="M839" s="9">
        <v>4.5699999999999998E-2</v>
      </c>
      <c r="N839" s="15">
        <v>5</v>
      </c>
      <c r="O839" t="s">
        <v>27</v>
      </c>
      <c r="P839" t="s">
        <v>28</v>
      </c>
      <c r="Q839" s="24">
        <v>0.65</v>
      </c>
      <c r="R839" s="5">
        <f t="shared" si="78"/>
        <v>1241.0780547945203</v>
      </c>
      <c r="S839" s="5">
        <f t="shared" si="79"/>
        <v>44.379708219178077</v>
      </c>
      <c r="T839" s="5">
        <f t="shared" si="80"/>
        <v>1196.6983465753422</v>
      </c>
      <c r="U839" s="15">
        <f t="shared" si="81"/>
        <v>85</v>
      </c>
      <c r="V839" s="3">
        <f t="shared" si="82"/>
        <v>1165.8024949999999</v>
      </c>
      <c r="W839" s="3">
        <f t="shared" si="83"/>
        <v>838</v>
      </c>
    </row>
    <row r="840" spans="1:23" x14ac:dyDescent="0.2">
      <c r="A840" t="s">
        <v>29</v>
      </c>
      <c r="B840" t="s">
        <v>30</v>
      </c>
      <c r="C840" t="s">
        <v>31</v>
      </c>
      <c r="D840" t="s">
        <v>32</v>
      </c>
      <c r="E840" t="s">
        <v>25</v>
      </c>
      <c r="F840" s="7">
        <v>4331160</v>
      </c>
      <c r="G840" t="s">
        <v>810</v>
      </c>
      <c r="H840" s="5">
        <v>49707</v>
      </c>
      <c r="I840" s="12">
        <v>46036</v>
      </c>
      <c r="J840" s="15">
        <v>30</v>
      </c>
      <c r="K840" s="15">
        <v>10</v>
      </c>
      <c r="L840" s="9">
        <v>0.12809999999999999</v>
      </c>
      <c r="M840" s="9">
        <v>6.1100000000000002E-2</v>
      </c>
      <c r="N840" s="15">
        <v>7</v>
      </c>
      <c r="O840" t="s">
        <v>27</v>
      </c>
      <c r="P840" t="s">
        <v>28</v>
      </c>
      <c r="Q840" s="24">
        <v>0.35</v>
      </c>
      <c r="R840" s="5">
        <f t="shared" si="78"/>
        <v>523.35342739726025</v>
      </c>
      <c r="S840" s="5">
        <f t="shared" si="79"/>
        <v>58.245709315068503</v>
      </c>
      <c r="T840" s="5">
        <f t="shared" si="80"/>
        <v>465.10771808219175</v>
      </c>
      <c r="U840" s="15">
        <f t="shared" si="81"/>
        <v>23</v>
      </c>
      <c r="V840" s="3">
        <f t="shared" si="82"/>
        <v>1165.6291499999998</v>
      </c>
      <c r="W840" s="3">
        <f t="shared" si="83"/>
        <v>839</v>
      </c>
    </row>
    <row r="841" spans="1:23" x14ac:dyDescent="0.2">
      <c r="A841" t="s">
        <v>223</v>
      </c>
      <c r="B841" t="s">
        <v>224</v>
      </c>
      <c r="C841" t="s">
        <v>36</v>
      </c>
      <c r="D841" t="s">
        <v>48</v>
      </c>
      <c r="E841" t="s">
        <v>25</v>
      </c>
      <c r="F841" s="7">
        <v>3916164</v>
      </c>
      <c r="G841" t="s">
        <v>1163</v>
      </c>
      <c r="H841" s="5">
        <v>90579</v>
      </c>
      <c r="I841" s="12">
        <v>46002</v>
      </c>
      <c r="J841" s="15">
        <v>60</v>
      </c>
      <c r="K841" s="15">
        <v>10</v>
      </c>
      <c r="L841" s="9">
        <v>0.1119</v>
      </c>
      <c r="M841" s="9">
        <v>4.7699999999999999E-2</v>
      </c>
      <c r="N841" s="15">
        <v>5</v>
      </c>
      <c r="O841" t="s">
        <v>27</v>
      </c>
      <c r="P841" t="s">
        <v>28</v>
      </c>
      <c r="Q841" s="24">
        <v>0.2</v>
      </c>
      <c r="R841" s="5">
        <f t="shared" si="78"/>
        <v>1666.1572767123287</v>
      </c>
      <c r="S841" s="5">
        <f t="shared" si="79"/>
        <v>59.186552054794518</v>
      </c>
      <c r="T841" s="5">
        <f t="shared" si="80"/>
        <v>1606.9707246575342</v>
      </c>
      <c r="U841" s="15">
        <f t="shared" si="81"/>
        <v>55</v>
      </c>
      <c r="V841" s="3">
        <f t="shared" si="82"/>
        <v>1163.0343600000003</v>
      </c>
      <c r="W841" s="3">
        <f t="shared" si="83"/>
        <v>840</v>
      </c>
    </row>
    <row r="842" spans="1:23" x14ac:dyDescent="0.2">
      <c r="A842" t="s">
        <v>58</v>
      </c>
      <c r="B842" t="s">
        <v>59</v>
      </c>
      <c r="C842" t="s">
        <v>23</v>
      </c>
      <c r="D842" t="s">
        <v>24</v>
      </c>
      <c r="E842" t="s">
        <v>25</v>
      </c>
      <c r="F842" s="7">
        <v>4269919</v>
      </c>
      <c r="G842" t="s">
        <v>792</v>
      </c>
      <c r="H842" s="5">
        <v>54553</v>
      </c>
      <c r="I842" s="12">
        <v>45946</v>
      </c>
      <c r="J842" s="15">
        <v>60</v>
      </c>
      <c r="K842" s="15">
        <v>5</v>
      </c>
      <c r="L842" s="9">
        <v>0.1212</v>
      </c>
      <c r="M842" s="9">
        <v>6.0299999999999999E-2</v>
      </c>
      <c r="N842" s="15">
        <v>8</v>
      </c>
      <c r="O842" t="s">
        <v>27</v>
      </c>
      <c r="P842" t="s">
        <v>28</v>
      </c>
      <c r="Q842" s="24">
        <v>0.35</v>
      </c>
      <c r="R842" s="5">
        <f t="shared" si="78"/>
        <v>1086.875112328767</v>
      </c>
      <c r="S842" s="5">
        <f t="shared" si="79"/>
        <v>72.099636164383568</v>
      </c>
      <c r="T842" s="5">
        <f t="shared" si="80"/>
        <v>1014.7754761643835</v>
      </c>
      <c r="U842" s="15">
        <f t="shared" si="81"/>
        <v>52</v>
      </c>
      <c r="V842" s="3">
        <f t="shared" si="82"/>
        <v>1162.7971950000001</v>
      </c>
      <c r="W842" s="3">
        <f t="shared" si="83"/>
        <v>841</v>
      </c>
    </row>
    <row r="843" spans="1:23" x14ac:dyDescent="0.2">
      <c r="A843" t="s">
        <v>103</v>
      </c>
      <c r="B843" t="s">
        <v>62</v>
      </c>
      <c r="C843" t="s">
        <v>31</v>
      </c>
      <c r="D843" t="s">
        <v>37</v>
      </c>
      <c r="E843" t="s">
        <v>25</v>
      </c>
      <c r="F843" s="7">
        <v>3948313</v>
      </c>
      <c r="G843" t="s">
        <v>1770</v>
      </c>
      <c r="H843" s="5">
        <v>87609</v>
      </c>
      <c r="I843" s="12">
        <v>46057</v>
      </c>
      <c r="J843" s="15">
        <v>45</v>
      </c>
      <c r="K843" s="15">
        <v>3</v>
      </c>
      <c r="L843" s="9">
        <v>0.1154</v>
      </c>
      <c r="M843" s="9">
        <v>4.9099999999999998E-2</v>
      </c>
      <c r="N843" s="15">
        <v>6</v>
      </c>
      <c r="O843" t="s">
        <v>28</v>
      </c>
      <c r="P843" t="s">
        <v>28</v>
      </c>
      <c r="Q843" s="24">
        <v>0.2</v>
      </c>
      <c r="R843" s="5">
        <f t="shared" si="78"/>
        <v>1246.4480465753425</v>
      </c>
      <c r="S843" s="5">
        <f t="shared" si="79"/>
        <v>70.711264109589024</v>
      </c>
      <c r="T843" s="5">
        <f t="shared" si="80"/>
        <v>1175.7367824657535</v>
      </c>
      <c r="U843" s="15">
        <f t="shared" si="81"/>
        <v>39</v>
      </c>
      <c r="V843" s="3">
        <f t="shared" si="82"/>
        <v>1161.69534</v>
      </c>
      <c r="W843" s="3">
        <f t="shared" si="83"/>
        <v>842</v>
      </c>
    </row>
    <row r="844" spans="1:23" x14ac:dyDescent="0.2">
      <c r="A844" t="s">
        <v>501</v>
      </c>
      <c r="B844" t="s">
        <v>502</v>
      </c>
      <c r="C844" t="s">
        <v>23</v>
      </c>
      <c r="D844" t="s">
        <v>32</v>
      </c>
      <c r="E844" t="s">
        <v>49</v>
      </c>
      <c r="F844" s="7">
        <v>412494</v>
      </c>
      <c r="G844" t="s">
        <v>636</v>
      </c>
      <c r="H844" s="5">
        <v>51924</v>
      </c>
      <c r="I844" s="12">
        <v>46076</v>
      </c>
      <c r="J844" s="15">
        <v>90</v>
      </c>
      <c r="K844" s="15">
        <v>7</v>
      </c>
      <c r="L844" s="9">
        <v>0.15989999999999999</v>
      </c>
      <c r="M844" s="9">
        <v>4.9099999999999998E-2</v>
      </c>
      <c r="N844" s="15">
        <v>8</v>
      </c>
      <c r="O844" t="s">
        <v>27</v>
      </c>
      <c r="P844" t="s">
        <v>28</v>
      </c>
      <c r="Q844" s="24">
        <v>0.2</v>
      </c>
      <c r="R844" s="5">
        <f t="shared" si="78"/>
        <v>2047.2281753424652</v>
      </c>
      <c r="S844" s="5">
        <f t="shared" si="79"/>
        <v>55.878759452054787</v>
      </c>
      <c r="T844" s="5">
        <f t="shared" si="80"/>
        <v>1991.3494158904105</v>
      </c>
      <c r="U844" s="15">
        <f t="shared" si="81"/>
        <v>82</v>
      </c>
      <c r="V844" s="3">
        <f t="shared" si="82"/>
        <v>1150.6358399999999</v>
      </c>
      <c r="W844" s="3">
        <f t="shared" si="83"/>
        <v>843</v>
      </c>
    </row>
    <row r="845" spans="1:23" x14ac:dyDescent="0.2">
      <c r="A845" t="s">
        <v>117</v>
      </c>
      <c r="B845" t="s">
        <v>118</v>
      </c>
      <c r="C845" t="s">
        <v>77</v>
      </c>
      <c r="D845" t="s">
        <v>32</v>
      </c>
      <c r="E845" t="s">
        <v>25</v>
      </c>
      <c r="F845" s="7">
        <v>6024640</v>
      </c>
      <c r="G845" t="s">
        <v>318</v>
      </c>
      <c r="H845" s="5">
        <v>31198</v>
      </c>
      <c r="I845" s="12">
        <v>46040</v>
      </c>
      <c r="J845" s="15">
        <v>45</v>
      </c>
      <c r="K845" s="15">
        <v>4</v>
      </c>
      <c r="L845" s="9">
        <v>0.13769999999999999</v>
      </c>
      <c r="M845" s="9">
        <v>6.4100000000000004E-2</v>
      </c>
      <c r="N845" s="15">
        <v>5</v>
      </c>
      <c r="O845" t="s">
        <v>27</v>
      </c>
      <c r="P845" t="s">
        <v>28</v>
      </c>
      <c r="Q845" s="24">
        <v>0.5</v>
      </c>
      <c r="R845" s="5">
        <f t="shared" si="78"/>
        <v>529.63947123287664</v>
      </c>
      <c r="S845" s="5">
        <f t="shared" si="79"/>
        <v>27.394408219178082</v>
      </c>
      <c r="T845" s="5">
        <f t="shared" si="80"/>
        <v>502.24506301369854</v>
      </c>
      <c r="U845" s="15">
        <f t="shared" si="81"/>
        <v>40</v>
      </c>
      <c r="V845" s="3">
        <f t="shared" si="82"/>
        <v>1148.0863999999997</v>
      </c>
      <c r="W845" s="3">
        <f t="shared" si="83"/>
        <v>844</v>
      </c>
    </row>
    <row r="846" spans="1:23" x14ac:dyDescent="0.2">
      <c r="A846" t="s">
        <v>239</v>
      </c>
      <c r="B846" t="s">
        <v>240</v>
      </c>
      <c r="C846" t="s">
        <v>31</v>
      </c>
      <c r="D846" t="s">
        <v>32</v>
      </c>
      <c r="E846" t="s">
        <v>49</v>
      </c>
      <c r="F846" s="7">
        <v>1485779</v>
      </c>
      <c r="G846" t="s">
        <v>1235</v>
      </c>
      <c r="H846" s="5">
        <v>28272</v>
      </c>
      <c r="I846" s="12">
        <v>45749</v>
      </c>
      <c r="J846" s="15">
        <v>60</v>
      </c>
      <c r="K846" s="15">
        <v>5</v>
      </c>
      <c r="L846" s="9">
        <v>0.1295</v>
      </c>
      <c r="M846" s="9">
        <v>4.8399999999999999E-2</v>
      </c>
      <c r="N846" s="15">
        <v>5</v>
      </c>
      <c r="O846" t="s">
        <v>27</v>
      </c>
      <c r="P846" t="s">
        <v>28</v>
      </c>
      <c r="Q846" s="24">
        <v>0.5</v>
      </c>
      <c r="R846" s="5">
        <f t="shared" si="78"/>
        <v>601.84504109589045</v>
      </c>
      <c r="S846" s="5">
        <f t="shared" si="79"/>
        <v>18.744723287671231</v>
      </c>
      <c r="T846" s="5">
        <f t="shared" si="80"/>
        <v>583.10031780821919</v>
      </c>
      <c r="U846" s="15">
        <f t="shared" si="81"/>
        <v>55</v>
      </c>
      <c r="V846" s="3">
        <f t="shared" si="82"/>
        <v>1146.4296000000002</v>
      </c>
      <c r="W846" s="3">
        <f t="shared" si="83"/>
        <v>845</v>
      </c>
    </row>
    <row r="847" spans="1:23" x14ac:dyDescent="0.2">
      <c r="A847" t="s">
        <v>54</v>
      </c>
      <c r="B847" t="s">
        <v>55</v>
      </c>
      <c r="C847" t="s">
        <v>31</v>
      </c>
      <c r="D847" t="s">
        <v>24</v>
      </c>
      <c r="E847" t="s">
        <v>56</v>
      </c>
      <c r="F847" s="7">
        <v>15261617</v>
      </c>
      <c r="G847" t="s">
        <v>905</v>
      </c>
      <c r="H847" s="5">
        <v>109180</v>
      </c>
      <c r="I847" s="12">
        <v>45791</v>
      </c>
      <c r="J847" s="15">
        <v>45</v>
      </c>
      <c r="K847" s="15">
        <v>3</v>
      </c>
      <c r="L847" s="9">
        <v>9.3200000000000005E-2</v>
      </c>
      <c r="M847" s="9">
        <v>6.3200000000000006E-2</v>
      </c>
      <c r="N847" s="15">
        <v>6</v>
      </c>
      <c r="O847" t="s">
        <v>27</v>
      </c>
      <c r="P847" t="s">
        <v>28</v>
      </c>
      <c r="Q847" s="24">
        <v>0.35</v>
      </c>
      <c r="R847" s="5">
        <f t="shared" si="78"/>
        <v>1254.5230684931507</v>
      </c>
      <c r="S847" s="5">
        <f t="shared" si="79"/>
        <v>113.4275506849315</v>
      </c>
      <c r="T847" s="5">
        <f t="shared" si="80"/>
        <v>1141.0955178082193</v>
      </c>
      <c r="U847" s="15">
        <f t="shared" si="81"/>
        <v>39</v>
      </c>
      <c r="V847" s="3">
        <f t="shared" si="82"/>
        <v>1146.3899999999999</v>
      </c>
      <c r="W847" s="3">
        <f t="shared" si="83"/>
        <v>846</v>
      </c>
    </row>
    <row r="848" spans="1:23" x14ac:dyDescent="0.2">
      <c r="A848" t="s">
        <v>169</v>
      </c>
      <c r="B848" t="s">
        <v>170</v>
      </c>
      <c r="C848" t="s">
        <v>31</v>
      </c>
      <c r="D848" t="s">
        <v>37</v>
      </c>
      <c r="E848" t="s">
        <v>25</v>
      </c>
      <c r="F848" s="7">
        <v>4193232</v>
      </c>
      <c r="G848" t="s">
        <v>1728</v>
      </c>
      <c r="H848" s="5">
        <v>31205</v>
      </c>
      <c r="I848" s="12">
        <v>45733</v>
      </c>
      <c r="J848" s="15">
        <v>60</v>
      </c>
      <c r="K848" s="15">
        <v>5</v>
      </c>
      <c r="L848" s="9">
        <v>0.1235</v>
      </c>
      <c r="M848" s="9">
        <v>5.0099999999999999E-2</v>
      </c>
      <c r="N848" s="15">
        <v>6</v>
      </c>
      <c r="O848" t="s">
        <v>28</v>
      </c>
      <c r="P848" t="s">
        <v>28</v>
      </c>
      <c r="Q848" s="24">
        <v>0.5</v>
      </c>
      <c r="R848" s="5">
        <f t="shared" si="78"/>
        <v>633.50424657534245</v>
      </c>
      <c r="S848" s="5">
        <f t="shared" si="79"/>
        <v>25.699241095890407</v>
      </c>
      <c r="T848" s="5">
        <f t="shared" si="80"/>
        <v>607.80500547945201</v>
      </c>
      <c r="U848" s="15">
        <f t="shared" si="81"/>
        <v>54</v>
      </c>
      <c r="V848" s="3">
        <f t="shared" si="82"/>
        <v>1145.2234999999998</v>
      </c>
      <c r="W848" s="3">
        <f t="shared" si="83"/>
        <v>847</v>
      </c>
    </row>
    <row r="849" spans="1:23" x14ac:dyDescent="0.2">
      <c r="A849" t="s">
        <v>654</v>
      </c>
      <c r="B849" t="s">
        <v>110</v>
      </c>
      <c r="C849" t="s">
        <v>23</v>
      </c>
      <c r="D849" t="s">
        <v>66</v>
      </c>
      <c r="E849" t="s">
        <v>25</v>
      </c>
      <c r="F849" s="7">
        <v>6809493</v>
      </c>
      <c r="G849" t="s">
        <v>1701</v>
      </c>
      <c r="H849" s="5">
        <v>47003</v>
      </c>
      <c r="I849" s="12">
        <v>45690</v>
      </c>
      <c r="J849" s="15">
        <v>60</v>
      </c>
      <c r="K849" s="15">
        <v>10</v>
      </c>
      <c r="L849" s="9">
        <v>0.121</v>
      </c>
      <c r="M849" s="9">
        <v>5.1400000000000001E-2</v>
      </c>
      <c r="N849" s="15">
        <v>6</v>
      </c>
      <c r="O849" t="s">
        <v>28</v>
      </c>
      <c r="P849" t="s">
        <v>28</v>
      </c>
      <c r="Q849" s="24">
        <v>0.35</v>
      </c>
      <c r="R849" s="5">
        <f t="shared" si="78"/>
        <v>934.90898630136985</v>
      </c>
      <c r="S849" s="5">
        <f t="shared" si="79"/>
        <v>39.714315616438356</v>
      </c>
      <c r="T849" s="5">
        <f t="shared" si="80"/>
        <v>895.19467068493145</v>
      </c>
      <c r="U849" s="15">
        <f t="shared" si="81"/>
        <v>54</v>
      </c>
      <c r="V849" s="3">
        <f t="shared" si="82"/>
        <v>1144.9930799999997</v>
      </c>
      <c r="W849" s="3">
        <f t="shared" si="83"/>
        <v>848</v>
      </c>
    </row>
    <row r="850" spans="1:23" x14ac:dyDescent="0.2">
      <c r="A850" t="s">
        <v>120</v>
      </c>
      <c r="B850" t="s">
        <v>121</v>
      </c>
      <c r="C850" t="s">
        <v>31</v>
      </c>
      <c r="D850" t="s">
        <v>48</v>
      </c>
      <c r="E850" t="s">
        <v>56</v>
      </c>
      <c r="F850" s="7">
        <v>14943587</v>
      </c>
      <c r="G850" t="s">
        <v>688</v>
      </c>
      <c r="H850" s="5">
        <v>59692</v>
      </c>
      <c r="I850" s="12">
        <v>45886</v>
      </c>
      <c r="J850" s="15">
        <v>60</v>
      </c>
      <c r="K850" s="15">
        <v>10</v>
      </c>
      <c r="L850" s="9">
        <v>0.1046</v>
      </c>
      <c r="M850" s="9">
        <v>4.9799999999999997E-2</v>
      </c>
      <c r="N850" s="15">
        <v>10</v>
      </c>
      <c r="O850" t="s">
        <v>27</v>
      </c>
      <c r="P850" t="s">
        <v>28</v>
      </c>
      <c r="Q850" s="24">
        <v>0.35</v>
      </c>
      <c r="R850" s="5">
        <f t="shared" si="78"/>
        <v>1026.3753205479452</v>
      </c>
      <c r="S850" s="5">
        <f t="shared" si="79"/>
        <v>81.442783561643822</v>
      </c>
      <c r="T850" s="5">
        <f t="shared" si="80"/>
        <v>944.93253698630133</v>
      </c>
      <c r="U850" s="15">
        <f t="shared" si="81"/>
        <v>50</v>
      </c>
      <c r="V850" s="3">
        <f t="shared" si="82"/>
        <v>1144.89256</v>
      </c>
      <c r="W850" s="3">
        <f t="shared" si="83"/>
        <v>849</v>
      </c>
    </row>
    <row r="851" spans="1:23" x14ac:dyDescent="0.2">
      <c r="A851" t="s">
        <v>103</v>
      </c>
      <c r="B851" t="s">
        <v>62</v>
      </c>
      <c r="C851" t="s">
        <v>31</v>
      </c>
      <c r="D851" t="s">
        <v>37</v>
      </c>
      <c r="E851" t="s">
        <v>25</v>
      </c>
      <c r="F851" s="7">
        <v>3948313</v>
      </c>
      <c r="G851" t="s">
        <v>624</v>
      </c>
      <c r="H851" s="5">
        <v>26920</v>
      </c>
      <c r="I851" s="12">
        <v>45990</v>
      </c>
      <c r="J851" s="15">
        <v>60</v>
      </c>
      <c r="K851" s="15">
        <v>5</v>
      </c>
      <c r="L851" s="9">
        <v>0.1154</v>
      </c>
      <c r="M851" s="9">
        <v>5.04E-2</v>
      </c>
      <c r="N851" s="15">
        <v>8</v>
      </c>
      <c r="O851" t="s">
        <v>27</v>
      </c>
      <c r="P851" t="s">
        <v>28</v>
      </c>
      <c r="Q851" s="24">
        <v>0.65</v>
      </c>
      <c r="R851" s="5">
        <f t="shared" si="78"/>
        <v>510.66871232876713</v>
      </c>
      <c r="S851" s="5">
        <f t="shared" si="79"/>
        <v>29.73738082191781</v>
      </c>
      <c r="T851" s="5">
        <f t="shared" si="80"/>
        <v>480.93133150684935</v>
      </c>
      <c r="U851" s="15">
        <f t="shared" si="81"/>
        <v>52</v>
      </c>
      <c r="V851" s="3">
        <f t="shared" si="82"/>
        <v>1137.3700000000001</v>
      </c>
      <c r="W851" s="3">
        <f t="shared" si="83"/>
        <v>850</v>
      </c>
    </row>
    <row r="852" spans="1:23" x14ac:dyDescent="0.2">
      <c r="A852" t="s">
        <v>252</v>
      </c>
      <c r="B852" t="s">
        <v>89</v>
      </c>
      <c r="C852" t="s">
        <v>31</v>
      </c>
      <c r="D852" t="s">
        <v>24</v>
      </c>
      <c r="E852" t="s">
        <v>49</v>
      </c>
      <c r="F852" s="7">
        <v>971327</v>
      </c>
      <c r="G852" t="s">
        <v>1761</v>
      </c>
      <c r="H852" s="5">
        <v>55648</v>
      </c>
      <c r="I852" s="12">
        <v>45986</v>
      </c>
      <c r="J852" s="15">
        <v>45</v>
      </c>
      <c r="K852" s="15">
        <v>10</v>
      </c>
      <c r="L852" s="9">
        <v>0.15229999999999999</v>
      </c>
      <c r="M852" s="9">
        <v>5.0200000000000002E-2</v>
      </c>
      <c r="N852" s="15">
        <v>10</v>
      </c>
      <c r="O852" t="s">
        <v>27</v>
      </c>
      <c r="P852" t="s">
        <v>28</v>
      </c>
      <c r="Q852" s="24">
        <v>0.2</v>
      </c>
      <c r="R852" s="5">
        <f t="shared" si="78"/>
        <v>1044.8864876712328</v>
      </c>
      <c r="S852" s="5">
        <f t="shared" si="79"/>
        <v>76.535057534246576</v>
      </c>
      <c r="T852" s="5">
        <f t="shared" si="80"/>
        <v>968.35143013698621</v>
      </c>
      <c r="U852" s="15">
        <f t="shared" si="81"/>
        <v>35</v>
      </c>
      <c r="V852" s="3">
        <f t="shared" si="82"/>
        <v>1136.3321599999999</v>
      </c>
      <c r="W852" s="3">
        <f t="shared" si="83"/>
        <v>851</v>
      </c>
    </row>
    <row r="853" spans="1:23" x14ac:dyDescent="0.2">
      <c r="A853" t="s">
        <v>249</v>
      </c>
      <c r="B853" t="s">
        <v>250</v>
      </c>
      <c r="C853" t="s">
        <v>23</v>
      </c>
      <c r="D853" t="s">
        <v>66</v>
      </c>
      <c r="E853" t="s">
        <v>25</v>
      </c>
      <c r="F853" s="7">
        <v>2803992</v>
      </c>
      <c r="G853" t="s">
        <v>678</v>
      </c>
      <c r="H853" s="5">
        <v>30671</v>
      </c>
      <c r="I853" s="12">
        <v>45685</v>
      </c>
      <c r="J853" s="15">
        <v>45</v>
      </c>
      <c r="K853" s="15">
        <v>3</v>
      </c>
      <c r="L853" s="9">
        <v>0.1036</v>
      </c>
      <c r="M853" s="9">
        <v>5.7299999999999997E-2</v>
      </c>
      <c r="N853" s="15">
        <v>7</v>
      </c>
      <c r="O853" t="s">
        <v>28</v>
      </c>
      <c r="P853" t="s">
        <v>28</v>
      </c>
      <c r="Q853" s="24">
        <v>0.8</v>
      </c>
      <c r="R853" s="5">
        <f t="shared" si="78"/>
        <v>391.74849863013691</v>
      </c>
      <c r="S853" s="5">
        <f t="shared" si="79"/>
        <v>33.704487945205479</v>
      </c>
      <c r="T853" s="5">
        <f t="shared" si="80"/>
        <v>358.04401068493144</v>
      </c>
      <c r="U853" s="15">
        <f t="shared" si="81"/>
        <v>38</v>
      </c>
      <c r="V853" s="3">
        <f t="shared" si="82"/>
        <v>1136.05384</v>
      </c>
      <c r="W853" s="3">
        <f t="shared" si="83"/>
        <v>852</v>
      </c>
    </row>
    <row r="854" spans="1:23" x14ac:dyDescent="0.2">
      <c r="A854" t="s">
        <v>244</v>
      </c>
      <c r="B854" t="s">
        <v>245</v>
      </c>
      <c r="C854" t="s">
        <v>77</v>
      </c>
      <c r="D854" t="s">
        <v>48</v>
      </c>
      <c r="E854" t="s">
        <v>49</v>
      </c>
      <c r="F854" s="7">
        <v>759292</v>
      </c>
      <c r="G854" t="s">
        <v>246</v>
      </c>
      <c r="H854" s="5">
        <v>21835</v>
      </c>
      <c r="I854" s="12">
        <v>46005</v>
      </c>
      <c r="J854" s="15">
        <v>60</v>
      </c>
      <c r="K854" s="15">
        <v>5</v>
      </c>
      <c r="L854" s="9">
        <v>0.1171</v>
      </c>
      <c r="M854" s="9">
        <v>5.2299999999999999E-2</v>
      </c>
      <c r="N854" s="15">
        <v>6</v>
      </c>
      <c r="O854" t="s">
        <v>27</v>
      </c>
      <c r="P854" t="s">
        <v>28</v>
      </c>
      <c r="Q854" s="24">
        <v>0.8</v>
      </c>
      <c r="R854" s="5">
        <f t="shared" si="78"/>
        <v>420.30879452054791</v>
      </c>
      <c r="S854" s="5">
        <f t="shared" si="79"/>
        <v>18.772117808219175</v>
      </c>
      <c r="T854" s="5">
        <f t="shared" si="80"/>
        <v>401.53667671232876</v>
      </c>
      <c r="U854" s="15">
        <f t="shared" si="81"/>
        <v>54</v>
      </c>
      <c r="V854" s="3">
        <f t="shared" si="82"/>
        <v>1131.9263999999998</v>
      </c>
      <c r="W854" s="3">
        <f t="shared" si="83"/>
        <v>853</v>
      </c>
    </row>
    <row r="855" spans="1:23" x14ac:dyDescent="0.2">
      <c r="A855" t="s">
        <v>648</v>
      </c>
      <c r="B855" t="s">
        <v>204</v>
      </c>
      <c r="C855" t="s">
        <v>36</v>
      </c>
      <c r="D855" t="s">
        <v>37</v>
      </c>
      <c r="E855" t="s">
        <v>49</v>
      </c>
      <c r="F855" s="7">
        <v>1076320</v>
      </c>
      <c r="G855" t="s">
        <v>1342</v>
      </c>
      <c r="H855" s="5">
        <v>30333</v>
      </c>
      <c r="I855" s="12">
        <v>45860</v>
      </c>
      <c r="J855" s="15">
        <v>60</v>
      </c>
      <c r="K855" s="15">
        <v>5</v>
      </c>
      <c r="L855" s="9">
        <v>0.15140000000000001</v>
      </c>
      <c r="M855" s="9">
        <v>4.5100000000000001E-2</v>
      </c>
      <c r="N855" s="15">
        <v>6</v>
      </c>
      <c r="O855" t="s">
        <v>28</v>
      </c>
      <c r="P855" t="s">
        <v>28</v>
      </c>
      <c r="Q855" s="24">
        <v>0.35</v>
      </c>
      <c r="R855" s="5">
        <f t="shared" si="78"/>
        <v>754.91773150684935</v>
      </c>
      <c r="S855" s="5">
        <f t="shared" si="79"/>
        <v>22.487972054794518</v>
      </c>
      <c r="T855" s="5">
        <f t="shared" si="80"/>
        <v>732.42975945205478</v>
      </c>
      <c r="U855" s="15">
        <f t="shared" si="81"/>
        <v>54</v>
      </c>
      <c r="V855" s="3">
        <f t="shared" si="82"/>
        <v>1128.5392650000001</v>
      </c>
      <c r="W855" s="3">
        <f t="shared" si="83"/>
        <v>854</v>
      </c>
    </row>
    <row r="856" spans="1:23" x14ac:dyDescent="0.2">
      <c r="A856" t="s">
        <v>79</v>
      </c>
      <c r="B856" t="s">
        <v>80</v>
      </c>
      <c r="C856" t="s">
        <v>31</v>
      </c>
      <c r="D856" t="s">
        <v>32</v>
      </c>
      <c r="E856" t="s">
        <v>25</v>
      </c>
      <c r="F856" s="7">
        <v>1969242</v>
      </c>
      <c r="G856" t="s">
        <v>620</v>
      </c>
      <c r="H856" s="5">
        <v>31548</v>
      </c>
      <c r="I856" s="12">
        <v>45809</v>
      </c>
      <c r="J856" s="15">
        <v>90</v>
      </c>
      <c r="K856" s="15">
        <v>7</v>
      </c>
      <c r="L856" s="9">
        <v>0.10150000000000001</v>
      </c>
      <c r="M856" s="9">
        <v>4.65E-2</v>
      </c>
      <c r="N856" s="15">
        <v>5</v>
      </c>
      <c r="O856" t="s">
        <v>27</v>
      </c>
      <c r="P856" t="s">
        <v>28</v>
      </c>
      <c r="Q856" s="24">
        <v>0.65</v>
      </c>
      <c r="R856" s="5">
        <f t="shared" si="78"/>
        <v>789.56432876712336</v>
      </c>
      <c r="S856" s="5">
        <f t="shared" si="79"/>
        <v>20.095643835616436</v>
      </c>
      <c r="T856" s="5">
        <f t="shared" si="80"/>
        <v>769.46868493150691</v>
      </c>
      <c r="U856" s="15">
        <f t="shared" si="81"/>
        <v>85</v>
      </c>
      <c r="V856" s="3">
        <f t="shared" si="82"/>
        <v>1127.8410000000001</v>
      </c>
      <c r="W856" s="3">
        <f t="shared" si="83"/>
        <v>855</v>
      </c>
    </row>
    <row r="857" spans="1:23" x14ac:dyDescent="0.2">
      <c r="A857" t="s">
        <v>263</v>
      </c>
      <c r="B857" t="s">
        <v>264</v>
      </c>
      <c r="C857" t="s">
        <v>77</v>
      </c>
      <c r="D857" t="s">
        <v>24</v>
      </c>
      <c r="E857" t="s">
        <v>25</v>
      </c>
      <c r="F857" s="7">
        <v>4450767</v>
      </c>
      <c r="G857" t="s">
        <v>1277</v>
      </c>
      <c r="H857" s="5">
        <v>43404</v>
      </c>
      <c r="I857" s="12">
        <v>46070</v>
      </c>
      <c r="J857" s="15">
        <v>90</v>
      </c>
      <c r="K857" s="15">
        <v>10</v>
      </c>
      <c r="L857" s="9">
        <v>0.10489999999999999</v>
      </c>
      <c r="M857" s="9">
        <v>5.2999999999999999E-2</v>
      </c>
      <c r="N857" s="15">
        <v>10</v>
      </c>
      <c r="O857" t="s">
        <v>28</v>
      </c>
      <c r="P857" t="s">
        <v>28</v>
      </c>
      <c r="Q857" s="24">
        <v>0.5</v>
      </c>
      <c r="R857" s="5">
        <f t="shared" si="78"/>
        <v>1122.6771616438355</v>
      </c>
      <c r="S857" s="5">
        <f t="shared" si="79"/>
        <v>63.024986301369857</v>
      </c>
      <c r="T857" s="5">
        <f t="shared" si="80"/>
        <v>1059.6521753424656</v>
      </c>
      <c r="U857" s="15">
        <f t="shared" si="81"/>
        <v>80</v>
      </c>
      <c r="V857" s="3">
        <f t="shared" si="82"/>
        <v>1126.3337999999999</v>
      </c>
      <c r="W857" s="3">
        <f t="shared" si="83"/>
        <v>856</v>
      </c>
    </row>
    <row r="858" spans="1:23" x14ac:dyDescent="0.2">
      <c r="A858" t="s">
        <v>228</v>
      </c>
      <c r="B858" t="s">
        <v>62</v>
      </c>
      <c r="C858" t="s">
        <v>23</v>
      </c>
      <c r="D858" t="s">
        <v>66</v>
      </c>
      <c r="E858" t="s">
        <v>49</v>
      </c>
      <c r="F858" s="7">
        <v>1218251</v>
      </c>
      <c r="G858" t="s">
        <v>1581</v>
      </c>
      <c r="H858" s="5">
        <v>43985</v>
      </c>
      <c r="I858" s="12">
        <v>45885</v>
      </c>
      <c r="J858" s="15">
        <v>60</v>
      </c>
      <c r="K858" s="15">
        <v>4</v>
      </c>
      <c r="L858" s="9">
        <v>0.1227</v>
      </c>
      <c r="M858" s="9">
        <v>4.9599999999999998E-2</v>
      </c>
      <c r="N858" s="15">
        <v>7</v>
      </c>
      <c r="O858" t="s">
        <v>27</v>
      </c>
      <c r="P858" t="s">
        <v>28</v>
      </c>
      <c r="Q858" s="24">
        <v>0.35</v>
      </c>
      <c r="R858" s="5">
        <f t="shared" si="78"/>
        <v>887.1714246575342</v>
      </c>
      <c r="S858" s="5">
        <f t="shared" si="79"/>
        <v>41.839978082191784</v>
      </c>
      <c r="T858" s="5">
        <f t="shared" si="80"/>
        <v>845.3314465753424</v>
      </c>
      <c r="U858" s="15">
        <f t="shared" si="81"/>
        <v>53</v>
      </c>
      <c r="V858" s="3">
        <f t="shared" si="82"/>
        <v>1125.3562249999998</v>
      </c>
      <c r="W858" s="3">
        <f t="shared" si="83"/>
        <v>857</v>
      </c>
    </row>
    <row r="859" spans="1:23" x14ac:dyDescent="0.2">
      <c r="A859" t="s">
        <v>268</v>
      </c>
      <c r="B859" t="s">
        <v>269</v>
      </c>
      <c r="C859" t="s">
        <v>36</v>
      </c>
      <c r="D859" t="s">
        <v>37</v>
      </c>
      <c r="E859" t="s">
        <v>25</v>
      </c>
      <c r="F859" s="7">
        <v>1810544</v>
      </c>
      <c r="G859" t="s">
        <v>1062</v>
      </c>
      <c r="H859" s="5">
        <v>96817</v>
      </c>
      <c r="I859" s="12">
        <v>45683</v>
      </c>
      <c r="J859" s="15">
        <v>60</v>
      </c>
      <c r="K859" s="15">
        <v>3</v>
      </c>
      <c r="L859" s="9">
        <v>9.6299999999999997E-2</v>
      </c>
      <c r="M859" s="9">
        <v>6.3100000000000003E-2</v>
      </c>
      <c r="N859" s="15">
        <v>8</v>
      </c>
      <c r="O859" t="s">
        <v>28</v>
      </c>
      <c r="P859" t="s">
        <v>28</v>
      </c>
      <c r="Q859" s="24">
        <v>0.35</v>
      </c>
      <c r="R859" s="5">
        <f t="shared" si="78"/>
        <v>1532.6263726027396</v>
      </c>
      <c r="S859" s="5">
        <f t="shared" si="79"/>
        <v>133.89923726027399</v>
      </c>
      <c r="T859" s="5">
        <f t="shared" si="80"/>
        <v>1398.7271353424655</v>
      </c>
      <c r="U859" s="15">
        <f t="shared" si="81"/>
        <v>52</v>
      </c>
      <c r="V859" s="3">
        <f t="shared" si="82"/>
        <v>1125.0135399999997</v>
      </c>
      <c r="W859" s="3">
        <f t="shared" si="83"/>
        <v>858</v>
      </c>
    </row>
    <row r="860" spans="1:23" x14ac:dyDescent="0.2">
      <c r="A860" t="s">
        <v>160</v>
      </c>
      <c r="B860" t="s">
        <v>161</v>
      </c>
      <c r="C860" t="s">
        <v>23</v>
      </c>
      <c r="D860" t="s">
        <v>66</v>
      </c>
      <c r="E860" t="s">
        <v>56</v>
      </c>
      <c r="F860" s="7">
        <v>8479307</v>
      </c>
      <c r="G860" t="s">
        <v>761</v>
      </c>
      <c r="H860" s="5">
        <v>68418</v>
      </c>
      <c r="I860" s="12">
        <v>45881</v>
      </c>
      <c r="J860" s="15">
        <v>60</v>
      </c>
      <c r="K860" s="15">
        <v>7</v>
      </c>
      <c r="L860" s="9">
        <v>7.0099999999999996E-2</v>
      </c>
      <c r="M860" s="9">
        <v>4.9599999999999998E-2</v>
      </c>
      <c r="N860" s="15">
        <v>5</v>
      </c>
      <c r="O860" t="s">
        <v>27</v>
      </c>
      <c r="P860" t="s">
        <v>28</v>
      </c>
      <c r="Q860" s="24">
        <v>0.8</v>
      </c>
      <c r="R860" s="5">
        <f t="shared" si="78"/>
        <v>788.4002958904108</v>
      </c>
      <c r="S860" s="5">
        <f t="shared" si="79"/>
        <v>46.486750684931501</v>
      </c>
      <c r="T860" s="5">
        <f t="shared" si="80"/>
        <v>741.91354520547929</v>
      </c>
      <c r="U860" s="15">
        <f t="shared" si="81"/>
        <v>55</v>
      </c>
      <c r="V860" s="3">
        <f t="shared" si="82"/>
        <v>1122.0551999999998</v>
      </c>
      <c r="W860" s="3">
        <f t="shared" si="83"/>
        <v>859</v>
      </c>
    </row>
    <row r="861" spans="1:23" x14ac:dyDescent="0.2">
      <c r="A861" t="s">
        <v>407</v>
      </c>
      <c r="B861" t="s">
        <v>218</v>
      </c>
      <c r="C861" t="s">
        <v>41</v>
      </c>
      <c r="D861" t="s">
        <v>32</v>
      </c>
      <c r="E861" t="s">
        <v>25</v>
      </c>
      <c r="F861" s="7">
        <v>1514188</v>
      </c>
      <c r="G861" t="s">
        <v>680</v>
      </c>
      <c r="H861" s="5">
        <v>55365</v>
      </c>
      <c r="I861" s="12">
        <v>45820</v>
      </c>
      <c r="J861" s="15">
        <v>60</v>
      </c>
      <c r="K861" s="15">
        <v>10</v>
      </c>
      <c r="L861" s="9">
        <v>0.11600000000000001</v>
      </c>
      <c r="M861" s="9">
        <v>5.8099999999999999E-2</v>
      </c>
      <c r="N861" s="15">
        <v>5</v>
      </c>
      <c r="O861" t="s">
        <v>27</v>
      </c>
      <c r="P861" t="s">
        <v>28</v>
      </c>
      <c r="Q861" s="24">
        <v>0.35</v>
      </c>
      <c r="R861" s="5">
        <f t="shared" si="78"/>
        <v>1055.7271232876712</v>
      </c>
      <c r="S861" s="5">
        <f t="shared" si="79"/>
        <v>44.06447260273972</v>
      </c>
      <c r="T861" s="5">
        <f t="shared" si="80"/>
        <v>1011.6626506849316</v>
      </c>
      <c r="U861" s="15">
        <f t="shared" si="81"/>
        <v>55</v>
      </c>
      <c r="V861" s="3">
        <f t="shared" si="82"/>
        <v>1121.9717250000001</v>
      </c>
      <c r="W861" s="3">
        <f t="shared" si="83"/>
        <v>860</v>
      </c>
    </row>
    <row r="862" spans="1:23" x14ac:dyDescent="0.2">
      <c r="A862" t="s">
        <v>608</v>
      </c>
      <c r="B862" t="s">
        <v>609</v>
      </c>
      <c r="C862" t="s">
        <v>77</v>
      </c>
      <c r="D862" t="s">
        <v>48</v>
      </c>
      <c r="E862" t="s">
        <v>56</v>
      </c>
      <c r="F862" s="7">
        <v>24905394</v>
      </c>
      <c r="G862" t="s">
        <v>926</v>
      </c>
      <c r="H862" s="5">
        <v>96813</v>
      </c>
      <c r="I862" s="12">
        <v>45989</v>
      </c>
      <c r="J862" s="15">
        <v>30</v>
      </c>
      <c r="K862" s="15">
        <v>7</v>
      </c>
      <c r="L862" s="9">
        <v>8.5199999999999998E-2</v>
      </c>
      <c r="M862" s="9">
        <v>6.2100000000000002E-2</v>
      </c>
      <c r="N862" s="15">
        <v>7</v>
      </c>
      <c r="O862" t="s">
        <v>28</v>
      </c>
      <c r="P862" t="s">
        <v>28</v>
      </c>
      <c r="Q862" s="24">
        <v>0.5</v>
      </c>
      <c r="R862" s="5">
        <f t="shared" si="78"/>
        <v>677.95624109589039</v>
      </c>
      <c r="S862" s="5">
        <f t="shared" si="79"/>
        <v>115.30030438356165</v>
      </c>
      <c r="T862" s="5">
        <f t="shared" si="80"/>
        <v>562.65593671232875</v>
      </c>
      <c r="U862" s="15">
        <f t="shared" si="81"/>
        <v>23</v>
      </c>
      <c r="V862" s="3">
        <f t="shared" si="82"/>
        <v>1118.1901499999997</v>
      </c>
      <c r="W862" s="3">
        <f t="shared" si="83"/>
        <v>861</v>
      </c>
    </row>
    <row r="863" spans="1:23" x14ac:dyDescent="0.2">
      <c r="A863" t="s">
        <v>468</v>
      </c>
      <c r="B863" t="s">
        <v>412</v>
      </c>
      <c r="C863" t="s">
        <v>41</v>
      </c>
      <c r="D863" t="s">
        <v>48</v>
      </c>
      <c r="E863" t="s">
        <v>49</v>
      </c>
      <c r="F863" s="7">
        <v>1406086</v>
      </c>
      <c r="G863" t="s">
        <v>1049</v>
      </c>
      <c r="H863" s="5">
        <v>74288</v>
      </c>
      <c r="I863" s="12">
        <v>46011</v>
      </c>
      <c r="J863" s="15">
        <v>60</v>
      </c>
      <c r="K863" s="15">
        <v>4</v>
      </c>
      <c r="L863" s="9">
        <v>0.1201</v>
      </c>
      <c r="M863" s="9">
        <v>4.5400000000000003E-2</v>
      </c>
      <c r="N863" s="15">
        <v>10</v>
      </c>
      <c r="O863" t="s">
        <v>28</v>
      </c>
      <c r="P863" t="s">
        <v>28</v>
      </c>
      <c r="Q863" s="24">
        <v>0.2</v>
      </c>
      <c r="R863" s="5">
        <f t="shared" si="78"/>
        <v>1466.6282958904108</v>
      </c>
      <c r="S863" s="5">
        <f t="shared" si="79"/>
        <v>92.402060273972594</v>
      </c>
      <c r="T863" s="5">
        <f t="shared" si="80"/>
        <v>1374.2262356164381</v>
      </c>
      <c r="U863" s="15">
        <f t="shared" si="81"/>
        <v>50</v>
      </c>
      <c r="V863" s="3">
        <f t="shared" si="82"/>
        <v>1109.8627199999999</v>
      </c>
      <c r="W863" s="3">
        <f t="shared" si="83"/>
        <v>862</v>
      </c>
    </row>
    <row r="864" spans="1:23" x14ac:dyDescent="0.2">
      <c r="A864" t="s">
        <v>133</v>
      </c>
      <c r="B864" t="s">
        <v>134</v>
      </c>
      <c r="C864" t="s">
        <v>36</v>
      </c>
      <c r="D864" t="s">
        <v>24</v>
      </c>
      <c r="E864" t="s">
        <v>25</v>
      </c>
      <c r="F864" s="7">
        <v>6056843</v>
      </c>
      <c r="G864" t="s">
        <v>1202</v>
      </c>
      <c r="H864" s="5">
        <v>33945</v>
      </c>
      <c r="I864" s="12">
        <v>46022</v>
      </c>
      <c r="J864" s="15">
        <v>60</v>
      </c>
      <c r="K864" s="15">
        <v>10</v>
      </c>
      <c r="L864" s="9">
        <v>0.12520000000000001</v>
      </c>
      <c r="M864" s="9">
        <v>0.06</v>
      </c>
      <c r="N864" s="15">
        <v>7</v>
      </c>
      <c r="O864" t="s">
        <v>27</v>
      </c>
      <c r="P864" t="s">
        <v>28</v>
      </c>
      <c r="Q864" s="24">
        <v>0.5</v>
      </c>
      <c r="R864" s="5">
        <f t="shared" si="78"/>
        <v>698.61599999999987</v>
      </c>
      <c r="S864" s="5">
        <f t="shared" si="79"/>
        <v>39.059999999999995</v>
      </c>
      <c r="T864" s="5">
        <f t="shared" si="80"/>
        <v>659.55599999999993</v>
      </c>
      <c r="U864" s="15">
        <f t="shared" si="81"/>
        <v>53</v>
      </c>
      <c r="V864" s="3">
        <f t="shared" si="82"/>
        <v>1106.6070000000002</v>
      </c>
      <c r="W864" s="3">
        <f t="shared" si="83"/>
        <v>863</v>
      </c>
    </row>
    <row r="865" spans="1:23" x14ac:dyDescent="0.2">
      <c r="A865" t="s">
        <v>488</v>
      </c>
      <c r="B865" t="s">
        <v>489</v>
      </c>
      <c r="C865" t="s">
        <v>31</v>
      </c>
      <c r="D865" t="s">
        <v>37</v>
      </c>
      <c r="E865" t="s">
        <v>25</v>
      </c>
      <c r="F865" s="7">
        <v>6687670</v>
      </c>
      <c r="G865" t="s">
        <v>1507</v>
      </c>
      <c r="H865" s="5">
        <v>105480</v>
      </c>
      <c r="I865" s="12">
        <v>45900</v>
      </c>
      <c r="J865" s="15">
        <v>45</v>
      </c>
      <c r="K865" s="15">
        <v>10</v>
      </c>
      <c r="L865" s="9">
        <v>0.1013</v>
      </c>
      <c r="M865" s="9">
        <v>4.8899999999999999E-2</v>
      </c>
      <c r="N865" s="15">
        <v>10</v>
      </c>
      <c r="O865" t="s">
        <v>27</v>
      </c>
      <c r="P865" t="s">
        <v>28</v>
      </c>
      <c r="Q865" s="24">
        <v>0.2</v>
      </c>
      <c r="R865" s="5">
        <f t="shared" si="78"/>
        <v>1317.3440547945204</v>
      </c>
      <c r="S865" s="5">
        <f t="shared" si="79"/>
        <v>141.31430136986299</v>
      </c>
      <c r="T865" s="5">
        <f t="shared" si="80"/>
        <v>1176.0297534246574</v>
      </c>
      <c r="U865" s="15">
        <f t="shared" si="81"/>
        <v>35</v>
      </c>
      <c r="V865" s="3">
        <f t="shared" si="82"/>
        <v>1105.4304000000002</v>
      </c>
      <c r="W865" s="3">
        <f t="shared" si="83"/>
        <v>864</v>
      </c>
    </row>
    <row r="866" spans="1:23" x14ac:dyDescent="0.2">
      <c r="A866" t="s">
        <v>438</v>
      </c>
      <c r="B866" t="s">
        <v>439</v>
      </c>
      <c r="C866" t="s">
        <v>41</v>
      </c>
      <c r="D866" t="s">
        <v>48</v>
      </c>
      <c r="E866" t="s">
        <v>25</v>
      </c>
      <c r="F866" s="7">
        <v>2438415</v>
      </c>
      <c r="G866" t="s">
        <v>1576</v>
      </c>
      <c r="H866" s="5">
        <v>16083</v>
      </c>
      <c r="I866" s="12">
        <v>45766</v>
      </c>
      <c r="J866" s="15">
        <v>45</v>
      </c>
      <c r="K866" s="15">
        <v>2</v>
      </c>
      <c r="L866" s="9">
        <v>0.13650000000000001</v>
      </c>
      <c r="M866" s="9">
        <v>5.0799999999999998E-2</v>
      </c>
      <c r="N866" s="15">
        <v>6</v>
      </c>
      <c r="O866" t="s">
        <v>27</v>
      </c>
      <c r="P866" t="s">
        <v>28</v>
      </c>
      <c r="Q866" s="24">
        <v>0.8</v>
      </c>
      <c r="R866" s="5">
        <f t="shared" si="78"/>
        <v>270.65706164383562</v>
      </c>
      <c r="S866" s="5">
        <f t="shared" si="79"/>
        <v>13.430406575342465</v>
      </c>
      <c r="T866" s="5">
        <f t="shared" si="80"/>
        <v>257.22665506849313</v>
      </c>
      <c r="U866" s="15">
        <f t="shared" si="81"/>
        <v>39</v>
      </c>
      <c r="V866" s="3">
        <f t="shared" si="82"/>
        <v>1102.6504800000002</v>
      </c>
      <c r="W866" s="3">
        <f t="shared" si="83"/>
        <v>865</v>
      </c>
    </row>
    <row r="867" spans="1:23" x14ac:dyDescent="0.2">
      <c r="A867" t="s">
        <v>97</v>
      </c>
      <c r="B867" t="s">
        <v>98</v>
      </c>
      <c r="C867" t="s">
        <v>41</v>
      </c>
      <c r="D867" t="s">
        <v>32</v>
      </c>
      <c r="E867" t="s">
        <v>56</v>
      </c>
      <c r="F867" s="7">
        <v>19754920</v>
      </c>
      <c r="G867" t="s">
        <v>365</v>
      </c>
      <c r="H867" s="5">
        <v>61958</v>
      </c>
      <c r="I867" s="12">
        <v>45900</v>
      </c>
      <c r="J867" s="15">
        <v>60</v>
      </c>
      <c r="K867" s="15">
        <v>4</v>
      </c>
      <c r="L867" s="9">
        <v>8.1100000000000005E-2</v>
      </c>
      <c r="M867" s="9">
        <v>5.8900000000000001E-2</v>
      </c>
      <c r="N867" s="15">
        <v>8</v>
      </c>
      <c r="O867" t="s">
        <v>28</v>
      </c>
      <c r="P867" t="s">
        <v>28</v>
      </c>
      <c r="Q867" s="24">
        <v>0.8</v>
      </c>
      <c r="R867" s="5">
        <f t="shared" si="78"/>
        <v>825.993501369863</v>
      </c>
      <c r="S867" s="5">
        <f t="shared" si="79"/>
        <v>79.98523178082192</v>
      </c>
      <c r="T867" s="5">
        <f t="shared" si="80"/>
        <v>746.00826958904111</v>
      </c>
      <c r="U867" s="15">
        <f t="shared" si="81"/>
        <v>52</v>
      </c>
      <c r="V867" s="3">
        <f t="shared" si="82"/>
        <v>1100.3740800000003</v>
      </c>
      <c r="W867" s="3">
        <f t="shared" si="83"/>
        <v>866</v>
      </c>
    </row>
    <row r="868" spans="1:23" x14ac:dyDescent="0.2">
      <c r="A868" t="s">
        <v>133</v>
      </c>
      <c r="B868" t="s">
        <v>134</v>
      </c>
      <c r="C868" t="s">
        <v>36</v>
      </c>
      <c r="D868" t="s">
        <v>24</v>
      </c>
      <c r="E868" t="s">
        <v>25</v>
      </c>
      <c r="F868" s="7">
        <v>6056843</v>
      </c>
      <c r="G868" t="s">
        <v>1553</v>
      </c>
      <c r="H868" s="5">
        <v>90959</v>
      </c>
      <c r="I868" s="12">
        <v>45994</v>
      </c>
      <c r="J868" s="15">
        <v>60</v>
      </c>
      <c r="K868" s="15">
        <v>3</v>
      </c>
      <c r="L868" s="9">
        <v>0.12520000000000001</v>
      </c>
      <c r="M868" s="9">
        <v>6.5000000000000002E-2</v>
      </c>
      <c r="N868" s="15">
        <v>6</v>
      </c>
      <c r="O868" t="s">
        <v>27</v>
      </c>
      <c r="P868" t="s">
        <v>28</v>
      </c>
      <c r="Q868" s="24">
        <v>0.2</v>
      </c>
      <c r="R868" s="5">
        <f t="shared" si="78"/>
        <v>1872.0109808219179</v>
      </c>
      <c r="S868" s="5">
        <f t="shared" si="79"/>
        <v>97.189068493150671</v>
      </c>
      <c r="T868" s="5">
        <f t="shared" si="80"/>
        <v>1774.8219123287672</v>
      </c>
      <c r="U868" s="15">
        <f t="shared" si="81"/>
        <v>54</v>
      </c>
      <c r="V868" s="3">
        <f t="shared" si="82"/>
        <v>1095.1463600000002</v>
      </c>
      <c r="W868" s="3">
        <f t="shared" si="83"/>
        <v>867</v>
      </c>
    </row>
    <row r="869" spans="1:23" x14ac:dyDescent="0.2">
      <c r="A869" t="s">
        <v>829</v>
      </c>
      <c r="B869" t="s">
        <v>194</v>
      </c>
      <c r="C869" t="s">
        <v>23</v>
      </c>
      <c r="D869" t="s">
        <v>24</v>
      </c>
      <c r="E869" t="s">
        <v>25</v>
      </c>
      <c r="F869" s="7">
        <v>4842575</v>
      </c>
      <c r="G869" t="s">
        <v>1776</v>
      </c>
      <c r="H869" s="5">
        <v>37032</v>
      </c>
      <c r="I869" s="12">
        <v>45666</v>
      </c>
      <c r="J869" s="15">
        <v>45</v>
      </c>
      <c r="K869" s="15">
        <v>2</v>
      </c>
      <c r="L869" s="9">
        <v>0.10639999999999999</v>
      </c>
      <c r="M869" s="9">
        <v>6.0999999999999999E-2</v>
      </c>
      <c r="N869" s="15">
        <v>7</v>
      </c>
      <c r="O869" t="s">
        <v>27</v>
      </c>
      <c r="P869" t="s">
        <v>28</v>
      </c>
      <c r="Q869" s="24">
        <v>0.65</v>
      </c>
      <c r="R869" s="5">
        <f t="shared" si="78"/>
        <v>485.77867397260269</v>
      </c>
      <c r="S869" s="5">
        <f t="shared" si="79"/>
        <v>43.32236712328767</v>
      </c>
      <c r="T869" s="5">
        <f t="shared" si="80"/>
        <v>442.45630684931501</v>
      </c>
      <c r="U869" s="15">
        <f t="shared" si="81"/>
        <v>38</v>
      </c>
      <c r="V869" s="3">
        <f t="shared" si="82"/>
        <v>1092.81432</v>
      </c>
      <c r="W869" s="3">
        <f t="shared" si="83"/>
        <v>868</v>
      </c>
    </row>
    <row r="870" spans="1:23" x14ac:dyDescent="0.2">
      <c r="A870" t="s">
        <v>289</v>
      </c>
      <c r="B870" t="s">
        <v>204</v>
      </c>
      <c r="C870" t="s">
        <v>31</v>
      </c>
      <c r="D870" t="s">
        <v>32</v>
      </c>
      <c r="E870" t="s">
        <v>49</v>
      </c>
      <c r="F870" s="7">
        <v>782629</v>
      </c>
      <c r="G870" t="s">
        <v>1089</v>
      </c>
      <c r="H870" s="5">
        <v>67452</v>
      </c>
      <c r="I870" s="12">
        <v>45678</v>
      </c>
      <c r="J870" s="15">
        <v>30</v>
      </c>
      <c r="K870" s="15">
        <v>5</v>
      </c>
      <c r="L870" s="9">
        <v>0.14219999999999999</v>
      </c>
      <c r="M870" s="9">
        <v>6.1199999999999997E-2</v>
      </c>
      <c r="N870" s="15">
        <v>10</v>
      </c>
      <c r="O870" t="s">
        <v>28</v>
      </c>
      <c r="P870" t="s">
        <v>28</v>
      </c>
      <c r="Q870" s="24">
        <v>0.2</v>
      </c>
      <c r="R870" s="5">
        <f t="shared" si="78"/>
        <v>788.35679999999991</v>
      </c>
      <c r="S870" s="5">
        <f t="shared" si="79"/>
        <v>113.09759999999999</v>
      </c>
      <c r="T870" s="5">
        <f t="shared" si="80"/>
        <v>675.25919999999996</v>
      </c>
      <c r="U870" s="15">
        <f t="shared" si="81"/>
        <v>20</v>
      </c>
      <c r="V870" s="3">
        <f t="shared" si="82"/>
        <v>1092.7223999999999</v>
      </c>
      <c r="W870" s="3">
        <f t="shared" si="83"/>
        <v>869</v>
      </c>
    </row>
    <row r="871" spans="1:23" x14ac:dyDescent="0.2">
      <c r="A871" t="s">
        <v>29</v>
      </c>
      <c r="B871" t="s">
        <v>30</v>
      </c>
      <c r="C871" t="s">
        <v>31</v>
      </c>
      <c r="D871" t="s">
        <v>32</v>
      </c>
      <c r="E871" t="s">
        <v>25</v>
      </c>
      <c r="F871" s="7">
        <v>4331160</v>
      </c>
      <c r="G871" t="s">
        <v>1228</v>
      </c>
      <c r="H871" s="5">
        <v>68633</v>
      </c>
      <c r="I871" s="12">
        <v>45780</v>
      </c>
      <c r="J871" s="15">
        <v>60</v>
      </c>
      <c r="K871" s="15">
        <v>10</v>
      </c>
      <c r="L871" s="9">
        <v>0.12809999999999999</v>
      </c>
      <c r="M871" s="9">
        <v>4.87E-2</v>
      </c>
      <c r="N871" s="15">
        <v>10</v>
      </c>
      <c r="O871" t="s">
        <v>28</v>
      </c>
      <c r="P871" t="s">
        <v>28</v>
      </c>
      <c r="Q871" s="24">
        <v>0.2</v>
      </c>
      <c r="R871" s="5">
        <f t="shared" si="78"/>
        <v>1445.2417479452054</v>
      </c>
      <c r="S871" s="5">
        <f t="shared" si="79"/>
        <v>91.573345205479441</v>
      </c>
      <c r="T871" s="5">
        <f t="shared" si="80"/>
        <v>1353.6684027397259</v>
      </c>
      <c r="U871" s="15">
        <f t="shared" si="81"/>
        <v>50</v>
      </c>
      <c r="V871" s="3">
        <f t="shared" si="82"/>
        <v>1089.8920400000002</v>
      </c>
      <c r="W871" s="3">
        <f t="shared" si="83"/>
        <v>870</v>
      </c>
    </row>
    <row r="872" spans="1:23" x14ac:dyDescent="0.2">
      <c r="A872" t="s">
        <v>197</v>
      </c>
      <c r="B872" t="s">
        <v>198</v>
      </c>
      <c r="C872" t="s">
        <v>23</v>
      </c>
      <c r="D872" t="s">
        <v>48</v>
      </c>
      <c r="E872" t="s">
        <v>56</v>
      </c>
      <c r="F872" s="7">
        <v>13513506</v>
      </c>
      <c r="G872" t="s">
        <v>1298</v>
      </c>
      <c r="H872" s="5">
        <v>100853</v>
      </c>
      <c r="I872" s="12">
        <v>46014</v>
      </c>
      <c r="J872" s="15">
        <v>60</v>
      </c>
      <c r="K872" s="15">
        <v>4</v>
      </c>
      <c r="L872" s="9">
        <v>8.1799999999999998E-2</v>
      </c>
      <c r="M872" s="9">
        <v>6.0199999999999997E-2</v>
      </c>
      <c r="N872" s="15">
        <v>8</v>
      </c>
      <c r="O872" t="s">
        <v>28</v>
      </c>
      <c r="P872" t="s">
        <v>28</v>
      </c>
      <c r="Q872" s="24">
        <v>0.5</v>
      </c>
      <c r="R872" s="5">
        <f t="shared" si="78"/>
        <v>1356.1274630136986</v>
      </c>
      <c r="S872" s="5">
        <f t="shared" si="79"/>
        <v>133.07069808219177</v>
      </c>
      <c r="T872" s="5">
        <f t="shared" si="80"/>
        <v>1223.0567649315069</v>
      </c>
      <c r="U872" s="15">
        <f t="shared" si="81"/>
        <v>52</v>
      </c>
      <c r="V872" s="3">
        <f t="shared" si="82"/>
        <v>1089.2124000000001</v>
      </c>
      <c r="W872" s="3">
        <f t="shared" si="83"/>
        <v>871</v>
      </c>
    </row>
    <row r="873" spans="1:23" x14ac:dyDescent="0.2">
      <c r="A873" t="s">
        <v>407</v>
      </c>
      <c r="B873" t="s">
        <v>218</v>
      </c>
      <c r="C873" t="s">
        <v>41</v>
      </c>
      <c r="D873" t="s">
        <v>32</v>
      </c>
      <c r="E873" t="s">
        <v>25</v>
      </c>
      <c r="F873" s="7">
        <v>1514188</v>
      </c>
      <c r="G873" t="s">
        <v>979</v>
      </c>
      <c r="H873" s="5">
        <v>102327</v>
      </c>
      <c r="I873" s="12">
        <v>45863</v>
      </c>
      <c r="J873" s="15">
        <v>45</v>
      </c>
      <c r="K873" s="15">
        <v>5</v>
      </c>
      <c r="L873" s="9">
        <v>0.11600000000000001</v>
      </c>
      <c r="M873" s="9">
        <v>6.3E-2</v>
      </c>
      <c r="N873" s="15">
        <v>6</v>
      </c>
      <c r="O873" t="s">
        <v>27</v>
      </c>
      <c r="P873" t="s">
        <v>28</v>
      </c>
      <c r="Q873" s="24">
        <v>0.2</v>
      </c>
      <c r="R873" s="5">
        <f t="shared" si="78"/>
        <v>1463.4162739726028</v>
      </c>
      <c r="S873" s="5">
        <f t="shared" si="79"/>
        <v>105.97152328767122</v>
      </c>
      <c r="T873" s="5">
        <f t="shared" si="80"/>
        <v>1357.4447506849315</v>
      </c>
      <c r="U873" s="15">
        <f t="shared" si="81"/>
        <v>39</v>
      </c>
      <c r="V873" s="3">
        <f t="shared" si="82"/>
        <v>1084.6662000000001</v>
      </c>
      <c r="W873" s="3">
        <f t="shared" si="83"/>
        <v>872</v>
      </c>
    </row>
    <row r="874" spans="1:23" x14ac:dyDescent="0.2">
      <c r="A874" t="s">
        <v>197</v>
      </c>
      <c r="B874" t="s">
        <v>198</v>
      </c>
      <c r="C874" t="s">
        <v>23</v>
      </c>
      <c r="D874" t="s">
        <v>48</v>
      </c>
      <c r="E874" t="s">
        <v>56</v>
      </c>
      <c r="F874" s="7">
        <v>13513506</v>
      </c>
      <c r="G874" t="s">
        <v>1381</v>
      </c>
      <c r="H874" s="5">
        <v>41401</v>
      </c>
      <c r="I874" s="12">
        <v>45854</v>
      </c>
      <c r="J874" s="15">
        <v>30</v>
      </c>
      <c r="K874" s="15">
        <v>5</v>
      </c>
      <c r="L874" s="9">
        <v>8.1799999999999998E-2</v>
      </c>
      <c r="M874" s="9">
        <v>5.2699999999999997E-2</v>
      </c>
      <c r="N874" s="15">
        <v>7</v>
      </c>
      <c r="O874" t="s">
        <v>27</v>
      </c>
      <c r="P874" t="s">
        <v>28</v>
      </c>
      <c r="Q874" s="24">
        <v>0.9</v>
      </c>
      <c r="R874" s="5">
        <f t="shared" si="78"/>
        <v>278.35083287671233</v>
      </c>
      <c r="S874" s="5">
        <f t="shared" si="79"/>
        <v>41.843366849315068</v>
      </c>
      <c r="T874" s="5">
        <f t="shared" si="80"/>
        <v>236.50746602739727</v>
      </c>
      <c r="U874" s="15">
        <f t="shared" si="81"/>
        <v>23</v>
      </c>
      <c r="V874" s="3">
        <f t="shared" si="82"/>
        <v>1084.2921900000001</v>
      </c>
      <c r="W874" s="3">
        <f t="shared" si="83"/>
        <v>873</v>
      </c>
    </row>
    <row r="875" spans="1:23" x14ac:dyDescent="0.2">
      <c r="A875" t="s">
        <v>169</v>
      </c>
      <c r="B875" t="s">
        <v>170</v>
      </c>
      <c r="C875" t="s">
        <v>31</v>
      </c>
      <c r="D875" t="s">
        <v>37</v>
      </c>
      <c r="E875" t="s">
        <v>25</v>
      </c>
      <c r="F875" s="7">
        <v>4193232</v>
      </c>
      <c r="G875" t="s">
        <v>1289</v>
      </c>
      <c r="H875" s="5">
        <v>42587</v>
      </c>
      <c r="I875" s="12">
        <v>46039</v>
      </c>
      <c r="J875" s="15">
        <v>45</v>
      </c>
      <c r="K875" s="15">
        <v>2</v>
      </c>
      <c r="L875" s="9">
        <v>0.1235</v>
      </c>
      <c r="M875" s="9">
        <v>5.0799999999999998E-2</v>
      </c>
      <c r="N875" s="15">
        <v>5</v>
      </c>
      <c r="O875" t="s">
        <v>28</v>
      </c>
      <c r="P875" t="s">
        <v>28</v>
      </c>
      <c r="Q875" s="24">
        <v>0.35</v>
      </c>
      <c r="R875" s="5">
        <f t="shared" si="78"/>
        <v>648.43082876712322</v>
      </c>
      <c r="S875" s="5">
        <f t="shared" si="79"/>
        <v>29.635884931506844</v>
      </c>
      <c r="T875" s="5">
        <f t="shared" si="80"/>
        <v>618.79494383561632</v>
      </c>
      <c r="U875" s="15">
        <f t="shared" si="81"/>
        <v>40</v>
      </c>
      <c r="V875" s="3">
        <f t="shared" si="82"/>
        <v>1083.626215</v>
      </c>
      <c r="W875" s="3">
        <f t="shared" si="83"/>
        <v>874</v>
      </c>
    </row>
    <row r="876" spans="1:23" x14ac:dyDescent="0.2">
      <c r="A876" t="s">
        <v>382</v>
      </c>
      <c r="B876" t="s">
        <v>383</v>
      </c>
      <c r="C876" t="s">
        <v>41</v>
      </c>
      <c r="D876" t="s">
        <v>32</v>
      </c>
      <c r="E876" t="s">
        <v>25</v>
      </c>
      <c r="F876" s="7">
        <v>3772612</v>
      </c>
      <c r="G876" t="s">
        <v>797</v>
      </c>
      <c r="H876" s="5">
        <v>30141</v>
      </c>
      <c r="I876" s="12">
        <v>45949</v>
      </c>
      <c r="J876" s="15">
        <v>45</v>
      </c>
      <c r="K876" s="15">
        <v>7</v>
      </c>
      <c r="L876" s="9">
        <v>0.1053</v>
      </c>
      <c r="M876" s="9">
        <v>0.05</v>
      </c>
      <c r="N876" s="15">
        <v>7</v>
      </c>
      <c r="O876" t="s">
        <v>27</v>
      </c>
      <c r="P876" t="s">
        <v>28</v>
      </c>
      <c r="Q876" s="24">
        <v>0.65</v>
      </c>
      <c r="R876" s="5">
        <f t="shared" si="78"/>
        <v>391.29624246575344</v>
      </c>
      <c r="S876" s="5">
        <f t="shared" si="79"/>
        <v>28.902328767123294</v>
      </c>
      <c r="T876" s="5">
        <f t="shared" si="80"/>
        <v>362.39391369863017</v>
      </c>
      <c r="U876" s="15">
        <f t="shared" si="81"/>
        <v>38</v>
      </c>
      <c r="V876" s="3">
        <f t="shared" si="82"/>
        <v>1083.4182450000001</v>
      </c>
      <c r="W876" s="3">
        <f t="shared" si="83"/>
        <v>875</v>
      </c>
    </row>
    <row r="877" spans="1:23" x14ac:dyDescent="0.2">
      <c r="A877" t="s">
        <v>494</v>
      </c>
      <c r="B877" t="s">
        <v>495</v>
      </c>
      <c r="C877" t="s">
        <v>41</v>
      </c>
      <c r="D877" t="s">
        <v>48</v>
      </c>
      <c r="E877" t="s">
        <v>25</v>
      </c>
      <c r="F877" s="7">
        <v>6247349</v>
      </c>
      <c r="G877" t="s">
        <v>689</v>
      </c>
      <c r="H877" s="5">
        <v>32869</v>
      </c>
      <c r="I877" s="12">
        <v>45678</v>
      </c>
      <c r="J877" s="15">
        <v>45</v>
      </c>
      <c r="K877" s="15">
        <v>7</v>
      </c>
      <c r="L877" s="9">
        <v>0.1241</v>
      </c>
      <c r="M877" s="9">
        <v>5.8200000000000002E-2</v>
      </c>
      <c r="N877" s="15">
        <v>6</v>
      </c>
      <c r="O877" t="s">
        <v>27</v>
      </c>
      <c r="P877" t="s">
        <v>28</v>
      </c>
      <c r="Q877" s="24">
        <v>0.5</v>
      </c>
      <c r="R877" s="5">
        <f t="shared" si="78"/>
        <v>502.89569999999998</v>
      </c>
      <c r="S877" s="5">
        <f t="shared" si="79"/>
        <v>31.446177534246576</v>
      </c>
      <c r="T877" s="5">
        <f t="shared" si="80"/>
        <v>471.44952246575338</v>
      </c>
      <c r="U877" s="15">
        <f t="shared" si="81"/>
        <v>39</v>
      </c>
      <c r="V877" s="3">
        <f t="shared" si="82"/>
        <v>1083.0335500000001</v>
      </c>
      <c r="W877" s="3">
        <f t="shared" si="83"/>
        <v>876</v>
      </c>
    </row>
    <row r="878" spans="1:23" x14ac:dyDescent="0.2">
      <c r="A878" t="s">
        <v>448</v>
      </c>
      <c r="B878" t="s">
        <v>264</v>
      </c>
      <c r="C878" t="s">
        <v>77</v>
      </c>
      <c r="D878" t="s">
        <v>37</v>
      </c>
      <c r="E878" t="s">
        <v>25</v>
      </c>
      <c r="F878" s="7">
        <v>5041335</v>
      </c>
      <c r="G878" t="s">
        <v>1273</v>
      </c>
      <c r="H878" s="5">
        <v>94160</v>
      </c>
      <c r="I878" s="12">
        <v>45799</v>
      </c>
      <c r="J878" s="15">
        <v>90</v>
      </c>
      <c r="K878" s="15">
        <v>2</v>
      </c>
      <c r="L878" s="9">
        <v>0.1198</v>
      </c>
      <c r="M878" s="9">
        <v>6.2399999999999997E-2</v>
      </c>
      <c r="N878" s="15">
        <v>6</v>
      </c>
      <c r="O878" t="s">
        <v>28</v>
      </c>
      <c r="P878" t="s">
        <v>28</v>
      </c>
      <c r="Q878" s="24">
        <v>0.2</v>
      </c>
      <c r="R878" s="5">
        <f t="shared" si="78"/>
        <v>2781.4606027397258</v>
      </c>
      <c r="S878" s="5">
        <f t="shared" si="79"/>
        <v>96.584942465753414</v>
      </c>
      <c r="T878" s="5">
        <f t="shared" si="80"/>
        <v>2684.8756602739722</v>
      </c>
      <c r="U878" s="15">
        <f t="shared" si="81"/>
        <v>84</v>
      </c>
      <c r="V878" s="3">
        <f t="shared" si="82"/>
        <v>1080.9568000000002</v>
      </c>
      <c r="W878" s="3">
        <f t="shared" si="83"/>
        <v>877</v>
      </c>
    </row>
    <row r="879" spans="1:23" x14ac:dyDescent="0.2">
      <c r="A879" t="s">
        <v>186</v>
      </c>
      <c r="B879" t="s">
        <v>187</v>
      </c>
      <c r="C879" t="s">
        <v>41</v>
      </c>
      <c r="D879" t="s">
        <v>32</v>
      </c>
      <c r="E879" t="s">
        <v>25</v>
      </c>
      <c r="F879" s="7">
        <v>3649528</v>
      </c>
      <c r="G879" t="s">
        <v>1042</v>
      </c>
      <c r="H879" s="5">
        <v>84182</v>
      </c>
      <c r="I879" s="12">
        <v>45818</v>
      </c>
      <c r="J879" s="15">
        <v>45</v>
      </c>
      <c r="K879" s="15">
        <v>2</v>
      </c>
      <c r="L879" s="9">
        <v>0.1283</v>
      </c>
      <c r="M879" s="9">
        <v>6.4299999999999996E-2</v>
      </c>
      <c r="N879" s="15">
        <v>8</v>
      </c>
      <c r="O879" t="s">
        <v>27</v>
      </c>
      <c r="P879" t="s">
        <v>28</v>
      </c>
      <c r="Q879" s="24">
        <v>0.2</v>
      </c>
      <c r="R879" s="5">
        <f t="shared" si="78"/>
        <v>1331.5747315068493</v>
      </c>
      <c r="S879" s="5">
        <f t="shared" si="79"/>
        <v>118.63896109589039</v>
      </c>
      <c r="T879" s="5">
        <f t="shared" si="80"/>
        <v>1212.9357704109589</v>
      </c>
      <c r="U879" s="15">
        <f t="shared" si="81"/>
        <v>37</v>
      </c>
      <c r="V879" s="3">
        <f t="shared" si="82"/>
        <v>1077.5296000000001</v>
      </c>
      <c r="W879" s="3">
        <f t="shared" si="83"/>
        <v>878</v>
      </c>
    </row>
    <row r="880" spans="1:23" x14ac:dyDescent="0.2">
      <c r="A880" t="s">
        <v>530</v>
      </c>
      <c r="B880" t="s">
        <v>531</v>
      </c>
      <c r="C880" t="s">
        <v>36</v>
      </c>
      <c r="D880" t="s">
        <v>37</v>
      </c>
      <c r="E880" t="s">
        <v>49</v>
      </c>
      <c r="F880" s="7">
        <v>701545</v>
      </c>
      <c r="G880" t="s">
        <v>1690</v>
      </c>
      <c r="H880" s="5">
        <v>45795</v>
      </c>
      <c r="I880" s="12">
        <v>45720</v>
      </c>
      <c r="J880" s="15">
        <v>45</v>
      </c>
      <c r="K880" s="15">
        <v>7</v>
      </c>
      <c r="L880" s="9">
        <v>0.17699999999999999</v>
      </c>
      <c r="M880" s="9">
        <v>5.96E-2</v>
      </c>
      <c r="N880" s="15">
        <v>8</v>
      </c>
      <c r="O880" t="s">
        <v>27</v>
      </c>
      <c r="P880" t="s">
        <v>28</v>
      </c>
      <c r="Q880" s="24">
        <v>0.2</v>
      </c>
      <c r="R880" s="5">
        <f t="shared" si="78"/>
        <v>999.3347260273971</v>
      </c>
      <c r="S880" s="5">
        <f t="shared" si="79"/>
        <v>59.822071232876716</v>
      </c>
      <c r="T880" s="5">
        <f t="shared" si="80"/>
        <v>939.51265479452036</v>
      </c>
      <c r="U880" s="15">
        <f t="shared" si="81"/>
        <v>37</v>
      </c>
      <c r="V880" s="3">
        <f t="shared" si="82"/>
        <v>1075.2666000000002</v>
      </c>
      <c r="W880" s="3">
        <f t="shared" si="83"/>
        <v>879</v>
      </c>
    </row>
    <row r="881" spans="1:23" x14ac:dyDescent="0.2">
      <c r="A881" t="s">
        <v>602</v>
      </c>
      <c r="B881" t="s">
        <v>367</v>
      </c>
      <c r="C881" t="s">
        <v>41</v>
      </c>
      <c r="D881" t="s">
        <v>66</v>
      </c>
      <c r="E881" t="s">
        <v>56</v>
      </c>
      <c r="F881" s="7">
        <v>9703738</v>
      </c>
      <c r="G881" t="s">
        <v>1719</v>
      </c>
      <c r="H881" s="5">
        <v>44094</v>
      </c>
      <c r="I881" s="12">
        <v>45898</v>
      </c>
      <c r="J881" s="15">
        <v>60</v>
      </c>
      <c r="K881" s="15">
        <v>2</v>
      </c>
      <c r="L881" s="9">
        <v>7.5499999999999998E-2</v>
      </c>
      <c r="M881" s="9">
        <v>4.5100000000000001E-2</v>
      </c>
      <c r="N881" s="15">
        <v>5</v>
      </c>
      <c r="O881" t="s">
        <v>27</v>
      </c>
      <c r="P881" t="s">
        <v>28</v>
      </c>
      <c r="Q881" s="24">
        <v>0.8</v>
      </c>
      <c r="R881" s="5">
        <f t="shared" si="78"/>
        <v>547.24882191780819</v>
      </c>
      <c r="S881" s="5">
        <f t="shared" si="79"/>
        <v>27.241635616438355</v>
      </c>
      <c r="T881" s="5">
        <f t="shared" si="80"/>
        <v>520.00718630136987</v>
      </c>
      <c r="U881" s="15">
        <f t="shared" si="81"/>
        <v>55</v>
      </c>
      <c r="V881" s="3">
        <f t="shared" si="82"/>
        <v>1072.36608</v>
      </c>
      <c r="W881" s="3">
        <f t="shared" si="83"/>
        <v>880</v>
      </c>
    </row>
    <row r="882" spans="1:23" x14ac:dyDescent="0.2">
      <c r="A882" t="s">
        <v>351</v>
      </c>
      <c r="B882" t="s">
        <v>352</v>
      </c>
      <c r="C882" t="s">
        <v>36</v>
      </c>
      <c r="D882" t="s">
        <v>24</v>
      </c>
      <c r="E882" t="s">
        <v>49</v>
      </c>
      <c r="F882" s="7">
        <v>1439833</v>
      </c>
      <c r="G882" t="s">
        <v>733</v>
      </c>
      <c r="H882" s="5">
        <v>46787</v>
      </c>
      <c r="I882" s="12">
        <v>45698</v>
      </c>
      <c r="J882" s="15">
        <v>45</v>
      </c>
      <c r="K882" s="15">
        <v>3</v>
      </c>
      <c r="L882" s="9">
        <v>0.17630000000000001</v>
      </c>
      <c r="M882" s="9">
        <v>6.1699999999999998E-2</v>
      </c>
      <c r="N882" s="15">
        <v>10</v>
      </c>
      <c r="O882" t="s">
        <v>27</v>
      </c>
      <c r="P882" t="s">
        <v>28</v>
      </c>
      <c r="Q882" s="24">
        <v>0.2</v>
      </c>
      <c r="R882" s="5">
        <f t="shared" si="78"/>
        <v>1016.9442863013699</v>
      </c>
      <c r="S882" s="5">
        <f t="shared" si="79"/>
        <v>79.08925753424657</v>
      </c>
      <c r="T882" s="5">
        <f t="shared" si="80"/>
        <v>937.85502876712326</v>
      </c>
      <c r="U882" s="15">
        <f t="shared" si="81"/>
        <v>35</v>
      </c>
      <c r="V882" s="3">
        <f t="shared" si="82"/>
        <v>1072.3580400000001</v>
      </c>
      <c r="W882" s="3">
        <f t="shared" si="83"/>
        <v>881</v>
      </c>
    </row>
    <row r="883" spans="1:23" x14ac:dyDescent="0.2">
      <c r="A883" t="s">
        <v>29</v>
      </c>
      <c r="B883" t="s">
        <v>30</v>
      </c>
      <c r="C883" t="s">
        <v>31</v>
      </c>
      <c r="D883" t="s">
        <v>32</v>
      </c>
      <c r="E883" t="s">
        <v>25</v>
      </c>
      <c r="F883" s="7">
        <v>4331160</v>
      </c>
      <c r="G883" t="s">
        <v>1506</v>
      </c>
      <c r="H883" s="5">
        <v>44955</v>
      </c>
      <c r="I883" s="12">
        <v>45702</v>
      </c>
      <c r="J883" s="15">
        <v>45</v>
      </c>
      <c r="K883" s="15">
        <v>4</v>
      </c>
      <c r="L883" s="9">
        <v>0.12809999999999999</v>
      </c>
      <c r="M883" s="9">
        <v>6.0699999999999997E-2</v>
      </c>
      <c r="N883" s="15">
        <v>10</v>
      </c>
      <c r="O883" t="s">
        <v>27</v>
      </c>
      <c r="P883" t="s">
        <v>28</v>
      </c>
      <c r="Q883" s="24">
        <v>0.35</v>
      </c>
      <c r="R883" s="5">
        <f t="shared" si="78"/>
        <v>709.98108904109586</v>
      </c>
      <c r="S883" s="5">
        <f t="shared" si="79"/>
        <v>74.760780821917791</v>
      </c>
      <c r="T883" s="5">
        <f t="shared" si="80"/>
        <v>635.22030821917804</v>
      </c>
      <c r="U883" s="15">
        <f t="shared" si="81"/>
        <v>35</v>
      </c>
      <c r="V883" s="3">
        <f t="shared" si="82"/>
        <v>1060.4884499999996</v>
      </c>
      <c r="W883" s="3">
        <f t="shared" si="83"/>
        <v>882</v>
      </c>
    </row>
    <row r="884" spans="1:23" x14ac:dyDescent="0.2">
      <c r="A884" t="s">
        <v>130</v>
      </c>
      <c r="B884" t="s">
        <v>131</v>
      </c>
      <c r="C884" t="s">
        <v>36</v>
      </c>
      <c r="D884" t="s">
        <v>48</v>
      </c>
      <c r="E884" t="s">
        <v>56</v>
      </c>
      <c r="F884" s="7">
        <v>10372464</v>
      </c>
      <c r="G884" t="s">
        <v>1258</v>
      </c>
      <c r="H884" s="5">
        <v>51351</v>
      </c>
      <c r="I884" s="12">
        <v>45803</v>
      </c>
      <c r="J884" s="15">
        <v>60</v>
      </c>
      <c r="K884" s="15">
        <v>3</v>
      </c>
      <c r="L884" s="9">
        <v>8.77E-2</v>
      </c>
      <c r="M884" s="9">
        <v>5.6099999999999997E-2</v>
      </c>
      <c r="N884" s="15">
        <v>6</v>
      </c>
      <c r="O884" t="s">
        <v>27</v>
      </c>
      <c r="P884" t="s">
        <v>28</v>
      </c>
      <c r="Q884" s="24">
        <v>0.65</v>
      </c>
      <c r="R884" s="5">
        <f t="shared" si="78"/>
        <v>740.2985260273972</v>
      </c>
      <c r="S884" s="5">
        <f t="shared" si="79"/>
        <v>47.355470136986298</v>
      </c>
      <c r="T884" s="5">
        <f t="shared" si="80"/>
        <v>692.94305589041096</v>
      </c>
      <c r="U884" s="15">
        <f t="shared" si="81"/>
        <v>54</v>
      </c>
      <c r="V884" s="3">
        <f t="shared" si="82"/>
        <v>1054.7495400000003</v>
      </c>
      <c r="W884" s="3">
        <f t="shared" si="83"/>
        <v>883</v>
      </c>
    </row>
    <row r="885" spans="1:23" x14ac:dyDescent="0.2">
      <c r="A885" t="s">
        <v>75</v>
      </c>
      <c r="B885" t="s">
        <v>76</v>
      </c>
      <c r="C885" t="s">
        <v>77</v>
      </c>
      <c r="D885" t="s">
        <v>37</v>
      </c>
      <c r="E885" t="s">
        <v>49</v>
      </c>
      <c r="F885" s="7">
        <v>1309806</v>
      </c>
      <c r="G885" t="s">
        <v>1472</v>
      </c>
      <c r="H885" s="5">
        <v>53048</v>
      </c>
      <c r="I885" s="12">
        <v>45849</v>
      </c>
      <c r="J885" s="15">
        <v>60</v>
      </c>
      <c r="K885" s="15">
        <v>2</v>
      </c>
      <c r="L885" s="9">
        <v>0.15210000000000001</v>
      </c>
      <c r="M885" s="9">
        <v>5.2900000000000003E-2</v>
      </c>
      <c r="N885" s="15">
        <v>8</v>
      </c>
      <c r="O885" t="s">
        <v>27</v>
      </c>
      <c r="P885" t="s">
        <v>28</v>
      </c>
      <c r="Q885" s="24">
        <v>0.2</v>
      </c>
      <c r="R885" s="5">
        <f t="shared" si="78"/>
        <v>1326.3453369863014</v>
      </c>
      <c r="S885" s="5">
        <f t="shared" si="79"/>
        <v>61.506612602739729</v>
      </c>
      <c r="T885" s="5">
        <f t="shared" si="80"/>
        <v>1264.8387243835616</v>
      </c>
      <c r="U885" s="15">
        <f t="shared" si="81"/>
        <v>52</v>
      </c>
      <c r="V885" s="3">
        <f t="shared" si="82"/>
        <v>1052.4723200000001</v>
      </c>
      <c r="W885" s="3">
        <f t="shared" si="83"/>
        <v>884</v>
      </c>
    </row>
    <row r="886" spans="1:23" x14ac:dyDescent="0.2">
      <c r="A886" t="s">
        <v>21</v>
      </c>
      <c r="B886" t="s">
        <v>22</v>
      </c>
      <c r="C886" t="s">
        <v>23</v>
      </c>
      <c r="D886" t="s">
        <v>24</v>
      </c>
      <c r="E886" t="s">
        <v>25</v>
      </c>
      <c r="F886" s="7">
        <v>2280589</v>
      </c>
      <c r="G886" t="s">
        <v>1018</v>
      </c>
      <c r="H886" s="5">
        <v>100880</v>
      </c>
      <c r="I886" s="12">
        <v>46047</v>
      </c>
      <c r="J886" s="15">
        <v>30</v>
      </c>
      <c r="K886" s="15">
        <v>3</v>
      </c>
      <c r="L886" s="9">
        <v>0.1047</v>
      </c>
      <c r="M886" s="9">
        <v>5.2699999999999997E-2</v>
      </c>
      <c r="N886" s="15">
        <v>7</v>
      </c>
      <c r="O886" t="s">
        <v>28</v>
      </c>
      <c r="P886" t="s">
        <v>28</v>
      </c>
      <c r="Q886" s="24">
        <v>0.2</v>
      </c>
      <c r="R886" s="5">
        <f t="shared" si="78"/>
        <v>868.12076712328769</v>
      </c>
      <c r="S886" s="5">
        <f t="shared" si="79"/>
        <v>101.95789589041095</v>
      </c>
      <c r="T886" s="5">
        <f t="shared" si="80"/>
        <v>766.1628712328768</v>
      </c>
      <c r="U886" s="15">
        <f t="shared" si="81"/>
        <v>23</v>
      </c>
      <c r="V886" s="3">
        <f t="shared" si="82"/>
        <v>1049.152</v>
      </c>
      <c r="W886" s="3">
        <f t="shared" si="83"/>
        <v>885</v>
      </c>
    </row>
    <row r="887" spans="1:23" x14ac:dyDescent="0.2">
      <c r="A887" t="s">
        <v>183</v>
      </c>
      <c r="B887" t="s">
        <v>184</v>
      </c>
      <c r="C887" t="s">
        <v>77</v>
      </c>
      <c r="D887" t="s">
        <v>32</v>
      </c>
      <c r="E887" t="s">
        <v>25</v>
      </c>
      <c r="F887" s="7">
        <v>6014522</v>
      </c>
      <c r="G887" t="s">
        <v>255</v>
      </c>
      <c r="H887" s="5">
        <v>28074</v>
      </c>
      <c r="I887" s="12">
        <v>45999</v>
      </c>
      <c r="J887" s="15">
        <v>45</v>
      </c>
      <c r="K887" s="15">
        <v>2</v>
      </c>
      <c r="L887" s="9">
        <v>0.12870000000000001</v>
      </c>
      <c r="M887" s="9">
        <v>5.3999999999999999E-2</v>
      </c>
      <c r="N887" s="15">
        <v>8</v>
      </c>
      <c r="O887" t="s">
        <v>27</v>
      </c>
      <c r="P887" t="s">
        <v>28</v>
      </c>
      <c r="Q887" s="24">
        <v>0.5</v>
      </c>
      <c r="R887" s="5">
        <f t="shared" si="78"/>
        <v>445.45361917808219</v>
      </c>
      <c r="S887" s="5">
        <f t="shared" si="79"/>
        <v>33.227309589041099</v>
      </c>
      <c r="T887" s="5">
        <f t="shared" si="80"/>
        <v>412.22630958904108</v>
      </c>
      <c r="U887" s="15">
        <f t="shared" si="81"/>
        <v>37</v>
      </c>
      <c r="V887" s="3">
        <f t="shared" si="82"/>
        <v>1048.5639000000003</v>
      </c>
      <c r="W887" s="3">
        <f t="shared" si="83"/>
        <v>886</v>
      </c>
    </row>
    <row r="888" spans="1:23" x14ac:dyDescent="0.2">
      <c r="A888" t="s">
        <v>627</v>
      </c>
      <c r="B888" t="s">
        <v>383</v>
      </c>
      <c r="C888" t="s">
        <v>77</v>
      </c>
      <c r="D888" t="s">
        <v>37</v>
      </c>
      <c r="E888" t="s">
        <v>56</v>
      </c>
      <c r="F888" s="7">
        <v>17195029</v>
      </c>
      <c r="G888" t="s">
        <v>693</v>
      </c>
      <c r="H888" s="5">
        <v>89028</v>
      </c>
      <c r="I888" s="12">
        <v>45838</v>
      </c>
      <c r="J888" s="15">
        <v>60</v>
      </c>
      <c r="K888" s="15">
        <v>2</v>
      </c>
      <c r="L888" s="9">
        <v>7.3400000000000007E-2</v>
      </c>
      <c r="M888" s="9">
        <v>5.5300000000000002E-2</v>
      </c>
      <c r="N888" s="15">
        <v>8</v>
      </c>
      <c r="O888" t="s">
        <v>27</v>
      </c>
      <c r="P888" t="s">
        <v>28</v>
      </c>
      <c r="Q888" s="24">
        <v>0.65</v>
      </c>
      <c r="R888" s="5">
        <f t="shared" si="78"/>
        <v>1074.189895890411</v>
      </c>
      <c r="S888" s="5">
        <f t="shared" si="79"/>
        <v>107.90681424657535</v>
      </c>
      <c r="T888" s="5">
        <f t="shared" si="80"/>
        <v>966.28308164383566</v>
      </c>
      <c r="U888" s="15">
        <f t="shared" si="81"/>
        <v>52</v>
      </c>
      <c r="V888" s="3">
        <f t="shared" si="82"/>
        <v>1047.4144200000003</v>
      </c>
      <c r="W888" s="3">
        <f t="shared" si="83"/>
        <v>887</v>
      </c>
    </row>
    <row r="889" spans="1:23" x14ac:dyDescent="0.2">
      <c r="A889" t="s">
        <v>427</v>
      </c>
      <c r="B889" t="s">
        <v>352</v>
      </c>
      <c r="C889" t="s">
        <v>77</v>
      </c>
      <c r="D889" t="s">
        <v>48</v>
      </c>
      <c r="E889" t="s">
        <v>25</v>
      </c>
      <c r="F889" s="7">
        <v>3836607</v>
      </c>
      <c r="G889" t="s">
        <v>882</v>
      </c>
      <c r="H889" s="5">
        <v>20658</v>
      </c>
      <c r="I889" s="12">
        <v>45778</v>
      </c>
      <c r="J889" s="15">
        <v>60</v>
      </c>
      <c r="K889" s="15">
        <v>10</v>
      </c>
      <c r="L889" s="9">
        <v>0.11310000000000001</v>
      </c>
      <c r="M889" s="9">
        <v>5.6800000000000003E-2</v>
      </c>
      <c r="N889" s="15">
        <v>8</v>
      </c>
      <c r="O889" t="s">
        <v>27</v>
      </c>
      <c r="P889" t="s">
        <v>28</v>
      </c>
      <c r="Q889" s="24">
        <v>0.9</v>
      </c>
      <c r="R889" s="5">
        <f t="shared" si="78"/>
        <v>384.0690082191781</v>
      </c>
      <c r="S889" s="5">
        <f t="shared" si="79"/>
        <v>25.717795068493153</v>
      </c>
      <c r="T889" s="5">
        <f t="shared" si="80"/>
        <v>358.35121315068494</v>
      </c>
      <c r="U889" s="15">
        <f t="shared" si="81"/>
        <v>52</v>
      </c>
      <c r="V889" s="3">
        <f t="shared" si="82"/>
        <v>1046.7408600000001</v>
      </c>
      <c r="W889" s="3">
        <f t="shared" si="83"/>
        <v>888</v>
      </c>
    </row>
    <row r="890" spans="1:23" x14ac:dyDescent="0.2">
      <c r="A890" t="s">
        <v>64</v>
      </c>
      <c r="B890" t="s">
        <v>65</v>
      </c>
      <c r="C890" t="s">
        <v>36</v>
      </c>
      <c r="D890" t="s">
        <v>66</v>
      </c>
      <c r="E890" t="s">
        <v>56</v>
      </c>
      <c r="F890" s="7">
        <v>19529913</v>
      </c>
      <c r="G890" t="s">
        <v>1614</v>
      </c>
      <c r="H890" s="5">
        <v>65714</v>
      </c>
      <c r="I890" s="12">
        <v>45724</v>
      </c>
      <c r="J890" s="15">
        <v>45</v>
      </c>
      <c r="K890" s="15">
        <v>3</v>
      </c>
      <c r="L890" s="9">
        <v>8.7499999999999994E-2</v>
      </c>
      <c r="M890" s="9">
        <v>5.57E-2</v>
      </c>
      <c r="N890" s="15">
        <v>5</v>
      </c>
      <c r="O890" t="s">
        <v>27</v>
      </c>
      <c r="P890" t="s">
        <v>28</v>
      </c>
      <c r="Q890" s="24">
        <v>0.5</v>
      </c>
      <c r="R890" s="5">
        <f t="shared" si="78"/>
        <v>708.90102739726012</v>
      </c>
      <c r="S890" s="5">
        <f t="shared" si="79"/>
        <v>50.140682191780819</v>
      </c>
      <c r="T890" s="5">
        <f t="shared" si="80"/>
        <v>658.76034520547933</v>
      </c>
      <c r="U890" s="15">
        <f t="shared" si="81"/>
        <v>40</v>
      </c>
      <c r="V890" s="3">
        <f t="shared" si="82"/>
        <v>1044.8525999999999</v>
      </c>
      <c r="W890" s="3">
        <f t="shared" si="83"/>
        <v>889</v>
      </c>
    </row>
    <row r="891" spans="1:23" x14ac:dyDescent="0.2">
      <c r="A891" t="s">
        <v>228</v>
      </c>
      <c r="B891" t="s">
        <v>62</v>
      </c>
      <c r="C891" t="s">
        <v>23</v>
      </c>
      <c r="D891" t="s">
        <v>66</v>
      </c>
      <c r="E891" t="s">
        <v>49</v>
      </c>
      <c r="F891" s="7">
        <v>1218251</v>
      </c>
      <c r="G891" t="s">
        <v>1180</v>
      </c>
      <c r="H891" s="5">
        <v>87882</v>
      </c>
      <c r="I891" s="12">
        <v>46058</v>
      </c>
      <c r="J891" s="15">
        <v>45</v>
      </c>
      <c r="K891" s="15">
        <v>2</v>
      </c>
      <c r="L891" s="9">
        <v>0.1227</v>
      </c>
      <c r="M891" s="9">
        <v>6.3299999999999995E-2</v>
      </c>
      <c r="N891" s="15">
        <v>8</v>
      </c>
      <c r="O891" t="s">
        <v>27</v>
      </c>
      <c r="P891" t="s">
        <v>28</v>
      </c>
      <c r="Q891" s="24">
        <v>0.2</v>
      </c>
      <c r="R891" s="5">
        <f t="shared" si="78"/>
        <v>1329.4259260273973</v>
      </c>
      <c r="S891" s="5">
        <f t="shared" si="79"/>
        <v>121.92724602739726</v>
      </c>
      <c r="T891" s="5">
        <f t="shared" si="80"/>
        <v>1207.4986799999999</v>
      </c>
      <c r="U891" s="15">
        <f t="shared" si="81"/>
        <v>37</v>
      </c>
      <c r="V891" s="3">
        <f t="shared" si="82"/>
        <v>1044.0381600000001</v>
      </c>
      <c r="W891" s="3">
        <f t="shared" si="83"/>
        <v>890</v>
      </c>
    </row>
    <row r="892" spans="1:23" x14ac:dyDescent="0.2">
      <c r="A892" t="s">
        <v>68</v>
      </c>
      <c r="B892" t="s">
        <v>69</v>
      </c>
      <c r="C892" t="s">
        <v>36</v>
      </c>
      <c r="D892" t="s">
        <v>37</v>
      </c>
      <c r="E892" t="s">
        <v>25</v>
      </c>
      <c r="F892" s="7">
        <v>3469396</v>
      </c>
      <c r="G892" t="s">
        <v>606</v>
      </c>
      <c r="H892" s="5">
        <v>68233</v>
      </c>
      <c r="I892" s="12">
        <v>45822</v>
      </c>
      <c r="J892" s="15">
        <v>90</v>
      </c>
      <c r="K892" s="15">
        <v>5</v>
      </c>
      <c r="L892" s="9">
        <v>0.1216</v>
      </c>
      <c r="M892" s="9">
        <v>4.5100000000000001E-2</v>
      </c>
      <c r="N892" s="15">
        <v>10</v>
      </c>
      <c r="O892" t="s">
        <v>28</v>
      </c>
      <c r="P892" t="s">
        <v>28</v>
      </c>
      <c r="Q892" s="24">
        <v>0.2</v>
      </c>
      <c r="R892" s="5">
        <f t="shared" si="78"/>
        <v>2045.8683616438354</v>
      </c>
      <c r="S892" s="5">
        <f t="shared" si="79"/>
        <v>84.309816438356165</v>
      </c>
      <c r="T892" s="5">
        <f t="shared" si="80"/>
        <v>1961.5585452054793</v>
      </c>
      <c r="U892" s="15">
        <f t="shared" si="81"/>
        <v>80</v>
      </c>
      <c r="V892" s="3">
        <f t="shared" si="82"/>
        <v>1043.9649000000002</v>
      </c>
      <c r="W892" s="3">
        <f t="shared" si="83"/>
        <v>891</v>
      </c>
    </row>
    <row r="893" spans="1:23" x14ac:dyDescent="0.2">
      <c r="A893" t="s">
        <v>174</v>
      </c>
      <c r="B893" t="s">
        <v>175</v>
      </c>
      <c r="C893" t="s">
        <v>41</v>
      </c>
      <c r="D893" t="s">
        <v>37</v>
      </c>
      <c r="E893" t="s">
        <v>49</v>
      </c>
      <c r="F893" s="7">
        <v>1267987</v>
      </c>
      <c r="G893" t="s">
        <v>1205</v>
      </c>
      <c r="H893" s="5">
        <v>67708</v>
      </c>
      <c r="I893" s="12">
        <v>45809</v>
      </c>
      <c r="J893" s="15">
        <v>90</v>
      </c>
      <c r="K893" s="15">
        <v>7</v>
      </c>
      <c r="L893" s="9">
        <v>0.125</v>
      </c>
      <c r="M893" s="9">
        <v>4.8099999999999997E-2</v>
      </c>
      <c r="N893" s="15">
        <v>7</v>
      </c>
      <c r="O893" t="s">
        <v>27</v>
      </c>
      <c r="P893" t="s">
        <v>28</v>
      </c>
      <c r="Q893" s="24">
        <v>0.2</v>
      </c>
      <c r="R893" s="5">
        <f t="shared" si="78"/>
        <v>2086.8904109589039</v>
      </c>
      <c r="S893" s="5">
        <f t="shared" si="79"/>
        <v>62.45831123287671</v>
      </c>
      <c r="T893" s="5">
        <f t="shared" si="80"/>
        <v>2024.4320997260272</v>
      </c>
      <c r="U893" s="15">
        <f t="shared" si="81"/>
        <v>83</v>
      </c>
      <c r="V893" s="3">
        <f t="shared" si="82"/>
        <v>1041.3490400000001</v>
      </c>
      <c r="W893" s="3">
        <f t="shared" si="83"/>
        <v>892</v>
      </c>
    </row>
    <row r="894" spans="1:23" x14ac:dyDescent="0.2">
      <c r="A894" t="s">
        <v>220</v>
      </c>
      <c r="B894" t="s">
        <v>221</v>
      </c>
      <c r="C894" t="s">
        <v>36</v>
      </c>
      <c r="D894" t="s">
        <v>37</v>
      </c>
      <c r="E894" t="s">
        <v>25</v>
      </c>
      <c r="F894" s="7">
        <v>6280246</v>
      </c>
      <c r="G894" t="s">
        <v>1139</v>
      </c>
      <c r="H894" s="5">
        <v>27842</v>
      </c>
      <c r="I894" s="12">
        <v>45813</v>
      </c>
      <c r="J894" s="15">
        <v>60</v>
      </c>
      <c r="K894" s="15">
        <v>4</v>
      </c>
      <c r="L894" s="9">
        <v>0.1205</v>
      </c>
      <c r="M894" s="9">
        <v>4.58E-2</v>
      </c>
      <c r="N894" s="15">
        <v>6</v>
      </c>
      <c r="O894" t="s">
        <v>28</v>
      </c>
      <c r="P894" t="s">
        <v>28</v>
      </c>
      <c r="Q894" s="24">
        <v>0.5</v>
      </c>
      <c r="R894" s="5">
        <f t="shared" si="78"/>
        <v>551.5004383561643</v>
      </c>
      <c r="S894" s="5">
        <f t="shared" si="79"/>
        <v>20.961593424657533</v>
      </c>
      <c r="T894" s="5">
        <f t="shared" si="80"/>
        <v>530.53884493150679</v>
      </c>
      <c r="U894" s="15">
        <f t="shared" si="81"/>
        <v>54</v>
      </c>
      <c r="V894" s="3">
        <f t="shared" si="82"/>
        <v>1039.8986999999997</v>
      </c>
      <c r="W894" s="3">
        <f t="shared" si="83"/>
        <v>893</v>
      </c>
    </row>
    <row r="895" spans="1:23" x14ac:dyDescent="0.2">
      <c r="A895" t="s">
        <v>377</v>
      </c>
      <c r="B895" t="s">
        <v>378</v>
      </c>
      <c r="C895" t="s">
        <v>31</v>
      </c>
      <c r="D895" t="s">
        <v>48</v>
      </c>
      <c r="E895" t="s">
        <v>25</v>
      </c>
      <c r="F895" s="7">
        <v>3293043</v>
      </c>
      <c r="G895" t="s">
        <v>1066</v>
      </c>
      <c r="H895" s="5">
        <v>40254</v>
      </c>
      <c r="I895" s="12">
        <v>45672</v>
      </c>
      <c r="J895" s="15">
        <v>90</v>
      </c>
      <c r="K895" s="15">
        <v>4</v>
      </c>
      <c r="L895" s="9">
        <v>0.13320000000000001</v>
      </c>
      <c r="M895" s="9">
        <v>5.9499999999999997E-2</v>
      </c>
      <c r="N895" s="15">
        <v>6</v>
      </c>
      <c r="O895" t="s">
        <v>27</v>
      </c>
      <c r="P895" t="s">
        <v>28</v>
      </c>
      <c r="Q895" s="24">
        <v>0.35</v>
      </c>
      <c r="R895" s="5">
        <f t="shared" si="78"/>
        <v>1322.0957589041095</v>
      </c>
      <c r="S895" s="5">
        <f t="shared" si="79"/>
        <v>39.371720547945202</v>
      </c>
      <c r="T895" s="5">
        <f t="shared" si="80"/>
        <v>1282.7240383561643</v>
      </c>
      <c r="U895" s="15">
        <f t="shared" si="81"/>
        <v>84</v>
      </c>
      <c r="V895" s="3">
        <f t="shared" si="82"/>
        <v>1038.3519300000003</v>
      </c>
      <c r="W895" s="3">
        <f t="shared" si="83"/>
        <v>894</v>
      </c>
    </row>
    <row r="896" spans="1:23" x14ac:dyDescent="0.2">
      <c r="A896" t="s">
        <v>130</v>
      </c>
      <c r="B896" t="s">
        <v>131</v>
      </c>
      <c r="C896" t="s">
        <v>36</v>
      </c>
      <c r="D896" t="s">
        <v>48</v>
      </c>
      <c r="E896" t="s">
        <v>56</v>
      </c>
      <c r="F896" s="7">
        <v>10372464</v>
      </c>
      <c r="G896" t="s">
        <v>1478</v>
      </c>
      <c r="H896" s="5">
        <v>76238</v>
      </c>
      <c r="I896" s="12">
        <v>46022</v>
      </c>
      <c r="J896" s="15">
        <v>90</v>
      </c>
      <c r="K896" s="15">
        <v>4</v>
      </c>
      <c r="L896" s="9">
        <v>8.77E-2</v>
      </c>
      <c r="M896" s="9">
        <v>6.0499999999999998E-2</v>
      </c>
      <c r="N896" s="15">
        <v>8</v>
      </c>
      <c r="O896" t="s">
        <v>28</v>
      </c>
      <c r="P896" t="s">
        <v>28</v>
      </c>
      <c r="Q896" s="24">
        <v>0.5</v>
      </c>
      <c r="R896" s="5">
        <f t="shared" si="78"/>
        <v>1648.6206410958905</v>
      </c>
      <c r="S896" s="5">
        <f t="shared" si="79"/>
        <v>101.09367671232876</v>
      </c>
      <c r="T896" s="5">
        <f t="shared" si="80"/>
        <v>1547.5269643835618</v>
      </c>
      <c r="U896" s="15">
        <f t="shared" si="81"/>
        <v>82</v>
      </c>
      <c r="V896" s="3">
        <f t="shared" si="82"/>
        <v>1036.8368</v>
      </c>
      <c r="W896" s="3">
        <f t="shared" si="83"/>
        <v>895</v>
      </c>
    </row>
    <row r="897" spans="1:23" x14ac:dyDescent="0.2">
      <c r="A897" t="s">
        <v>427</v>
      </c>
      <c r="B897" t="s">
        <v>352</v>
      </c>
      <c r="C897" t="s">
        <v>77</v>
      </c>
      <c r="D897" t="s">
        <v>48</v>
      </c>
      <c r="E897" t="s">
        <v>25</v>
      </c>
      <c r="F897" s="7">
        <v>3836607</v>
      </c>
      <c r="G897" t="s">
        <v>428</v>
      </c>
      <c r="H897" s="5">
        <v>21064</v>
      </c>
      <c r="I897" s="12">
        <v>45736</v>
      </c>
      <c r="J897" s="15">
        <v>60</v>
      </c>
      <c r="K897" s="15">
        <v>5</v>
      </c>
      <c r="L897" s="9">
        <v>0.11310000000000001</v>
      </c>
      <c r="M897" s="9">
        <v>5.8500000000000003E-2</v>
      </c>
      <c r="N897" s="15">
        <v>6</v>
      </c>
      <c r="O897" t="s">
        <v>27</v>
      </c>
      <c r="P897" t="s">
        <v>28</v>
      </c>
      <c r="Q897" s="24">
        <v>0.9</v>
      </c>
      <c r="R897" s="5">
        <f t="shared" si="78"/>
        <v>391.6172712328767</v>
      </c>
      <c r="S897" s="5">
        <f t="shared" si="79"/>
        <v>20.256065753424657</v>
      </c>
      <c r="T897" s="5">
        <f t="shared" si="80"/>
        <v>371.36120547945205</v>
      </c>
      <c r="U897" s="15">
        <f t="shared" si="81"/>
        <v>54</v>
      </c>
      <c r="V897" s="3">
        <f t="shared" si="82"/>
        <v>1035.0849600000001</v>
      </c>
      <c r="W897" s="3">
        <f t="shared" si="83"/>
        <v>896</v>
      </c>
    </row>
    <row r="898" spans="1:23" x14ac:dyDescent="0.2">
      <c r="A898" t="s">
        <v>415</v>
      </c>
      <c r="B898" t="s">
        <v>416</v>
      </c>
      <c r="C898" t="s">
        <v>31</v>
      </c>
      <c r="D898" t="s">
        <v>66</v>
      </c>
      <c r="E898" t="s">
        <v>49</v>
      </c>
      <c r="F898" s="7">
        <v>1241903</v>
      </c>
      <c r="G898" t="s">
        <v>1550</v>
      </c>
      <c r="H898" s="5">
        <v>27465</v>
      </c>
      <c r="I898" s="12">
        <v>45705</v>
      </c>
      <c r="J898" s="15">
        <v>90</v>
      </c>
      <c r="K898" s="15">
        <v>4</v>
      </c>
      <c r="L898" s="9">
        <v>0.15939999999999999</v>
      </c>
      <c r="M898" s="9">
        <v>5.1999999999999998E-2</v>
      </c>
      <c r="N898" s="15">
        <v>7</v>
      </c>
      <c r="O898" t="s">
        <v>27</v>
      </c>
      <c r="P898" t="s">
        <v>28</v>
      </c>
      <c r="Q898" s="24">
        <v>0.35</v>
      </c>
      <c r="R898" s="5">
        <f t="shared" ref="R898:R961" si="84">H898*L898*(J898/365)</f>
        <v>1079.4873698630136</v>
      </c>
      <c r="S898" s="5">
        <f t="shared" ref="S898:S961" si="85">H898*M898*(N898/365)</f>
        <v>27.389753424657531</v>
      </c>
      <c r="T898" s="5">
        <f t="shared" ref="T898:T961" si="86">R898-S898</f>
        <v>1052.097616438356</v>
      </c>
      <c r="U898" s="15">
        <f t="shared" ref="U898:U961" si="87">J898-N898</f>
        <v>83</v>
      </c>
      <c r="V898" s="3">
        <f t="shared" ref="V898:V961" si="88">Q898*(L898-M898)*H898</f>
        <v>1032.4093499999999</v>
      </c>
      <c r="W898" s="3">
        <f t="shared" ref="W898:W961" si="89">RANK(V898,$V$2:$V$1501)</f>
        <v>897</v>
      </c>
    </row>
    <row r="899" spans="1:23" x14ac:dyDescent="0.2">
      <c r="A899" t="s">
        <v>602</v>
      </c>
      <c r="B899" t="s">
        <v>367</v>
      </c>
      <c r="C899" t="s">
        <v>41</v>
      </c>
      <c r="D899" t="s">
        <v>66</v>
      </c>
      <c r="E899" t="s">
        <v>56</v>
      </c>
      <c r="F899" s="7">
        <v>9703738</v>
      </c>
      <c r="G899" t="s">
        <v>963</v>
      </c>
      <c r="H899" s="5">
        <v>104974</v>
      </c>
      <c r="I899" s="12">
        <v>46043</v>
      </c>
      <c r="J899" s="15">
        <v>60</v>
      </c>
      <c r="K899" s="15">
        <v>3</v>
      </c>
      <c r="L899" s="9">
        <v>7.5499999999999998E-2</v>
      </c>
      <c r="M899" s="9">
        <v>6.4600000000000005E-2</v>
      </c>
      <c r="N899" s="15">
        <v>6</v>
      </c>
      <c r="O899" t="s">
        <v>27</v>
      </c>
      <c r="P899" t="s">
        <v>28</v>
      </c>
      <c r="Q899" s="24">
        <v>0.9</v>
      </c>
      <c r="R899" s="5">
        <f t="shared" si="84"/>
        <v>1302.8279999999997</v>
      </c>
      <c r="S899" s="5">
        <f t="shared" si="85"/>
        <v>111.47376</v>
      </c>
      <c r="T899" s="5">
        <f t="shared" si="86"/>
        <v>1191.3542399999997</v>
      </c>
      <c r="U899" s="15">
        <f t="shared" si="87"/>
        <v>54</v>
      </c>
      <c r="V899" s="3">
        <f t="shared" si="88"/>
        <v>1029.7949399999993</v>
      </c>
      <c r="W899" s="3">
        <f t="shared" si="89"/>
        <v>898</v>
      </c>
    </row>
    <row r="900" spans="1:23" x14ac:dyDescent="0.2">
      <c r="A900" t="s">
        <v>223</v>
      </c>
      <c r="B900" t="s">
        <v>224</v>
      </c>
      <c r="C900" t="s">
        <v>36</v>
      </c>
      <c r="D900" t="s">
        <v>48</v>
      </c>
      <c r="E900" t="s">
        <v>25</v>
      </c>
      <c r="F900" s="7">
        <v>3916164</v>
      </c>
      <c r="G900" t="s">
        <v>746</v>
      </c>
      <c r="H900" s="5">
        <v>38077</v>
      </c>
      <c r="I900" s="12">
        <v>46002</v>
      </c>
      <c r="J900" s="15">
        <v>60</v>
      </c>
      <c r="K900" s="15">
        <v>10</v>
      </c>
      <c r="L900" s="9">
        <v>0.1119</v>
      </c>
      <c r="M900" s="9">
        <v>5.8000000000000003E-2</v>
      </c>
      <c r="N900" s="15">
        <v>6</v>
      </c>
      <c r="O900" t="s">
        <v>27</v>
      </c>
      <c r="P900" t="s">
        <v>28</v>
      </c>
      <c r="Q900" s="24">
        <v>0.5</v>
      </c>
      <c r="R900" s="5">
        <f t="shared" si="84"/>
        <v>700.40815890410965</v>
      </c>
      <c r="S900" s="5">
        <f t="shared" si="85"/>
        <v>36.303550684931501</v>
      </c>
      <c r="T900" s="5">
        <f t="shared" si="86"/>
        <v>664.1046082191782</v>
      </c>
      <c r="U900" s="15">
        <f t="shared" si="87"/>
        <v>54</v>
      </c>
      <c r="V900" s="3">
        <f t="shared" si="88"/>
        <v>1026.17515</v>
      </c>
      <c r="W900" s="3">
        <f t="shared" si="89"/>
        <v>899</v>
      </c>
    </row>
    <row r="901" spans="1:23" x14ac:dyDescent="0.2">
      <c r="A901" t="s">
        <v>100</v>
      </c>
      <c r="B901" t="s">
        <v>101</v>
      </c>
      <c r="C901" t="s">
        <v>77</v>
      </c>
      <c r="D901" t="s">
        <v>48</v>
      </c>
      <c r="E901" t="s">
        <v>49</v>
      </c>
      <c r="F901" s="7">
        <v>1484226</v>
      </c>
      <c r="G901" t="s">
        <v>1134</v>
      </c>
      <c r="H901" s="5">
        <v>24843</v>
      </c>
      <c r="I901" s="12">
        <v>45901</v>
      </c>
      <c r="J901" s="15">
        <v>45</v>
      </c>
      <c r="K901" s="15">
        <v>5</v>
      </c>
      <c r="L901" s="9">
        <v>0.17929999999999999</v>
      </c>
      <c r="M901" s="9">
        <v>6.1600000000000002E-2</v>
      </c>
      <c r="N901" s="15">
        <v>5</v>
      </c>
      <c r="O901" t="s">
        <v>28</v>
      </c>
      <c r="P901" t="s">
        <v>28</v>
      </c>
      <c r="Q901" s="24">
        <v>0.35</v>
      </c>
      <c r="R901" s="5">
        <f t="shared" si="84"/>
        <v>549.16642602739716</v>
      </c>
      <c r="S901" s="5">
        <f t="shared" si="85"/>
        <v>20.963408219178081</v>
      </c>
      <c r="T901" s="5">
        <f t="shared" si="86"/>
        <v>528.2030178082191</v>
      </c>
      <c r="U901" s="15">
        <f t="shared" si="87"/>
        <v>40</v>
      </c>
      <c r="V901" s="3">
        <f t="shared" si="88"/>
        <v>1023.4073849999999</v>
      </c>
      <c r="W901" s="3">
        <f t="shared" si="89"/>
        <v>900</v>
      </c>
    </row>
    <row r="902" spans="1:23" x14ac:dyDescent="0.2">
      <c r="A902" t="s">
        <v>722</v>
      </c>
      <c r="B902" t="s">
        <v>723</v>
      </c>
      <c r="C902" t="s">
        <v>77</v>
      </c>
      <c r="D902" t="s">
        <v>24</v>
      </c>
      <c r="E902" t="s">
        <v>49</v>
      </c>
      <c r="F902" s="7">
        <v>1097913</v>
      </c>
      <c r="G902" t="s">
        <v>1602</v>
      </c>
      <c r="H902" s="5">
        <v>48190</v>
      </c>
      <c r="I902" s="12">
        <v>45879</v>
      </c>
      <c r="J902" s="15">
        <v>60</v>
      </c>
      <c r="K902" s="15">
        <v>10</v>
      </c>
      <c r="L902" s="9">
        <v>0.16070000000000001</v>
      </c>
      <c r="M902" s="9">
        <v>5.5300000000000002E-2</v>
      </c>
      <c r="N902" s="15">
        <v>5</v>
      </c>
      <c r="O902" t="s">
        <v>27</v>
      </c>
      <c r="P902" t="s">
        <v>28</v>
      </c>
      <c r="Q902" s="24">
        <v>0.2</v>
      </c>
      <c r="R902" s="5">
        <f t="shared" si="84"/>
        <v>1273.0081643835617</v>
      </c>
      <c r="S902" s="5">
        <f t="shared" si="85"/>
        <v>36.505575342465754</v>
      </c>
      <c r="T902" s="5">
        <f t="shared" si="86"/>
        <v>1236.5025890410959</v>
      </c>
      <c r="U902" s="15">
        <f t="shared" si="87"/>
        <v>55</v>
      </c>
      <c r="V902" s="3">
        <f t="shared" si="88"/>
        <v>1015.8452000000001</v>
      </c>
      <c r="W902" s="3">
        <f t="shared" si="89"/>
        <v>901</v>
      </c>
    </row>
    <row r="903" spans="1:23" x14ac:dyDescent="0.2">
      <c r="A903" t="s">
        <v>206</v>
      </c>
      <c r="B903" t="s">
        <v>207</v>
      </c>
      <c r="C903" t="s">
        <v>77</v>
      </c>
      <c r="D903" t="s">
        <v>32</v>
      </c>
      <c r="E903" t="s">
        <v>25</v>
      </c>
      <c r="F903" s="7">
        <v>3819447</v>
      </c>
      <c r="G903" t="s">
        <v>1638</v>
      </c>
      <c r="H903" s="5">
        <v>20788</v>
      </c>
      <c r="I903" s="12">
        <v>45827</v>
      </c>
      <c r="J903" s="15">
        <v>90</v>
      </c>
      <c r="K903" s="15">
        <v>2</v>
      </c>
      <c r="L903" s="9">
        <v>0.12620000000000001</v>
      </c>
      <c r="M903" s="9">
        <v>5.1200000000000002E-2</v>
      </c>
      <c r="N903" s="15">
        <v>6</v>
      </c>
      <c r="O903" t="s">
        <v>28</v>
      </c>
      <c r="P903" t="s">
        <v>28</v>
      </c>
      <c r="Q903" s="24">
        <v>0.65</v>
      </c>
      <c r="R903" s="5">
        <f t="shared" si="84"/>
        <v>646.87699726027392</v>
      </c>
      <c r="S903" s="5">
        <f t="shared" si="85"/>
        <v>17.49609205479452</v>
      </c>
      <c r="T903" s="5">
        <f t="shared" si="86"/>
        <v>629.38090520547939</v>
      </c>
      <c r="U903" s="15">
        <f t="shared" si="87"/>
        <v>84</v>
      </c>
      <c r="V903" s="3">
        <f t="shared" si="88"/>
        <v>1013.4150000000002</v>
      </c>
      <c r="W903" s="3">
        <f t="shared" si="89"/>
        <v>902</v>
      </c>
    </row>
    <row r="904" spans="1:23" x14ac:dyDescent="0.2">
      <c r="A904" t="s">
        <v>596</v>
      </c>
      <c r="B904" t="s">
        <v>439</v>
      </c>
      <c r="C904" t="s">
        <v>77</v>
      </c>
      <c r="D904" t="s">
        <v>24</v>
      </c>
      <c r="E904" t="s">
        <v>56</v>
      </c>
      <c r="F904" s="7">
        <v>9396117</v>
      </c>
      <c r="G904" t="s">
        <v>910</v>
      </c>
      <c r="H904" s="5">
        <v>46422</v>
      </c>
      <c r="I904" s="12">
        <v>46007</v>
      </c>
      <c r="J904" s="15">
        <v>45</v>
      </c>
      <c r="K904" s="15">
        <v>5</v>
      </c>
      <c r="L904" s="9">
        <v>7.2400000000000006E-2</v>
      </c>
      <c r="M904" s="9">
        <v>4.5199999999999997E-2</v>
      </c>
      <c r="N904" s="15">
        <v>8</v>
      </c>
      <c r="O904" t="s">
        <v>27</v>
      </c>
      <c r="P904" t="s">
        <v>28</v>
      </c>
      <c r="Q904" s="24">
        <v>0.8</v>
      </c>
      <c r="R904" s="5">
        <f t="shared" si="84"/>
        <v>414.36404383561649</v>
      </c>
      <c r="S904" s="5">
        <f t="shared" si="85"/>
        <v>45.989575890410954</v>
      </c>
      <c r="T904" s="5">
        <f t="shared" si="86"/>
        <v>368.37446794520554</v>
      </c>
      <c r="U904" s="15">
        <f t="shared" si="87"/>
        <v>37</v>
      </c>
      <c r="V904" s="3">
        <f t="shared" si="88"/>
        <v>1010.1427200000004</v>
      </c>
      <c r="W904" s="3">
        <f t="shared" si="89"/>
        <v>903</v>
      </c>
    </row>
    <row r="905" spans="1:23" x14ac:dyDescent="0.2">
      <c r="A905" t="s">
        <v>311</v>
      </c>
      <c r="B905" t="s">
        <v>312</v>
      </c>
      <c r="C905" t="s">
        <v>23</v>
      </c>
      <c r="D905" t="s">
        <v>32</v>
      </c>
      <c r="E905" t="s">
        <v>25</v>
      </c>
      <c r="F905" s="7">
        <v>3726894</v>
      </c>
      <c r="G905" t="s">
        <v>460</v>
      </c>
      <c r="H905" s="5">
        <v>106238</v>
      </c>
      <c r="I905" s="12">
        <v>45810</v>
      </c>
      <c r="J905" s="15">
        <v>60</v>
      </c>
      <c r="K905" s="15">
        <v>3</v>
      </c>
      <c r="L905" s="9">
        <v>9.1899999999999996E-2</v>
      </c>
      <c r="M905" s="9">
        <v>6.4799999999999996E-2</v>
      </c>
      <c r="N905" s="15">
        <v>5</v>
      </c>
      <c r="O905" t="s">
        <v>27</v>
      </c>
      <c r="P905" t="s">
        <v>28</v>
      </c>
      <c r="Q905" s="24">
        <v>0.35</v>
      </c>
      <c r="R905" s="5">
        <f t="shared" si="84"/>
        <v>1604.9214575342464</v>
      </c>
      <c r="S905" s="5">
        <f t="shared" si="85"/>
        <v>94.304416438356157</v>
      </c>
      <c r="T905" s="5">
        <f t="shared" si="86"/>
        <v>1510.6170410958903</v>
      </c>
      <c r="U905" s="15">
        <f t="shared" si="87"/>
        <v>55</v>
      </c>
      <c r="V905" s="3">
        <f t="shared" si="88"/>
        <v>1007.6674299999999</v>
      </c>
      <c r="W905" s="3">
        <f t="shared" si="89"/>
        <v>904</v>
      </c>
    </row>
    <row r="906" spans="1:23" x14ac:dyDescent="0.2">
      <c r="A906" t="s">
        <v>716</v>
      </c>
      <c r="B906" t="s">
        <v>717</v>
      </c>
      <c r="C906" t="s">
        <v>31</v>
      </c>
      <c r="D906" t="s">
        <v>37</v>
      </c>
      <c r="E906" t="s">
        <v>49</v>
      </c>
      <c r="F906" s="7">
        <v>1439462</v>
      </c>
      <c r="G906" t="s">
        <v>1101</v>
      </c>
      <c r="H906" s="5">
        <v>23284</v>
      </c>
      <c r="I906" s="12">
        <v>46036</v>
      </c>
      <c r="J906" s="15">
        <v>60</v>
      </c>
      <c r="K906" s="15">
        <v>5</v>
      </c>
      <c r="L906" s="9">
        <v>0.17130000000000001</v>
      </c>
      <c r="M906" s="9">
        <v>4.8000000000000001E-2</v>
      </c>
      <c r="N906" s="15">
        <v>8</v>
      </c>
      <c r="O906" t="s">
        <v>28</v>
      </c>
      <c r="P906" t="s">
        <v>28</v>
      </c>
      <c r="Q906" s="24">
        <v>0.35</v>
      </c>
      <c r="R906" s="5">
        <f t="shared" si="84"/>
        <v>655.65192328767125</v>
      </c>
      <c r="S906" s="5">
        <f t="shared" si="85"/>
        <v>24.49604383561644</v>
      </c>
      <c r="T906" s="5">
        <f t="shared" si="86"/>
        <v>631.15587945205482</v>
      </c>
      <c r="U906" s="15">
        <f t="shared" si="87"/>
        <v>52</v>
      </c>
      <c r="V906" s="3">
        <f t="shared" si="88"/>
        <v>1004.82102</v>
      </c>
      <c r="W906" s="3">
        <f t="shared" si="89"/>
        <v>905</v>
      </c>
    </row>
    <row r="907" spans="1:23" x14ac:dyDescent="0.2">
      <c r="A907" t="s">
        <v>491</v>
      </c>
      <c r="B907" t="s">
        <v>131</v>
      </c>
      <c r="C907" t="s">
        <v>31</v>
      </c>
      <c r="D907" t="s">
        <v>32</v>
      </c>
      <c r="E907" t="s">
        <v>56</v>
      </c>
      <c r="F907" s="7">
        <v>21735545</v>
      </c>
      <c r="G907" t="s">
        <v>1126</v>
      </c>
      <c r="H907" s="5">
        <v>57252</v>
      </c>
      <c r="I907" s="12">
        <v>45829</v>
      </c>
      <c r="J907" s="15">
        <v>90</v>
      </c>
      <c r="K907" s="15">
        <v>10</v>
      </c>
      <c r="L907" s="9">
        <v>7.4999999999999997E-2</v>
      </c>
      <c r="M907" s="9">
        <v>5.3100000000000001E-2</v>
      </c>
      <c r="N907" s="15">
        <v>6</v>
      </c>
      <c r="O907" t="s">
        <v>27</v>
      </c>
      <c r="P907" t="s">
        <v>28</v>
      </c>
      <c r="Q907" s="24">
        <v>0.8</v>
      </c>
      <c r="R907" s="5">
        <f t="shared" si="84"/>
        <v>1058.7698630136986</v>
      </c>
      <c r="S907" s="5">
        <f t="shared" si="85"/>
        <v>49.973937534246573</v>
      </c>
      <c r="T907" s="5">
        <f t="shared" si="86"/>
        <v>1008.795925479452</v>
      </c>
      <c r="U907" s="15">
        <f t="shared" si="87"/>
        <v>84</v>
      </c>
      <c r="V907" s="3">
        <f t="shared" si="88"/>
        <v>1003.0550399999998</v>
      </c>
      <c r="W907" s="3">
        <f t="shared" si="89"/>
        <v>906</v>
      </c>
    </row>
    <row r="908" spans="1:23" x14ac:dyDescent="0.2">
      <c r="A908" t="s">
        <v>64</v>
      </c>
      <c r="B908" t="s">
        <v>65</v>
      </c>
      <c r="C908" t="s">
        <v>36</v>
      </c>
      <c r="D908" t="s">
        <v>66</v>
      </c>
      <c r="E908" t="s">
        <v>56</v>
      </c>
      <c r="F908" s="7">
        <v>19529913</v>
      </c>
      <c r="G908" t="s">
        <v>754</v>
      </c>
      <c r="H908" s="5">
        <v>74021</v>
      </c>
      <c r="I908" s="12">
        <v>45974</v>
      </c>
      <c r="J908" s="15">
        <v>60</v>
      </c>
      <c r="K908" s="15">
        <v>2</v>
      </c>
      <c r="L908" s="9">
        <v>8.7499999999999994E-2</v>
      </c>
      <c r="M908" s="9">
        <v>6.0400000000000002E-2</v>
      </c>
      <c r="N908" s="15">
        <v>10</v>
      </c>
      <c r="O908" t="s">
        <v>27</v>
      </c>
      <c r="P908" t="s">
        <v>28</v>
      </c>
      <c r="Q908" s="24">
        <v>0.5</v>
      </c>
      <c r="R908" s="5">
        <f t="shared" si="84"/>
        <v>1064.685616438356</v>
      </c>
      <c r="S908" s="5">
        <f t="shared" si="85"/>
        <v>122.48954520547946</v>
      </c>
      <c r="T908" s="5">
        <f t="shared" si="86"/>
        <v>942.19607123287653</v>
      </c>
      <c r="U908" s="15">
        <f t="shared" si="87"/>
        <v>50</v>
      </c>
      <c r="V908" s="3">
        <f t="shared" si="88"/>
        <v>1002.9845499999997</v>
      </c>
      <c r="W908" s="3">
        <f t="shared" si="89"/>
        <v>907</v>
      </c>
    </row>
    <row r="909" spans="1:23" x14ac:dyDescent="0.2">
      <c r="A909" t="s">
        <v>230</v>
      </c>
      <c r="B909" t="s">
        <v>231</v>
      </c>
      <c r="C909" t="s">
        <v>31</v>
      </c>
      <c r="D909" t="s">
        <v>37</v>
      </c>
      <c r="E909" t="s">
        <v>25</v>
      </c>
      <c r="F909" s="7">
        <v>6782855</v>
      </c>
      <c r="G909" t="s">
        <v>975</v>
      </c>
      <c r="H909" s="5">
        <v>28577</v>
      </c>
      <c r="I909" s="12">
        <v>45733</v>
      </c>
      <c r="J909" s="15">
        <v>60</v>
      </c>
      <c r="K909" s="15">
        <v>4</v>
      </c>
      <c r="L909" s="9">
        <v>0.1188</v>
      </c>
      <c r="M909" s="9">
        <v>4.87E-2</v>
      </c>
      <c r="N909" s="15">
        <v>10</v>
      </c>
      <c r="O909" t="s">
        <v>27</v>
      </c>
      <c r="P909" t="s">
        <v>28</v>
      </c>
      <c r="Q909" s="24">
        <v>0.5</v>
      </c>
      <c r="R909" s="5">
        <f t="shared" si="84"/>
        <v>558.07357808219172</v>
      </c>
      <c r="S909" s="5">
        <f t="shared" si="85"/>
        <v>38.128764383561645</v>
      </c>
      <c r="T909" s="5">
        <f t="shared" si="86"/>
        <v>519.94481369863001</v>
      </c>
      <c r="U909" s="15">
        <f t="shared" si="87"/>
        <v>50</v>
      </c>
      <c r="V909" s="3">
        <f t="shared" si="88"/>
        <v>1001.6238499999999</v>
      </c>
      <c r="W909" s="3">
        <f t="shared" si="89"/>
        <v>908</v>
      </c>
    </row>
    <row r="910" spans="1:23" x14ac:dyDescent="0.2">
      <c r="A910" t="s">
        <v>72</v>
      </c>
      <c r="B910" t="s">
        <v>73</v>
      </c>
      <c r="C910" t="s">
        <v>31</v>
      </c>
      <c r="D910" t="s">
        <v>32</v>
      </c>
      <c r="E910" t="s">
        <v>56</v>
      </c>
      <c r="F910" s="7">
        <v>21625874</v>
      </c>
      <c r="G910" t="s">
        <v>1217</v>
      </c>
      <c r="H910" s="5">
        <v>51274</v>
      </c>
      <c r="I910" s="12">
        <v>45948</v>
      </c>
      <c r="J910" s="15">
        <v>60</v>
      </c>
      <c r="K910" s="15">
        <v>2</v>
      </c>
      <c r="L910" s="9">
        <v>9.5399999999999999E-2</v>
      </c>
      <c r="M910" s="9">
        <v>5.6399999999999999E-2</v>
      </c>
      <c r="N910" s="15">
        <v>5</v>
      </c>
      <c r="O910" t="s">
        <v>27</v>
      </c>
      <c r="P910" t="s">
        <v>28</v>
      </c>
      <c r="Q910" s="24">
        <v>0.5</v>
      </c>
      <c r="R910" s="5">
        <f t="shared" si="84"/>
        <v>804.08870136986297</v>
      </c>
      <c r="S910" s="5">
        <f t="shared" si="85"/>
        <v>39.614432876712328</v>
      </c>
      <c r="T910" s="5">
        <f t="shared" si="86"/>
        <v>764.4742684931507</v>
      </c>
      <c r="U910" s="15">
        <f t="shared" si="87"/>
        <v>55</v>
      </c>
      <c r="V910" s="3">
        <f t="shared" si="88"/>
        <v>999.84299999999996</v>
      </c>
      <c r="W910" s="3">
        <f t="shared" si="89"/>
        <v>909</v>
      </c>
    </row>
    <row r="911" spans="1:23" x14ac:dyDescent="0.2">
      <c r="A911" t="s">
        <v>278</v>
      </c>
      <c r="B911" t="s">
        <v>279</v>
      </c>
      <c r="C911" t="s">
        <v>23</v>
      </c>
      <c r="D911" t="s">
        <v>37</v>
      </c>
      <c r="E911" t="s">
        <v>56</v>
      </c>
      <c r="F911" s="7">
        <v>15898738</v>
      </c>
      <c r="G911" t="s">
        <v>1023</v>
      </c>
      <c r="H911" s="5">
        <v>98517</v>
      </c>
      <c r="I911" s="12">
        <v>45858</v>
      </c>
      <c r="J911" s="15">
        <v>60</v>
      </c>
      <c r="K911" s="15">
        <v>7</v>
      </c>
      <c r="L911" s="9">
        <v>0.1071</v>
      </c>
      <c r="M911" s="9">
        <v>5.6399999999999999E-2</v>
      </c>
      <c r="N911" s="15">
        <v>8</v>
      </c>
      <c r="O911" t="s">
        <v>27</v>
      </c>
      <c r="P911" t="s">
        <v>28</v>
      </c>
      <c r="Q911" s="24">
        <v>0.2</v>
      </c>
      <c r="R911" s="5">
        <f t="shared" si="84"/>
        <v>1734.4390191780822</v>
      </c>
      <c r="S911" s="5">
        <f t="shared" si="85"/>
        <v>121.78320657534246</v>
      </c>
      <c r="T911" s="5">
        <f t="shared" si="86"/>
        <v>1612.6558126027396</v>
      </c>
      <c r="U911" s="15">
        <f t="shared" si="87"/>
        <v>52</v>
      </c>
      <c r="V911" s="3">
        <f t="shared" si="88"/>
        <v>998.96238000000017</v>
      </c>
      <c r="W911" s="3">
        <f t="shared" si="89"/>
        <v>910</v>
      </c>
    </row>
    <row r="912" spans="1:23" x14ac:dyDescent="0.2">
      <c r="A912" t="s">
        <v>43</v>
      </c>
      <c r="B912" t="s">
        <v>44</v>
      </c>
      <c r="C912" t="s">
        <v>23</v>
      </c>
      <c r="D912" t="s">
        <v>24</v>
      </c>
      <c r="E912" t="s">
        <v>25</v>
      </c>
      <c r="F912" s="7">
        <v>2577026</v>
      </c>
      <c r="G912" t="s">
        <v>1586</v>
      </c>
      <c r="H912" s="5">
        <v>71515</v>
      </c>
      <c r="I912" s="12">
        <v>45722</v>
      </c>
      <c r="J912" s="15">
        <v>30</v>
      </c>
      <c r="K912" s="15">
        <v>2</v>
      </c>
      <c r="L912" s="9">
        <v>0.123</v>
      </c>
      <c r="M912" s="9">
        <v>5.3400000000000003E-2</v>
      </c>
      <c r="N912" s="15">
        <v>10</v>
      </c>
      <c r="O912" t="s">
        <v>27</v>
      </c>
      <c r="P912" t="s">
        <v>28</v>
      </c>
      <c r="Q912" s="24">
        <v>0.2</v>
      </c>
      <c r="R912" s="5">
        <f t="shared" si="84"/>
        <v>722.98726027397254</v>
      </c>
      <c r="S912" s="5">
        <f t="shared" si="85"/>
        <v>104.62742465753425</v>
      </c>
      <c r="T912" s="5">
        <f t="shared" si="86"/>
        <v>618.35983561643832</v>
      </c>
      <c r="U912" s="15">
        <f t="shared" si="87"/>
        <v>20</v>
      </c>
      <c r="V912" s="3">
        <f t="shared" si="88"/>
        <v>995.48879999999997</v>
      </c>
      <c r="W912" s="3">
        <f t="shared" si="89"/>
        <v>911</v>
      </c>
    </row>
    <row r="913" spans="1:23" x14ac:dyDescent="0.2">
      <c r="A913" t="s">
        <v>186</v>
      </c>
      <c r="B913" t="s">
        <v>187</v>
      </c>
      <c r="C913" t="s">
        <v>41</v>
      </c>
      <c r="D913" t="s">
        <v>32</v>
      </c>
      <c r="E913" t="s">
        <v>25</v>
      </c>
      <c r="F913" s="7">
        <v>3649528</v>
      </c>
      <c r="G913" t="s">
        <v>992</v>
      </c>
      <c r="H913" s="5">
        <v>27674</v>
      </c>
      <c r="I913" s="12">
        <v>45894</v>
      </c>
      <c r="J913" s="15">
        <v>60</v>
      </c>
      <c r="K913" s="15">
        <v>10</v>
      </c>
      <c r="L913" s="9">
        <v>0.1283</v>
      </c>
      <c r="M913" s="9">
        <v>5.6500000000000002E-2</v>
      </c>
      <c r="N913" s="15">
        <v>7</v>
      </c>
      <c r="O913" t="s">
        <v>28</v>
      </c>
      <c r="P913" t="s">
        <v>28</v>
      </c>
      <c r="Q913" s="24">
        <v>0.5</v>
      </c>
      <c r="R913" s="5">
        <f t="shared" si="84"/>
        <v>583.65603287671229</v>
      </c>
      <c r="S913" s="5">
        <f t="shared" si="85"/>
        <v>29.986484931506855</v>
      </c>
      <c r="T913" s="5">
        <f t="shared" si="86"/>
        <v>553.66954794520541</v>
      </c>
      <c r="U913" s="15">
        <f t="shared" si="87"/>
        <v>53</v>
      </c>
      <c r="V913" s="3">
        <f t="shared" si="88"/>
        <v>993.49660000000006</v>
      </c>
      <c r="W913" s="3">
        <f t="shared" si="89"/>
        <v>912</v>
      </c>
    </row>
    <row r="914" spans="1:23" x14ac:dyDescent="0.2">
      <c r="A914" t="s">
        <v>571</v>
      </c>
      <c r="B914" t="s">
        <v>214</v>
      </c>
      <c r="C914" t="s">
        <v>31</v>
      </c>
      <c r="D914" t="s">
        <v>48</v>
      </c>
      <c r="E914" t="s">
        <v>25</v>
      </c>
      <c r="F914" s="7">
        <v>4353599</v>
      </c>
      <c r="G914" t="s">
        <v>1416</v>
      </c>
      <c r="H914" s="5">
        <v>30408</v>
      </c>
      <c r="I914" s="12">
        <v>46006</v>
      </c>
      <c r="J914" s="15">
        <v>90</v>
      </c>
      <c r="K914" s="15">
        <v>7</v>
      </c>
      <c r="L914" s="9">
        <v>9.5600000000000004E-2</v>
      </c>
      <c r="M914" s="9">
        <v>5.4800000000000001E-2</v>
      </c>
      <c r="N914" s="15">
        <v>7</v>
      </c>
      <c r="O914" t="s">
        <v>27</v>
      </c>
      <c r="P914" t="s">
        <v>28</v>
      </c>
      <c r="Q914" s="24">
        <v>0.8</v>
      </c>
      <c r="R914" s="5">
        <f t="shared" si="84"/>
        <v>716.795704109589</v>
      </c>
      <c r="S914" s="5">
        <f t="shared" si="85"/>
        <v>31.957558356164387</v>
      </c>
      <c r="T914" s="5">
        <f t="shared" si="86"/>
        <v>684.83814575342456</v>
      </c>
      <c r="U914" s="15">
        <f t="shared" si="87"/>
        <v>83</v>
      </c>
      <c r="V914" s="3">
        <f t="shared" si="88"/>
        <v>992.51712000000009</v>
      </c>
      <c r="W914" s="3">
        <f t="shared" si="89"/>
        <v>913</v>
      </c>
    </row>
    <row r="915" spans="1:23" x14ac:dyDescent="0.2">
      <c r="A915" t="s">
        <v>228</v>
      </c>
      <c r="B915" t="s">
        <v>62</v>
      </c>
      <c r="C915" t="s">
        <v>23</v>
      </c>
      <c r="D915" t="s">
        <v>66</v>
      </c>
      <c r="E915" t="s">
        <v>49</v>
      </c>
      <c r="F915" s="7">
        <v>1218251</v>
      </c>
      <c r="G915" t="s">
        <v>1557</v>
      </c>
      <c r="H915" s="5">
        <v>38680</v>
      </c>
      <c r="I915" s="12">
        <v>45676</v>
      </c>
      <c r="J915" s="15">
        <v>90</v>
      </c>
      <c r="K915" s="15">
        <v>7</v>
      </c>
      <c r="L915" s="9">
        <v>0.1227</v>
      </c>
      <c r="M915" s="9">
        <v>4.9599999999999998E-2</v>
      </c>
      <c r="N915" s="15">
        <v>10</v>
      </c>
      <c r="O915" t="s">
        <v>28</v>
      </c>
      <c r="P915" t="s">
        <v>28</v>
      </c>
      <c r="Q915" s="24">
        <v>0.35</v>
      </c>
      <c r="R915" s="5">
        <f t="shared" si="84"/>
        <v>1170.2554520547944</v>
      </c>
      <c r="S915" s="5">
        <f t="shared" si="85"/>
        <v>52.56241095890411</v>
      </c>
      <c r="T915" s="5">
        <f t="shared" si="86"/>
        <v>1117.6930410958903</v>
      </c>
      <c r="U915" s="15">
        <f t="shared" si="87"/>
        <v>80</v>
      </c>
      <c r="V915" s="3">
        <f t="shared" si="88"/>
        <v>989.62779999999987</v>
      </c>
      <c r="W915" s="3">
        <f t="shared" si="89"/>
        <v>914</v>
      </c>
    </row>
    <row r="916" spans="1:23" x14ac:dyDescent="0.2">
      <c r="A916" t="s">
        <v>230</v>
      </c>
      <c r="B916" t="s">
        <v>231</v>
      </c>
      <c r="C916" t="s">
        <v>31</v>
      </c>
      <c r="D916" t="s">
        <v>37</v>
      </c>
      <c r="E916" t="s">
        <v>25</v>
      </c>
      <c r="F916" s="7">
        <v>6782855</v>
      </c>
      <c r="G916" t="s">
        <v>1674</v>
      </c>
      <c r="H916" s="5">
        <v>51397</v>
      </c>
      <c r="I916" s="12">
        <v>45724</v>
      </c>
      <c r="J916" s="15">
        <v>90</v>
      </c>
      <c r="K916" s="15">
        <v>10</v>
      </c>
      <c r="L916" s="9">
        <v>0.1188</v>
      </c>
      <c r="M916" s="9">
        <v>6.3899999999999998E-2</v>
      </c>
      <c r="N916" s="15">
        <v>6</v>
      </c>
      <c r="O916" t="s">
        <v>27</v>
      </c>
      <c r="P916" t="s">
        <v>28</v>
      </c>
      <c r="Q916" s="24">
        <v>0.35</v>
      </c>
      <c r="R916" s="5">
        <f t="shared" si="84"/>
        <v>1505.5800657534246</v>
      </c>
      <c r="S916" s="5">
        <f t="shared" si="85"/>
        <v>53.987972054794511</v>
      </c>
      <c r="T916" s="5">
        <f t="shared" si="86"/>
        <v>1451.5920936986302</v>
      </c>
      <c r="U916" s="15">
        <f t="shared" si="87"/>
        <v>84</v>
      </c>
      <c r="V916" s="3">
        <f t="shared" si="88"/>
        <v>987.59335499999997</v>
      </c>
      <c r="W916" s="3">
        <f t="shared" si="89"/>
        <v>915</v>
      </c>
    </row>
    <row r="917" spans="1:23" x14ac:dyDescent="0.2">
      <c r="A917" t="s">
        <v>72</v>
      </c>
      <c r="B917" t="s">
        <v>73</v>
      </c>
      <c r="C917" t="s">
        <v>31</v>
      </c>
      <c r="D917" t="s">
        <v>32</v>
      </c>
      <c r="E917" t="s">
        <v>56</v>
      </c>
      <c r="F917" s="7">
        <v>21625874</v>
      </c>
      <c r="G917" t="s">
        <v>1148</v>
      </c>
      <c r="H917" s="5">
        <v>35559</v>
      </c>
      <c r="I917" s="12">
        <v>45885</v>
      </c>
      <c r="J917" s="15">
        <v>90</v>
      </c>
      <c r="K917" s="15">
        <v>4</v>
      </c>
      <c r="L917" s="9">
        <v>9.5399999999999999E-2</v>
      </c>
      <c r="M917" s="9">
        <v>6.0699999999999997E-2</v>
      </c>
      <c r="N917" s="15">
        <v>6</v>
      </c>
      <c r="O917" t="s">
        <v>27</v>
      </c>
      <c r="P917" t="s">
        <v>28</v>
      </c>
      <c r="Q917" s="24">
        <v>0.8</v>
      </c>
      <c r="R917" s="5">
        <f t="shared" si="84"/>
        <v>836.46458630136976</v>
      </c>
      <c r="S917" s="5">
        <f t="shared" si="85"/>
        <v>35.481062465753418</v>
      </c>
      <c r="T917" s="5">
        <f t="shared" si="86"/>
        <v>800.98352383561632</v>
      </c>
      <c r="U917" s="15">
        <f t="shared" si="87"/>
        <v>84</v>
      </c>
      <c r="V917" s="3">
        <f t="shared" si="88"/>
        <v>987.11784000000011</v>
      </c>
      <c r="W917" s="3">
        <f t="shared" si="89"/>
        <v>916</v>
      </c>
    </row>
    <row r="918" spans="1:23" x14ac:dyDescent="0.2">
      <c r="A918" t="s">
        <v>271</v>
      </c>
      <c r="B918" t="s">
        <v>128</v>
      </c>
      <c r="C918" t="s">
        <v>36</v>
      </c>
      <c r="D918" t="s">
        <v>37</v>
      </c>
      <c r="E918" t="s">
        <v>49</v>
      </c>
      <c r="F918" s="7">
        <v>879139</v>
      </c>
      <c r="G918" t="s">
        <v>554</v>
      </c>
      <c r="H918" s="5">
        <v>21661</v>
      </c>
      <c r="I918" s="12">
        <v>45745</v>
      </c>
      <c r="J918" s="15">
        <v>60</v>
      </c>
      <c r="K918" s="15">
        <v>2</v>
      </c>
      <c r="L918" s="9">
        <v>0.14199999999999999</v>
      </c>
      <c r="M918" s="9">
        <v>5.0900000000000001E-2</v>
      </c>
      <c r="N918" s="15">
        <v>7</v>
      </c>
      <c r="O918" t="s">
        <v>27</v>
      </c>
      <c r="P918" t="s">
        <v>28</v>
      </c>
      <c r="Q918" s="24">
        <v>0.5</v>
      </c>
      <c r="R918" s="5">
        <f t="shared" si="84"/>
        <v>505.62115068493142</v>
      </c>
      <c r="S918" s="5">
        <f t="shared" si="85"/>
        <v>21.14469671232877</v>
      </c>
      <c r="T918" s="5">
        <f t="shared" si="86"/>
        <v>484.47645397260266</v>
      </c>
      <c r="U918" s="15">
        <f t="shared" si="87"/>
        <v>53</v>
      </c>
      <c r="V918" s="3">
        <f t="shared" si="88"/>
        <v>986.65854999999988</v>
      </c>
      <c r="W918" s="3">
        <f t="shared" si="89"/>
        <v>917</v>
      </c>
    </row>
    <row r="919" spans="1:23" x14ac:dyDescent="0.2">
      <c r="A919" t="s">
        <v>115</v>
      </c>
      <c r="B919" t="s">
        <v>80</v>
      </c>
      <c r="C919" t="s">
        <v>36</v>
      </c>
      <c r="D919" t="s">
        <v>24</v>
      </c>
      <c r="E919" t="s">
        <v>49</v>
      </c>
      <c r="F919" s="7">
        <v>373467</v>
      </c>
      <c r="G919" t="s">
        <v>1685</v>
      </c>
      <c r="H919" s="5">
        <v>72938</v>
      </c>
      <c r="I919" s="12">
        <v>45740</v>
      </c>
      <c r="J919" s="15">
        <v>60</v>
      </c>
      <c r="K919" s="15">
        <v>4</v>
      </c>
      <c r="L919" s="9">
        <v>0.126</v>
      </c>
      <c r="M919" s="9">
        <v>5.8700000000000002E-2</v>
      </c>
      <c r="N919" s="15">
        <v>5</v>
      </c>
      <c r="O919" t="s">
        <v>27</v>
      </c>
      <c r="P919" t="s">
        <v>28</v>
      </c>
      <c r="Q919" s="24">
        <v>0.2</v>
      </c>
      <c r="R919" s="5">
        <f t="shared" si="84"/>
        <v>1510.7158356164382</v>
      </c>
      <c r="S919" s="5">
        <f t="shared" si="85"/>
        <v>58.650145205479454</v>
      </c>
      <c r="T919" s="5">
        <f t="shared" si="86"/>
        <v>1452.0656904109587</v>
      </c>
      <c r="U919" s="15">
        <f t="shared" si="87"/>
        <v>55</v>
      </c>
      <c r="V919" s="3">
        <f t="shared" si="88"/>
        <v>981.74547999999993</v>
      </c>
      <c r="W919" s="3">
        <f t="shared" si="89"/>
        <v>918</v>
      </c>
    </row>
    <row r="920" spans="1:23" x14ac:dyDescent="0.2">
      <c r="A920" t="s">
        <v>179</v>
      </c>
      <c r="B920" t="s">
        <v>180</v>
      </c>
      <c r="C920" t="s">
        <v>36</v>
      </c>
      <c r="D920" t="s">
        <v>48</v>
      </c>
      <c r="E920" t="s">
        <v>25</v>
      </c>
      <c r="F920" s="7">
        <v>6074867</v>
      </c>
      <c r="G920" t="s">
        <v>482</v>
      </c>
      <c r="H920" s="5">
        <v>33511</v>
      </c>
      <c r="I920" s="12">
        <v>45769</v>
      </c>
      <c r="J920" s="15">
        <v>60</v>
      </c>
      <c r="K920" s="15">
        <v>10</v>
      </c>
      <c r="L920" s="9">
        <v>9.4299999999999995E-2</v>
      </c>
      <c r="M920" s="9">
        <v>4.9299999999999997E-2</v>
      </c>
      <c r="N920" s="15">
        <v>6</v>
      </c>
      <c r="O920" t="s">
        <v>27</v>
      </c>
      <c r="P920" t="s">
        <v>28</v>
      </c>
      <c r="Q920" s="24">
        <v>0.65</v>
      </c>
      <c r="R920" s="5">
        <f t="shared" si="84"/>
        <v>519.46640547945196</v>
      </c>
      <c r="S920" s="5">
        <f t="shared" si="85"/>
        <v>27.157681643835609</v>
      </c>
      <c r="T920" s="5">
        <f t="shared" si="86"/>
        <v>492.30872383561638</v>
      </c>
      <c r="U920" s="15">
        <f t="shared" si="87"/>
        <v>54</v>
      </c>
      <c r="V920" s="3">
        <f t="shared" si="88"/>
        <v>980.19674999999995</v>
      </c>
      <c r="W920" s="3">
        <f t="shared" si="89"/>
        <v>919</v>
      </c>
    </row>
    <row r="921" spans="1:23" x14ac:dyDescent="0.2">
      <c r="A921" t="s">
        <v>252</v>
      </c>
      <c r="B921" t="s">
        <v>89</v>
      </c>
      <c r="C921" t="s">
        <v>31</v>
      </c>
      <c r="D921" t="s">
        <v>24</v>
      </c>
      <c r="E921" t="s">
        <v>49</v>
      </c>
      <c r="F921" s="7">
        <v>971327</v>
      </c>
      <c r="G921" t="s">
        <v>1537</v>
      </c>
      <c r="H921" s="5">
        <v>30423</v>
      </c>
      <c r="I921" s="12">
        <v>46007</v>
      </c>
      <c r="J921" s="15">
        <v>90</v>
      </c>
      <c r="K921" s="15">
        <v>4</v>
      </c>
      <c r="L921" s="9">
        <v>0.15229999999999999</v>
      </c>
      <c r="M921" s="9">
        <v>6.0499999999999998E-2</v>
      </c>
      <c r="N921" s="15">
        <v>10</v>
      </c>
      <c r="O921" t="s">
        <v>27</v>
      </c>
      <c r="P921" t="s">
        <v>28</v>
      </c>
      <c r="Q921" s="24">
        <v>0.35</v>
      </c>
      <c r="R921" s="5">
        <f t="shared" si="84"/>
        <v>1142.4878383561643</v>
      </c>
      <c r="S921" s="5">
        <f t="shared" si="85"/>
        <v>50.427164383561639</v>
      </c>
      <c r="T921" s="5">
        <f t="shared" si="86"/>
        <v>1092.0606739726027</v>
      </c>
      <c r="U921" s="15">
        <f t="shared" si="87"/>
        <v>80</v>
      </c>
      <c r="V921" s="3">
        <f t="shared" si="88"/>
        <v>977.49099000000001</v>
      </c>
      <c r="W921" s="3">
        <f t="shared" si="89"/>
        <v>920</v>
      </c>
    </row>
    <row r="922" spans="1:23" x14ac:dyDescent="0.2">
      <c r="A922" t="s">
        <v>115</v>
      </c>
      <c r="B922" t="s">
        <v>80</v>
      </c>
      <c r="C922" t="s">
        <v>36</v>
      </c>
      <c r="D922" t="s">
        <v>24</v>
      </c>
      <c r="E922" t="s">
        <v>49</v>
      </c>
      <c r="F922" s="7">
        <v>373467</v>
      </c>
      <c r="G922" t="s">
        <v>1605</v>
      </c>
      <c r="H922" s="5">
        <v>73618</v>
      </c>
      <c r="I922" s="12">
        <v>45922</v>
      </c>
      <c r="J922" s="15">
        <v>45</v>
      </c>
      <c r="K922" s="15">
        <v>3</v>
      </c>
      <c r="L922" s="9">
        <v>0.126</v>
      </c>
      <c r="M922" s="9">
        <v>5.9700000000000003E-2</v>
      </c>
      <c r="N922" s="15">
        <v>7</v>
      </c>
      <c r="O922" t="s">
        <v>28</v>
      </c>
      <c r="P922" t="s">
        <v>28</v>
      </c>
      <c r="Q922" s="24">
        <v>0.2</v>
      </c>
      <c r="R922" s="5">
        <f t="shared" si="84"/>
        <v>1143.6001643835616</v>
      </c>
      <c r="S922" s="5">
        <f t="shared" si="85"/>
        <v>84.287567671232878</v>
      </c>
      <c r="T922" s="5">
        <f t="shared" si="86"/>
        <v>1059.3125967123287</v>
      </c>
      <c r="U922" s="15">
        <f t="shared" si="87"/>
        <v>38</v>
      </c>
      <c r="V922" s="3">
        <f t="shared" si="88"/>
        <v>976.17468000000008</v>
      </c>
      <c r="W922" s="3">
        <f t="shared" si="89"/>
        <v>921</v>
      </c>
    </row>
    <row r="923" spans="1:23" x14ac:dyDescent="0.2">
      <c r="A923" t="s">
        <v>382</v>
      </c>
      <c r="B923" t="s">
        <v>383</v>
      </c>
      <c r="C923" t="s">
        <v>41</v>
      </c>
      <c r="D923" t="s">
        <v>32</v>
      </c>
      <c r="E923" t="s">
        <v>25</v>
      </c>
      <c r="F923" s="7">
        <v>3772612</v>
      </c>
      <c r="G923" t="s">
        <v>1610</v>
      </c>
      <c r="H923" s="5">
        <v>67687</v>
      </c>
      <c r="I923" s="12">
        <v>46054</v>
      </c>
      <c r="J923" s="15">
        <v>45</v>
      </c>
      <c r="K923" s="15">
        <v>5</v>
      </c>
      <c r="L923" s="9">
        <v>0.1053</v>
      </c>
      <c r="M923" s="9">
        <v>6.4100000000000004E-2</v>
      </c>
      <c r="N923" s="15">
        <v>5</v>
      </c>
      <c r="O923" t="s">
        <v>27</v>
      </c>
      <c r="P923" t="s">
        <v>28</v>
      </c>
      <c r="Q923" s="24">
        <v>0.35</v>
      </c>
      <c r="R923" s="5">
        <f t="shared" si="84"/>
        <v>878.72561506849308</v>
      </c>
      <c r="S923" s="5">
        <f t="shared" si="85"/>
        <v>59.434749315068494</v>
      </c>
      <c r="T923" s="5">
        <f t="shared" si="86"/>
        <v>819.29086575342455</v>
      </c>
      <c r="U923" s="15">
        <f t="shared" si="87"/>
        <v>40</v>
      </c>
      <c r="V923" s="3">
        <f t="shared" si="88"/>
        <v>976.04653999999994</v>
      </c>
      <c r="W923" s="3">
        <f t="shared" si="89"/>
        <v>922</v>
      </c>
    </row>
    <row r="924" spans="1:23" x14ac:dyDescent="0.2">
      <c r="A924" t="s">
        <v>549</v>
      </c>
      <c r="B924" t="s">
        <v>161</v>
      </c>
      <c r="C924" t="s">
        <v>77</v>
      </c>
      <c r="D924" t="s">
        <v>48</v>
      </c>
      <c r="E924" t="s">
        <v>56</v>
      </c>
      <c r="F924" s="7">
        <v>15837870</v>
      </c>
      <c r="G924" t="s">
        <v>1144</v>
      </c>
      <c r="H924" s="5">
        <v>23706</v>
      </c>
      <c r="I924" s="12">
        <v>45681</v>
      </c>
      <c r="J924" s="15">
        <v>60</v>
      </c>
      <c r="K924" s="15">
        <v>10</v>
      </c>
      <c r="L924" s="9">
        <v>0.1089</v>
      </c>
      <c r="M924" s="9">
        <v>5.7500000000000002E-2</v>
      </c>
      <c r="N924" s="15">
        <v>8</v>
      </c>
      <c r="O924" t="s">
        <v>28</v>
      </c>
      <c r="P924" t="s">
        <v>28</v>
      </c>
      <c r="Q924" s="24">
        <v>0.8</v>
      </c>
      <c r="R924" s="5">
        <f t="shared" si="84"/>
        <v>424.3698739726027</v>
      </c>
      <c r="S924" s="5">
        <f t="shared" si="85"/>
        <v>29.876054794520549</v>
      </c>
      <c r="T924" s="5">
        <f t="shared" si="86"/>
        <v>394.49381917808216</v>
      </c>
      <c r="U924" s="15">
        <f t="shared" si="87"/>
        <v>52</v>
      </c>
      <c r="V924" s="3">
        <f t="shared" si="88"/>
        <v>974.79071999999996</v>
      </c>
      <c r="W924" s="3">
        <f t="shared" si="89"/>
        <v>923</v>
      </c>
    </row>
    <row r="925" spans="1:23" x14ac:dyDescent="0.2">
      <c r="A925" t="s">
        <v>386</v>
      </c>
      <c r="B925" t="s">
        <v>387</v>
      </c>
      <c r="C925" t="s">
        <v>31</v>
      </c>
      <c r="D925" t="s">
        <v>37</v>
      </c>
      <c r="E925" t="s">
        <v>25</v>
      </c>
      <c r="F925" s="7">
        <v>5617789</v>
      </c>
      <c r="G925" t="s">
        <v>1679</v>
      </c>
      <c r="H925" s="5">
        <v>61321</v>
      </c>
      <c r="I925" s="12">
        <v>45862</v>
      </c>
      <c r="J925" s="15">
        <v>60</v>
      </c>
      <c r="K925" s="15">
        <v>10</v>
      </c>
      <c r="L925" s="9">
        <v>9.5100000000000004E-2</v>
      </c>
      <c r="M925" s="9">
        <v>4.99E-2</v>
      </c>
      <c r="N925" s="15">
        <v>5</v>
      </c>
      <c r="O925" t="s">
        <v>27</v>
      </c>
      <c r="P925" t="s">
        <v>28</v>
      </c>
      <c r="Q925" s="24">
        <v>0.35</v>
      </c>
      <c r="R925" s="5">
        <f t="shared" si="84"/>
        <v>958.62363287671235</v>
      </c>
      <c r="S925" s="5">
        <f t="shared" si="85"/>
        <v>41.916683561643829</v>
      </c>
      <c r="T925" s="5">
        <f t="shared" si="86"/>
        <v>916.70694931506853</v>
      </c>
      <c r="U925" s="15">
        <f t="shared" si="87"/>
        <v>55</v>
      </c>
      <c r="V925" s="3">
        <f t="shared" si="88"/>
        <v>970.09822000000008</v>
      </c>
      <c r="W925" s="3">
        <f t="shared" si="89"/>
        <v>924</v>
      </c>
    </row>
    <row r="926" spans="1:23" x14ac:dyDescent="0.2">
      <c r="A926" t="s">
        <v>166</v>
      </c>
      <c r="B926" t="s">
        <v>167</v>
      </c>
      <c r="C926" t="s">
        <v>41</v>
      </c>
      <c r="D926" t="s">
        <v>24</v>
      </c>
      <c r="E926" t="s">
        <v>25</v>
      </c>
      <c r="F926" s="7">
        <v>6222733</v>
      </c>
      <c r="G926" t="s">
        <v>168</v>
      </c>
      <c r="H926" s="5">
        <v>51691</v>
      </c>
      <c r="I926" s="12">
        <v>45687</v>
      </c>
      <c r="J926" s="15">
        <v>60</v>
      </c>
      <c r="K926" s="15">
        <v>7</v>
      </c>
      <c r="L926" s="9">
        <v>0.13980000000000001</v>
      </c>
      <c r="M926" s="9">
        <v>4.6100000000000002E-2</v>
      </c>
      <c r="N926" s="15">
        <v>10</v>
      </c>
      <c r="O926" t="s">
        <v>28</v>
      </c>
      <c r="P926" t="s">
        <v>28</v>
      </c>
      <c r="Q926" s="24">
        <v>0.2</v>
      </c>
      <c r="R926" s="5">
        <f t="shared" si="84"/>
        <v>1187.9016657534246</v>
      </c>
      <c r="S926" s="5">
        <f t="shared" si="85"/>
        <v>65.28644109589041</v>
      </c>
      <c r="T926" s="5">
        <f t="shared" si="86"/>
        <v>1122.6152246575341</v>
      </c>
      <c r="U926" s="15">
        <f t="shared" si="87"/>
        <v>50</v>
      </c>
      <c r="V926" s="3">
        <f t="shared" si="88"/>
        <v>968.68934000000013</v>
      </c>
      <c r="W926" s="3">
        <f t="shared" si="89"/>
        <v>925</v>
      </c>
    </row>
    <row r="927" spans="1:23" x14ac:dyDescent="0.2">
      <c r="A927" t="s">
        <v>580</v>
      </c>
      <c r="B927" t="s">
        <v>76</v>
      </c>
      <c r="C927" t="s">
        <v>77</v>
      </c>
      <c r="D927" t="s">
        <v>66</v>
      </c>
      <c r="E927" t="s">
        <v>49</v>
      </c>
      <c r="F927" s="7">
        <v>959016</v>
      </c>
      <c r="G927" t="s">
        <v>1574</v>
      </c>
      <c r="H927" s="5">
        <v>38744</v>
      </c>
      <c r="I927" s="12">
        <v>45731</v>
      </c>
      <c r="J927" s="15">
        <v>60</v>
      </c>
      <c r="K927" s="15">
        <v>4</v>
      </c>
      <c r="L927" s="9">
        <v>0.1115</v>
      </c>
      <c r="M927" s="9">
        <v>6.1600000000000002E-2</v>
      </c>
      <c r="N927" s="15">
        <v>8</v>
      </c>
      <c r="O927" t="s">
        <v>28</v>
      </c>
      <c r="P927" t="s">
        <v>28</v>
      </c>
      <c r="Q927" s="24">
        <v>0.5</v>
      </c>
      <c r="R927" s="5">
        <f t="shared" si="84"/>
        <v>710.12975342465757</v>
      </c>
      <c r="S927" s="5">
        <f t="shared" si="85"/>
        <v>52.309707397260276</v>
      </c>
      <c r="T927" s="5">
        <f t="shared" si="86"/>
        <v>657.82004602739732</v>
      </c>
      <c r="U927" s="15">
        <f t="shared" si="87"/>
        <v>52</v>
      </c>
      <c r="V927" s="3">
        <f t="shared" si="88"/>
        <v>966.66279999999995</v>
      </c>
      <c r="W927" s="3">
        <f t="shared" si="89"/>
        <v>926</v>
      </c>
    </row>
    <row r="928" spans="1:23" x14ac:dyDescent="0.2">
      <c r="A928" t="s">
        <v>256</v>
      </c>
      <c r="B928" t="s">
        <v>257</v>
      </c>
      <c r="C928" t="s">
        <v>36</v>
      </c>
      <c r="D928" t="s">
        <v>48</v>
      </c>
      <c r="E928" t="s">
        <v>25</v>
      </c>
      <c r="F928" s="7">
        <v>3046555</v>
      </c>
      <c r="G928" t="s">
        <v>919</v>
      </c>
      <c r="H928" s="5">
        <v>20177</v>
      </c>
      <c r="I928" s="12">
        <v>45693</v>
      </c>
      <c r="J928" s="15">
        <v>60</v>
      </c>
      <c r="K928" s="15">
        <v>4</v>
      </c>
      <c r="L928" s="9">
        <v>0.13830000000000001</v>
      </c>
      <c r="M928" s="9">
        <v>6.4899999999999999E-2</v>
      </c>
      <c r="N928" s="15">
        <v>7</v>
      </c>
      <c r="O928" t="s">
        <v>27</v>
      </c>
      <c r="P928" t="s">
        <v>28</v>
      </c>
      <c r="Q928" s="24">
        <v>0.65</v>
      </c>
      <c r="R928" s="5">
        <f t="shared" si="84"/>
        <v>458.7088931506849</v>
      </c>
      <c r="S928" s="5">
        <f t="shared" si="85"/>
        <v>25.113455068493153</v>
      </c>
      <c r="T928" s="5">
        <f t="shared" si="86"/>
        <v>433.59543808219178</v>
      </c>
      <c r="U928" s="15">
        <f t="shared" si="87"/>
        <v>53</v>
      </c>
      <c r="V928" s="3">
        <f t="shared" si="88"/>
        <v>962.64467000000013</v>
      </c>
      <c r="W928" s="3">
        <f t="shared" si="89"/>
        <v>927</v>
      </c>
    </row>
    <row r="929" spans="1:23" x14ac:dyDescent="0.2">
      <c r="A929" t="s">
        <v>91</v>
      </c>
      <c r="B929" t="s">
        <v>92</v>
      </c>
      <c r="C929" t="s">
        <v>36</v>
      </c>
      <c r="D929" t="s">
        <v>24</v>
      </c>
      <c r="E929" t="s">
        <v>56</v>
      </c>
      <c r="F929" s="7">
        <v>15029491</v>
      </c>
      <c r="G929" t="s">
        <v>1419</v>
      </c>
      <c r="H929" s="5">
        <v>32258</v>
      </c>
      <c r="I929" s="12">
        <v>45894</v>
      </c>
      <c r="J929" s="15">
        <v>90</v>
      </c>
      <c r="K929" s="15">
        <v>4</v>
      </c>
      <c r="L929" s="9">
        <v>9.8400000000000001E-2</v>
      </c>
      <c r="M929" s="9">
        <v>5.2499999999999998E-2</v>
      </c>
      <c r="N929" s="15">
        <v>10</v>
      </c>
      <c r="O929" t="s">
        <v>27</v>
      </c>
      <c r="P929" t="s">
        <v>28</v>
      </c>
      <c r="Q929" s="24">
        <v>0.65</v>
      </c>
      <c r="R929" s="5">
        <f t="shared" si="84"/>
        <v>782.67629589041087</v>
      </c>
      <c r="S929" s="5">
        <f t="shared" si="85"/>
        <v>46.398493150684928</v>
      </c>
      <c r="T929" s="5">
        <f t="shared" si="86"/>
        <v>736.27780273972598</v>
      </c>
      <c r="U929" s="15">
        <f t="shared" si="87"/>
        <v>80</v>
      </c>
      <c r="V929" s="3">
        <f t="shared" si="88"/>
        <v>962.41743000000008</v>
      </c>
      <c r="W929" s="3">
        <f t="shared" si="89"/>
        <v>928</v>
      </c>
    </row>
    <row r="930" spans="1:23" x14ac:dyDescent="0.2">
      <c r="A930" t="s">
        <v>351</v>
      </c>
      <c r="B930" t="s">
        <v>352</v>
      </c>
      <c r="C930" t="s">
        <v>36</v>
      </c>
      <c r="D930" t="s">
        <v>24</v>
      </c>
      <c r="E930" t="s">
        <v>49</v>
      </c>
      <c r="F930" s="7">
        <v>1439833</v>
      </c>
      <c r="G930" t="s">
        <v>687</v>
      </c>
      <c r="H930" s="5">
        <v>41269</v>
      </c>
      <c r="I930" s="12">
        <v>45861</v>
      </c>
      <c r="J930" s="15">
        <v>90</v>
      </c>
      <c r="K930" s="15">
        <v>7</v>
      </c>
      <c r="L930" s="9">
        <v>0.17630000000000001</v>
      </c>
      <c r="M930" s="9">
        <v>5.9700000000000003E-2</v>
      </c>
      <c r="N930" s="15">
        <v>7</v>
      </c>
      <c r="O930" t="s">
        <v>28</v>
      </c>
      <c r="P930" t="s">
        <v>28</v>
      </c>
      <c r="Q930" s="24">
        <v>0.2</v>
      </c>
      <c r="R930" s="5">
        <f t="shared" si="84"/>
        <v>1794.0143095890412</v>
      </c>
      <c r="S930" s="5">
        <f t="shared" si="85"/>
        <v>47.25017835616439</v>
      </c>
      <c r="T930" s="5">
        <f t="shared" si="86"/>
        <v>1746.7641312328767</v>
      </c>
      <c r="U930" s="15">
        <f t="shared" si="87"/>
        <v>83</v>
      </c>
      <c r="V930" s="3">
        <f t="shared" si="88"/>
        <v>962.39308000000017</v>
      </c>
      <c r="W930" s="3">
        <f t="shared" si="89"/>
        <v>929</v>
      </c>
    </row>
    <row r="931" spans="1:23" x14ac:dyDescent="0.2">
      <c r="A931" t="s">
        <v>39</v>
      </c>
      <c r="B931" t="s">
        <v>40</v>
      </c>
      <c r="C931" t="s">
        <v>41</v>
      </c>
      <c r="D931" t="s">
        <v>32</v>
      </c>
      <c r="E931" t="s">
        <v>25</v>
      </c>
      <c r="F931" s="7">
        <v>6162123</v>
      </c>
      <c r="G931" t="s">
        <v>962</v>
      </c>
      <c r="H931" s="5">
        <v>62194</v>
      </c>
      <c r="I931" s="12">
        <v>45945</v>
      </c>
      <c r="J931" s="15">
        <v>60</v>
      </c>
      <c r="K931" s="15">
        <v>7</v>
      </c>
      <c r="L931" s="9">
        <v>0.1231</v>
      </c>
      <c r="M931" s="9">
        <v>4.58E-2</v>
      </c>
      <c r="N931" s="15">
        <v>7</v>
      </c>
      <c r="O931" t="s">
        <v>28</v>
      </c>
      <c r="P931" t="s">
        <v>28</v>
      </c>
      <c r="Q931" s="24">
        <v>0.2</v>
      </c>
      <c r="R931" s="5">
        <f t="shared" si="84"/>
        <v>1258.5339287671231</v>
      </c>
      <c r="S931" s="5">
        <f t="shared" si="85"/>
        <v>54.628483287671237</v>
      </c>
      <c r="T931" s="5">
        <f t="shared" si="86"/>
        <v>1203.9054454794518</v>
      </c>
      <c r="U931" s="15">
        <f t="shared" si="87"/>
        <v>53</v>
      </c>
      <c r="V931" s="3">
        <f t="shared" si="88"/>
        <v>961.51924000000008</v>
      </c>
      <c r="W931" s="3">
        <f t="shared" si="89"/>
        <v>930</v>
      </c>
    </row>
    <row r="932" spans="1:23" x14ac:dyDescent="0.2">
      <c r="A932" t="s">
        <v>213</v>
      </c>
      <c r="B932" t="s">
        <v>214</v>
      </c>
      <c r="C932" t="s">
        <v>77</v>
      </c>
      <c r="D932" t="s">
        <v>32</v>
      </c>
      <c r="E932" t="s">
        <v>56</v>
      </c>
      <c r="F932" s="7">
        <v>22426293</v>
      </c>
      <c r="G932" t="s">
        <v>653</v>
      </c>
      <c r="H932" s="5">
        <v>71322</v>
      </c>
      <c r="I932" s="12">
        <v>45919</v>
      </c>
      <c r="J932" s="15">
        <v>45</v>
      </c>
      <c r="K932" s="15">
        <v>10</v>
      </c>
      <c r="L932" s="9">
        <v>9.8299999999999998E-2</v>
      </c>
      <c r="M932" s="9">
        <v>5.9799999999999999E-2</v>
      </c>
      <c r="N932" s="15">
        <v>6</v>
      </c>
      <c r="O932" t="s">
        <v>27</v>
      </c>
      <c r="P932" t="s">
        <v>28</v>
      </c>
      <c r="Q932" s="24">
        <v>0.35</v>
      </c>
      <c r="R932" s="5">
        <f t="shared" si="84"/>
        <v>864.36401917808212</v>
      </c>
      <c r="S932" s="5">
        <f t="shared" si="85"/>
        <v>70.110503013698619</v>
      </c>
      <c r="T932" s="5">
        <f t="shared" si="86"/>
        <v>794.25351616438354</v>
      </c>
      <c r="U932" s="15">
        <f t="shared" si="87"/>
        <v>39</v>
      </c>
      <c r="V932" s="3">
        <f t="shared" si="88"/>
        <v>961.06394999999998</v>
      </c>
      <c r="W932" s="3">
        <f t="shared" si="89"/>
        <v>931</v>
      </c>
    </row>
    <row r="933" spans="1:23" x14ac:dyDescent="0.2">
      <c r="A933" t="s">
        <v>453</v>
      </c>
      <c r="B933" t="s">
        <v>454</v>
      </c>
      <c r="C933" t="s">
        <v>23</v>
      </c>
      <c r="D933" t="s">
        <v>32</v>
      </c>
      <c r="E933" t="s">
        <v>49</v>
      </c>
      <c r="F933" s="7">
        <v>1410716</v>
      </c>
      <c r="G933" t="s">
        <v>1771</v>
      </c>
      <c r="H933" s="5">
        <v>28688</v>
      </c>
      <c r="I933" s="12">
        <v>45813</v>
      </c>
      <c r="J933" s="15">
        <v>60</v>
      </c>
      <c r="K933" s="15">
        <v>2</v>
      </c>
      <c r="L933" s="9">
        <v>0.1472</v>
      </c>
      <c r="M933" s="9">
        <v>5.1499999999999997E-2</v>
      </c>
      <c r="N933" s="15">
        <v>7</v>
      </c>
      <c r="O933" t="s">
        <v>27</v>
      </c>
      <c r="P933" t="s">
        <v>28</v>
      </c>
      <c r="Q933" s="24">
        <v>0.35</v>
      </c>
      <c r="R933" s="5">
        <f t="shared" si="84"/>
        <v>694.17100273972596</v>
      </c>
      <c r="S933" s="5">
        <f t="shared" si="85"/>
        <v>28.334312328767126</v>
      </c>
      <c r="T933" s="5">
        <f t="shared" si="86"/>
        <v>665.83669041095879</v>
      </c>
      <c r="U933" s="15">
        <f t="shared" si="87"/>
        <v>53</v>
      </c>
      <c r="V933" s="3">
        <f t="shared" si="88"/>
        <v>960.90455999999995</v>
      </c>
      <c r="W933" s="3">
        <f t="shared" si="89"/>
        <v>932</v>
      </c>
    </row>
    <row r="934" spans="1:23" x14ac:dyDescent="0.2">
      <c r="A934" t="s">
        <v>725</v>
      </c>
      <c r="B934" t="s">
        <v>47</v>
      </c>
      <c r="C934" t="s">
        <v>36</v>
      </c>
      <c r="D934" t="s">
        <v>48</v>
      </c>
      <c r="E934" t="s">
        <v>25</v>
      </c>
      <c r="F934" s="7">
        <v>6127831</v>
      </c>
      <c r="G934" t="s">
        <v>1086</v>
      </c>
      <c r="H934" s="5">
        <v>14688</v>
      </c>
      <c r="I934" s="12">
        <v>45736</v>
      </c>
      <c r="J934" s="15">
        <v>90</v>
      </c>
      <c r="K934" s="15">
        <v>3</v>
      </c>
      <c r="L934" s="9">
        <v>0.12529999999999999</v>
      </c>
      <c r="M934" s="9">
        <v>5.28E-2</v>
      </c>
      <c r="N934" s="15">
        <v>8</v>
      </c>
      <c r="O934" t="s">
        <v>27</v>
      </c>
      <c r="P934" t="s">
        <v>28</v>
      </c>
      <c r="Q934" s="24">
        <v>0.9</v>
      </c>
      <c r="R934" s="5">
        <f t="shared" si="84"/>
        <v>453.79883835616431</v>
      </c>
      <c r="S934" s="5">
        <f t="shared" si="85"/>
        <v>16.997838904109589</v>
      </c>
      <c r="T934" s="5">
        <f t="shared" si="86"/>
        <v>436.80099945205473</v>
      </c>
      <c r="U934" s="15">
        <f t="shared" si="87"/>
        <v>82</v>
      </c>
      <c r="V934" s="3">
        <f t="shared" si="88"/>
        <v>958.39200000000005</v>
      </c>
      <c r="W934" s="3">
        <f t="shared" si="89"/>
        <v>933</v>
      </c>
    </row>
    <row r="935" spans="1:23" x14ac:dyDescent="0.2">
      <c r="A935" t="s">
        <v>68</v>
      </c>
      <c r="B935" t="s">
        <v>69</v>
      </c>
      <c r="C935" t="s">
        <v>36</v>
      </c>
      <c r="D935" t="s">
        <v>37</v>
      </c>
      <c r="E935" t="s">
        <v>25</v>
      </c>
      <c r="F935" s="7">
        <v>3469396</v>
      </c>
      <c r="G935" t="s">
        <v>1065</v>
      </c>
      <c r="H935" s="5">
        <v>38626</v>
      </c>
      <c r="I935" s="12">
        <v>45965</v>
      </c>
      <c r="J935" s="15">
        <v>45</v>
      </c>
      <c r="K935" s="15">
        <v>4</v>
      </c>
      <c r="L935" s="9">
        <v>0.1216</v>
      </c>
      <c r="M935" s="9">
        <v>5.0799999999999998E-2</v>
      </c>
      <c r="N935" s="15">
        <v>8</v>
      </c>
      <c r="O935" t="s">
        <v>27</v>
      </c>
      <c r="P935" t="s">
        <v>28</v>
      </c>
      <c r="Q935" s="24">
        <v>0.35</v>
      </c>
      <c r="R935" s="5">
        <f t="shared" si="84"/>
        <v>579.0725260273972</v>
      </c>
      <c r="S935" s="5">
        <f t="shared" si="85"/>
        <v>43.007140821917808</v>
      </c>
      <c r="T935" s="5">
        <f t="shared" si="86"/>
        <v>536.0653852054794</v>
      </c>
      <c r="U935" s="15">
        <f t="shared" si="87"/>
        <v>37</v>
      </c>
      <c r="V935" s="3">
        <f t="shared" si="88"/>
        <v>957.15228000000002</v>
      </c>
      <c r="W935" s="3">
        <f t="shared" si="89"/>
        <v>934</v>
      </c>
    </row>
    <row r="936" spans="1:23" x14ac:dyDescent="0.2">
      <c r="A936" t="s">
        <v>382</v>
      </c>
      <c r="B936" t="s">
        <v>383</v>
      </c>
      <c r="C936" t="s">
        <v>41</v>
      </c>
      <c r="D936" t="s">
        <v>32</v>
      </c>
      <c r="E936" t="s">
        <v>25</v>
      </c>
      <c r="F936" s="7">
        <v>3772612</v>
      </c>
      <c r="G936" t="s">
        <v>936</v>
      </c>
      <c r="H936" s="5">
        <v>17975</v>
      </c>
      <c r="I936" s="12">
        <v>45847</v>
      </c>
      <c r="J936" s="15">
        <v>60</v>
      </c>
      <c r="K936" s="15">
        <v>4</v>
      </c>
      <c r="L936" s="9">
        <v>0.1053</v>
      </c>
      <c r="M936" s="9">
        <v>4.6300000000000001E-2</v>
      </c>
      <c r="N936" s="15">
        <v>7</v>
      </c>
      <c r="O936" t="s">
        <v>28</v>
      </c>
      <c r="P936" t="s">
        <v>28</v>
      </c>
      <c r="Q936" s="24">
        <v>0.9</v>
      </c>
      <c r="R936" s="5">
        <f t="shared" si="84"/>
        <v>311.13986301369863</v>
      </c>
      <c r="S936" s="5">
        <f t="shared" si="85"/>
        <v>15.960815068493153</v>
      </c>
      <c r="T936" s="5">
        <f t="shared" si="86"/>
        <v>295.17904794520547</v>
      </c>
      <c r="U936" s="15">
        <f t="shared" si="87"/>
        <v>53</v>
      </c>
      <c r="V936" s="3">
        <f t="shared" si="88"/>
        <v>954.47249999999997</v>
      </c>
      <c r="W936" s="3">
        <f t="shared" si="89"/>
        <v>935</v>
      </c>
    </row>
    <row r="937" spans="1:23" x14ac:dyDescent="0.2">
      <c r="A937" t="s">
        <v>145</v>
      </c>
      <c r="B937" t="s">
        <v>146</v>
      </c>
      <c r="C937" t="s">
        <v>23</v>
      </c>
      <c r="D937" t="s">
        <v>48</v>
      </c>
      <c r="E937" t="s">
        <v>25</v>
      </c>
      <c r="F937" s="7">
        <v>5790128</v>
      </c>
      <c r="G937" t="s">
        <v>1608</v>
      </c>
      <c r="H937" s="5">
        <v>35601</v>
      </c>
      <c r="I937" s="12">
        <v>45840</v>
      </c>
      <c r="J937" s="15">
        <v>90</v>
      </c>
      <c r="K937" s="15">
        <v>3</v>
      </c>
      <c r="L937" s="9">
        <v>9.5799999999999996E-2</v>
      </c>
      <c r="M937" s="9">
        <v>6.25E-2</v>
      </c>
      <c r="N937" s="15">
        <v>8</v>
      </c>
      <c r="O937" t="s">
        <v>27</v>
      </c>
      <c r="P937" t="s">
        <v>28</v>
      </c>
      <c r="Q937" s="24">
        <v>0.8</v>
      </c>
      <c r="R937" s="5">
        <f t="shared" si="84"/>
        <v>840.96389589041098</v>
      </c>
      <c r="S937" s="5">
        <f t="shared" si="85"/>
        <v>48.768493150684932</v>
      </c>
      <c r="T937" s="5">
        <f t="shared" si="86"/>
        <v>792.19540273972609</v>
      </c>
      <c r="U937" s="15">
        <f t="shared" si="87"/>
        <v>82</v>
      </c>
      <c r="V937" s="3">
        <f t="shared" si="88"/>
        <v>948.41063999999994</v>
      </c>
      <c r="W937" s="3">
        <f t="shared" si="89"/>
        <v>936</v>
      </c>
    </row>
    <row r="938" spans="1:23" x14ac:dyDescent="0.2">
      <c r="A938" t="s">
        <v>94</v>
      </c>
      <c r="B938" t="s">
        <v>95</v>
      </c>
      <c r="C938" t="s">
        <v>41</v>
      </c>
      <c r="D938" t="s">
        <v>66</v>
      </c>
      <c r="E938" t="s">
        <v>25</v>
      </c>
      <c r="F938" s="7">
        <v>2406772</v>
      </c>
      <c r="G938" t="s">
        <v>1199</v>
      </c>
      <c r="H938" s="5">
        <v>81803</v>
      </c>
      <c r="I938" s="12">
        <v>46048</v>
      </c>
      <c r="J938" s="15">
        <v>60</v>
      </c>
      <c r="K938" s="15">
        <v>4</v>
      </c>
      <c r="L938" s="9">
        <v>0.1091</v>
      </c>
      <c r="M938" s="9">
        <v>5.1400000000000001E-2</v>
      </c>
      <c r="N938" s="15">
        <v>8</v>
      </c>
      <c r="O938" t="s">
        <v>27</v>
      </c>
      <c r="P938" t="s">
        <v>28</v>
      </c>
      <c r="Q938" s="24">
        <v>0.2</v>
      </c>
      <c r="R938" s="5">
        <f t="shared" si="84"/>
        <v>1467.0751726027397</v>
      </c>
      <c r="S938" s="5">
        <f t="shared" si="85"/>
        <v>92.15724273972603</v>
      </c>
      <c r="T938" s="5">
        <f t="shared" si="86"/>
        <v>1374.9179298630138</v>
      </c>
      <c r="U938" s="15">
        <f t="shared" si="87"/>
        <v>52</v>
      </c>
      <c r="V938" s="3">
        <f t="shared" si="88"/>
        <v>944.00662000000011</v>
      </c>
      <c r="W938" s="3">
        <f t="shared" si="89"/>
        <v>937</v>
      </c>
    </row>
    <row r="939" spans="1:23" x14ac:dyDescent="0.2">
      <c r="A939" t="s">
        <v>79</v>
      </c>
      <c r="B939" t="s">
        <v>80</v>
      </c>
      <c r="C939" t="s">
        <v>31</v>
      </c>
      <c r="D939" t="s">
        <v>32</v>
      </c>
      <c r="E939" t="s">
        <v>25</v>
      </c>
      <c r="F939" s="7">
        <v>1969242</v>
      </c>
      <c r="G939" t="s">
        <v>1420</v>
      </c>
      <c r="H939" s="5">
        <v>99706</v>
      </c>
      <c r="I939" s="12">
        <v>45750</v>
      </c>
      <c r="J939" s="15">
        <v>30</v>
      </c>
      <c r="K939" s="15">
        <v>5</v>
      </c>
      <c r="L939" s="9">
        <v>0.10150000000000001</v>
      </c>
      <c r="M939" s="9">
        <v>5.4399999999999997E-2</v>
      </c>
      <c r="N939" s="15">
        <v>10</v>
      </c>
      <c r="O939" t="s">
        <v>27</v>
      </c>
      <c r="P939" t="s">
        <v>28</v>
      </c>
      <c r="Q939" s="24">
        <v>0.2</v>
      </c>
      <c r="R939" s="5">
        <f t="shared" si="84"/>
        <v>831.79389041095897</v>
      </c>
      <c r="S939" s="5">
        <f t="shared" si="85"/>
        <v>148.60291506849313</v>
      </c>
      <c r="T939" s="5">
        <f t="shared" si="86"/>
        <v>683.19097534246589</v>
      </c>
      <c r="U939" s="15">
        <f t="shared" si="87"/>
        <v>20</v>
      </c>
      <c r="V939" s="3">
        <f t="shared" si="88"/>
        <v>939.2305200000003</v>
      </c>
      <c r="W939" s="3">
        <f t="shared" si="89"/>
        <v>938</v>
      </c>
    </row>
    <row r="940" spans="1:23" x14ac:dyDescent="0.2">
      <c r="A940" t="s">
        <v>334</v>
      </c>
      <c r="B940" t="s">
        <v>335</v>
      </c>
      <c r="C940" t="s">
        <v>23</v>
      </c>
      <c r="D940" t="s">
        <v>66</v>
      </c>
      <c r="E940" t="s">
        <v>49</v>
      </c>
      <c r="F940" s="7">
        <v>1475965</v>
      </c>
      <c r="G940" t="s">
        <v>952</v>
      </c>
      <c r="H940" s="5">
        <v>34273</v>
      </c>
      <c r="I940" s="12">
        <v>45960</v>
      </c>
      <c r="J940" s="15">
        <v>60</v>
      </c>
      <c r="K940" s="15">
        <v>7</v>
      </c>
      <c r="L940" s="9">
        <v>0.14000000000000001</v>
      </c>
      <c r="M940" s="9">
        <v>6.2100000000000002E-2</v>
      </c>
      <c r="N940" s="15">
        <v>5</v>
      </c>
      <c r="O940" t="s">
        <v>27</v>
      </c>
      <c r="P940" t="s">
        <v>28</v>
      </c>
      <c r="Q940" s="24">
        <v>0.35</v>
      </c>
      <c r="R940" s="5">
        <f t="shared" si="84"/>
        <v>788.74849315068491</v>
      </c>
      <c r="S940" s="5">
        <f t="shared" si="85"/>
        <v>29.155524657534247</v>
      </c>
      <c r="T940" s="5">
        <f t="shared" si="86"/>
        <v>759.59296849315069</v>
      </c>
      <c r="U940" s="15">
        <f t="shared" si="87"/>
        <v>55</v>
      </c>
      <c r="V940" s="3">
        <f t="shared" si="88"/>
        <v>934.45334500000001</v>
      </c>
      <c r="W940" s="3">
        <f t="shared" si="89"/>
        <v>939</v>
      </c>
    </row>
    <row r="941" spans="1:23" x14ac:dyDescent="0.2">
      <c r="A941" t="s">
        <v>434</v>
      </c>
      <c r="B941" t="s">
        <v>335</v>
      </c>
      <c r="C941" t="s">
        <v>31</v>
      </c>
      <c r="D941" t="s">
        <v>66</v>
      </c>
      <c r="E941" t="s">
        <v>49</v>
      </c>
      <c r="F941" s="7">
        <v>303851</v>
      </c>
      <c r="G941" t="s">
        <v>1518</v>
      </c>
      <c r="H941" s="5">
        <v>41300</v>
      </c>
      <c r="I941" s="12">
        <v>46070</v>
      </c>
      <c r="J941" s="15">
        <v>90</v>
      </c>
      <c r="K941" s="15">
        <v>10</v>
      </c>
      <c r="L941" s="9">
        <v>0.17499999999999999</v>
      </c>
      <c r="M941" s="9">
        <v>6.2E-2</v>
      </c>
      <c r="N941" s="15">
        <v>7</v>
      </c>
      <c r="O941" t="s">
        <v>27</v>
      </c>
      <c r="P941" t="s">
        <v>28</v>
      </c>
      <c r="Q941" s="24">
        <v>0.2</v>
      </c>
      <c r="R941" s="5">
        <f t="shared" si="84"/>
        <v>1782.1232876712324</v>
      </c>
      <c r="S941" s="5">
        <f t="shared" si="85"/>
        <v>49.10739726027397</v>
      </c>
      <c r="T941" s="5">
        <f t="shared" si="86"/>
        <v>1733.0158904109585</v>
      </c>
      <c r="U941" s="15">
        <f t="shared" si="87"/>
        <v>83</v>
      </c>
      <c r="V941" s="3">
        <f t="shared" si="88"/>
        <v>933.38</v>
      </c>
      <c r="W941" s="3">
        <f t="shared" si="89"/>
        <v>940</v>
      </c>
    </row>
    <row r="942" spans="1:23" x14ac:dyDescent="0.2">
      <c r="A942" t="s">
        <v>358</v>
      </c>
      <c r="B942" t="s">
        <v>164</v>
      </c>
      <c r="C942" t="s">
        <v>77</v>
      </c>
      <c r="D942" t="s">
        <v>48</v>
      </c>
      <c r="E942" t="s">
        <v>56</v>
      </c>
      <c r="F942" s="7">
        <v>11944379</v>
      </c>
      <c r="G942" t="s">
        <v>715</v>
      </c>
      <c r="H942" s="5">
        <v>41067</v>
      </c>
      <c r="I942" s="12">
        <v>45924</v>
      </c>
      <c r="J942" s="15">
        <v>60</v>
      </c>
      <c r="K942" s="15">
        <v>7</v>
      </c>
      <c r="L942" s="9">
        <v>7.0999999999999994E-2</v>
      </c>
      <c r="M942" s="9">
        <v>4.58E-2</v>
      </c>
      <c r="N942" s="15">
        <v>8</v>
      </c>
      <c r="O942" t="s">
        <v>27</v>
      </c>
      <c r="P942" t="s">
        <v>28</v>
      </c>
      <c r="Q942" s="24">
        <v>0.9</v>
      </c>
      <c r="R942" s="5">
        <f t="shared" si="84"/>
        <v>479.30252054794511</v>
      </c>
      <c r="S942" s="5">
        <f t="shared" si="85"/>
        <v>41.22451726027397</v>
      </c>
      <c r="T942" s="5">
        <f t="shared" si="86"/>
        <v>438.07800328767115</v>
      </c>
      <c r="U942" s="15">
        <f t="shared" si="87"/>
        <v>52</v>
      </c>
      <c r="V942" s="3">
        <f t="shared" si="88"/>
        <v>931.39955999999984</v>
      </c>
      <c r="W942" s="3">
        <f t="shared" si="89"/>
        <v>941</v>
      </c>
    </row>
    <row r="943" spans="1:23" x14ac:dyDescent="0.2">
      <c r="A943" t="s">
        <v>226</v>
      </c>
      <c r="B943" t="s">
        <v>59</v>
      </c>
      <c r="C943" t="s">
        <v>77</v>
      </c>
      <c r="D943" t="s">
        <v>66</v>
      </c>
      <c r="E943" t="s">
        <v>25</v>
      </c>
      <c r="F943" s="7">
        <v>3501061</v>
      </c>
      <c r="G943" t="s">
        <v>1088</v>
      </c>
      <c r="H943" s="5">
        <v>24597</v>
      </c>
      <c r="I943" s="12">
        <v>45965</v>
      </c>
      <c r="J943" s="15">
        <v>60</v>
      </c>
      <c r="K943" s="15">
        <v>7</v>
      </c>
      <c r="L943" s="9">
        <v>9.6299999999999997E-2</v>
      </c>
      <c r="M943" s="9">
        <v>4.9000000000000002E-2</v>
      </c>
      <c r="N943" s="15">
        <v>8</v>
      </c>
      <c r="O943" t="s">
        <v>27</v>
      </c>
      <c r="P943" t="s">
        <v>28</v>
      </c>
      <c r="Q943" s="24">
        <v>0.8</v>
      </c>
      <c r="R943" s="5">
        <f t="shared" si="84"/>
        <v>389.37387945205478</v>
      </c>
      <c r="S943" s="5">
        <f t="shared" si="85"/>
        <v>26.416504109589045</v>
      </c>
      <c r="T943" s="5">
        <f t="shared" si="86"/>
        <v>362.95737534246575</v>
      </c>
      <c r="U943" s="15">
        <f t="shared" si="87"/>
        <v>52</v>
      </c>
      <c r="V943" s="3">
        <f t="shared" si="88"/>
        <v>930.75047999999992</v>
      </c>
      <c r="W943" s="3">
        <f t="shared" si="89"/>
        <v>942</v>
      </c>
    </row>
    <row r="944" spans="1:23" x14ac:dyDescent="0.2">
      <c r="A944" t="s">
        <v>230</v>
      </c>
      <c r="B944" t="s">
        <v>231</v>
      </c>
      <c r="C944" t="s">
        <v>31</v>
      </c>
      <c r="D944" t="s">
        <v>37</v>
      </c>
      <c r="E944" t="s">
        <v>25</v>
      </c>
      <c r="F944" s="7">
        <v>6782855</v>
      </c>
      <c r="G944" t="s">
        <v>232</v>
      </c>
      <c r="H944" s="5">
        <v>17811</v>
      </c>
      <c r="I944" s="12">
        <v>45903</v>
      </c>
      <c r="J944" s="15">
        <v>60</v>
      </c>
      <c r="K944" s="15">
        <v>4</v>
      </c>
      <c r="L944" s="9">
        <v>0.1188</v>
      </c>
      <c r="M944" s="9">
        <v>6.13E-2</v>
      </c>
      <c r="N944" s="15">
        <v>6</v>
      </c>
      <c r="O944" t="s">
        <v>27</v>
      </c>
      <c r="P944" t="s">
        <v>28</v>
      </c>
      <c r="Q944" s="24">
        <v>0.9</v>
      </c>
      <c r="R944" s="5">
        <f t="shared" si="84"/>
        <v>347.82687123287673</v>
      </c>
      <c r="S944" s="5">
        <f t="shared" si="85"/>
        <v>17.947632328767121</v>
      </c>
      <c r="T944" s="5">
        <f t="shared" si="86"/>
        <v>329.87923890410963</v>
      </c>
      <c r="U944" s="15">
        <f t="shared" si="87"/>
        <v>54</v>
      </c>
      <c r="V944" s="3">
        <f t="shared" si="88"/>
        <v>921.7192500000001</v>
      </c>
      <c r="W944" s="3">
        <f t="shared" si="89"/>
        <v>943</v>
      </c>
    </row>
    <row r="945" spans="1:23" x14ac:dyDescent="0.2">
      <c r="A945" t="s">
        <v>438</v>
      </c>
      <c r="B945" t="s">
        <v>439</v>
      </c>
      <c r="C945" t="s">
        <v>41</v>
      </c>
      <c r="D945" t="s">
        <v>48</v>
      </c>
      <c r="E945" t="s">
        <v>25</v>
      </c>
      <c r="F945" s="7">
        <v>2438415</v>
      </c>
      <c r="G945" t="s">
        <v>1224</v>
      </c>
      <c r="H945" s="5">
        <v>32811</v>
      </c>
      <c r="I945" s="12">
        <v>45661</v>
      </c>
      <c r="J945" s="15">
        <v>60</v>
      </c>
      <c r="K945" s="15">
        <v>4</v>
      </c>
      <c r="L945" s="9">
        <v>0.13650000000000001</v>
      </c>
      <c r="M945" s="9">
        <v>5.67E-2</v>
      </c>
      <c r="N945" s="15">
        <v>10</v>
      </c>
      <c r="O945" t="s">
        <v>27</v>
      </c>
      <c r="P945" t="s">
        <v>28</v>
      </c>
      <c r="Q945" s="24">
        <v>0.35</v>
      </c>
      <c r="R945" s="5">
        <f t="shared" si="84"/>
        <v>736.22490410958903</v>
      </c>
      <c r="S945" s="5">
        <f t="shared" si="85"/>
        <v>50.969416438356163</v>
      </c>
      <c r="T945" s="5">
        <f t="shared" si="86"/>
        <v>685.25548767123291</v>
      </c>
      <c r="U945" s="15">
        <f t="shared" si="87"/>
        <v>50</v>
      </c>
      <c r="V945" s="3">
        <f t="shared" si="88"/>
        <v>916.41123000000005</v>
      </c>
      <c r="W945" s="3">
        <f t="shared" si="89"/>
        <v>944</v>
      </c>
    </row>
    <row r="946" spans="1:23" x14ac:dyDescent="0.2">
      <c r="A946" t="s">
        <v>474</v>
      </c>
      <c r="B946" t="s">
        <v>207</v>
      </c>
      <c r="C946" t="s">
        <v>31</v>
      </c>
      <c r="D946" t="s">
        <v>37</v>
      </c>
      <c r="E946" t="s">
        <v>25</v>
      </c>
      <c r="F946" s="7">
        <v>4395110</v>
      </c>
      <c r="G946" t="s">
        <v>997</v>
      </c>
      <c r="H946" s="5">
        <v>48885</v>
      </c>
      <c r="I946" s="12">
        <v>45754</v>
      </c>
      <c r="J946" s="15">
        <v>60</v>
      </c>
      <c r="K946" s="15">
        <v>5</v>
      </c>
      <c r="L946" s="9">
        <v>0.1066</v>
      </c>
      <c r="M946" s="9">
        <v>5.3199999999999997E-2</v>
      </c>
      <c r="N946" s="15">
        <v>6</v>
      </c>
      <c r="O946" t="s">
        <v>28</v>
      </c>
      <c r="P946" t="s">
        <v>28</v>
      </c>
      <c r="Q946" s="24">
        <v>0.35</v>
      </c>
      <c r="R946" s="5">
        <f t="shared" si="84"/>
        <v>856.62591780821901</v>
      </c>
      <c r="S946" s="5">
        <f t="shared" si="85"/>
        <v>42.750936986301362</v>
      </c>
      <c r="T946" s="5">
        <f t="shared" si="86"/>
        <v>813.87498082191769</v>
      </c>
      <c r="U946" s="15">
        <f t="shared" si="87"/>
        <v>54</v>
      </c>
      <c r="V946" s="3">
        <f t="shared" si="88"/>
        <v>913.66064999999992</v>
      </c>
      <c r="W946" s="3">
        <f t="shared" si="89"/>
        <v>945</v>
      </c>
    </row>
    <row r="947" spans="1:23" x14ac:dyDescent="0.2">
      <c r="A947" t="s">
        <v>411</v>
      </c>
      <c r="B947" t="s">
        <v>412</v>
      </c>
      <c r="C947" t="s">
        <v>31</v>
      </c>
      <c r="D947" t="s">
        <v>66</v>
      </c>
      <c r="E947" t="s">
        <v>25</v>
      </c>
      <c r="F947" s="7">
        <v>2416616</v>
      </c>
      <c r="G947" t="s">
        <v>1241</v>
      </c>
      <c r="H947" s="5">
        <v>83002</v>
      </c>
      <c r="I947" s="12">
        <v>45863</v>
      </c>
      <c r="J947" s="15">
        <v>60</v>
      </c>
      <c r="K947" s="15">
        <v>5</v>
      </c>
      <c r="L947" s="9">
        <v>0.1024</v>
      </c>
      <c r="M947" s="9">
        <v>4.7399999999999998E-2</v>
      </c>
      <c r="N947" s="15">
        <v>6</v>
      </c>
      <c r="O947" t="s">
        <v>28</v>
      </c>
      <c r="P947" t="s">
        <v>28</v>
      </c>
      <c r="Q947" s="24">
        <v>0.2</v>
      </c>
      <c r="R947" s="5">
        <f t="shared" si="84"/>
        <v>1397.1624328767123</v>
      </c>
      <c r="S947" s="5">
        <f t="shared" si="85"/>
        <v>64.673339178082173</v>
      </c>
      <c r="T947" s="5">
        <f t="shared" si="86"/>
        <v>1332.4890936986301</v>
      </c>
      <c r="U947" s="15">
        <f t="shared" si="87"/>
        <v>54</v>
      </c>
      <c r="V947" s="3">
        <f t="shared" si="88"/>
        <v>913.02200000000028</v>
      </c>
      <c r="W947" s="3">
        <f t="shared" si="89"/>
        <v>946</v>
      </c>
    </row>
    <row r="948" spans="1:23" x14ac:dyDescent="0.2">
      <c r="A948" t="s">
        <v>179</v>
      </c>
      <c r="B948" t="s">
        <v>180</v>
      </c>
      <c r="C948" t="s">
        <v>36</v>
      </c>
      <c r="D948" t="s">
        <v>48</v>
      </c>
      <c r="E948" t="s">
        <v>25</v>
      </c>
      <c r="F948" s="7">
        <v>6074867</v>
      </c>
      <c r="G948" t="s">
        <v>710</v>
      </c>
      <c r="H948" s="5">
        <v>35425</v>
      </c>
      <c r="I948" s="12">
        <v>46034</v>
      </c>
      <c r="J948" s="15">
        <v>60</v>
      </c>
      <c r="K948" s="15">
        <v>7</v>
      </c>
      <c r="L948" s="9">
        <v>9.4299999999999995E-2</v>
      </c>
      <c r="M948" s="9">
        <v>5.4699999999999999E-2</v>
      </c>
      <c r="N948" s="15">
        <v>7</v>
      </c>
      <c r="O948" t="s">
        <v>27</v>
      </c>
      <c r="P948" t="s">
        <v>28</v>
      </c>
      <c r="Q948" s="24">
        <v>0.65</v>
      </c>
      <c r="R948" s="5">
        <f t="shared" si="84"/>
        <v>549.13602739726025</v>
      </c>
      <c r="S948" s="5">
        <f t="shared" si="85"/>
        <v>37.162280821917811</v>
      </c>
      <c r="T948" s="5">
        <f t="shared" si="86"/>
        <v>511.97374657534243</v>
      </c>
      <c r="U948" s="15">
        <f t="shared" si="87"/>
        <v>53</v>
      </c>
      <c r="V948" s="3">
        <f t="shared" si="88"/>
        <v>911.83949999999993</v>
      </c>
      <c r="W948" s="3">
        <f t="shared" si="89"/>
        <v>947</v>
      </c>
    </row>
    <row r="949" spans="1:23" x14ac:dyDescent="0.2">
      <c r="A949" t="s">
        <v>358</v>
      </c>
      <c r="B949" t="s">
        <v>164</v>
      </c>
      <c r="C949" t="s">
        <v>77</v>
      </c>
      <c r="D949" t="s">
        <v>48</v>
      </c>
      <c r="E949" t="s">
        <v>56</v>
      </c>
      <c r="F949" s="7">
        <v>11944379</v>
      </c>
      <c r="G949" t="s">
        <v>1359</v>
      </c>
      <c r="H949" s="5">
        <v>74154</v>
      </c>
      <c r="I949" s="12">
        <v>46022</v>
      </c>
      <c r="J949" s="15">
        <v>90</v>
      </c>
      <c r="K949" s="15">
        <v>3</v>
      </c>
      <c r="L949" s="9">
        <v>7.0999999999999994E-2</v>
      </c>
      <c r="M949" s="9">
        <v>5.57E-2</v>
      </c>
      <c r="N949" s="15">
        <v>6</v>
      </c>
      <c r="O949" t="s">
        <v>28</v>
      </c>
      <c r="P949" t="s">
        <v>28</v>
      </c>
      <c r="Q949" s="24">
        <v>0.8</v>
      </c>
      <c r="R949" s="5">
        <f t="shared" si="84"/>
        <v>1298.2029041095889</v>
      </c>
      <c r="S949" s="5">
        <f t="shared" si="85"/>
        <v>67.896621369863013</v>
      </c>
      <c r="T949" s="5">
        <f t="shared" si="86"/>
        <v>1230.3062827397259</v>
      </c>
      <c r="U949" s="15">
        <f t="shared" si="87"/>
        <v>84</v>
      </c>
      <c r="V949" s="3">
        <f t="shared" si="88"/>
        <v>907.64495999999963</v>
      </c>
      <c r="W949" s="3">
        <f t="shared" si="89"/>
        <v>948</v>
      </c>
    </row>
    <row r="950" spans="1:23" x14ac:dyDescent="0.2">
      <c r="A950" t="s">
        <v>491</v>
      </c>
      <c r="B950" t="s">
        <v>131</v>
      </c>
      <c r="C950" t="s">
        <v>31</v>
      </c>
      <c r="D950" t="s">
        <v>32</v>
      </c>
      <c r="E950" t="s">
        <v>56</v>
      </c>
      <c r="F950" s="7">
        <v>21735545</v>
      </c>
      <c r="G950" t="s">
        <v>492</v>
      </c>
      <c r="H950" s="5">
        <v>64163</v>
      </c>
      <c r="I950" s="12">
        <v>45932</v>
      </c>
      <c r="J950" s="15">
        <v>60</v>
      </c>
      <c r="K950" s="15">
        <v>10</v>
      </c>
      <c r="L950" s="9">
        <v>7.4999999999999997E-2</v>
      </c>
      <c r="M950" s="9">
        <v>5.9299999999999999E-2</v>
      </c>
      <c r="N950" s="15">
        <v>8</v>
      </c>
      <c r="O950" t="s">
        <v>27</v>
      </c>
      <c r="P950" t="s">
        <v>28</v>
      </c>
      <c r="Q950" s="24">
        <v>0.9</v>
      </c>
      <c r="R950" s="5">
        <f t="shared" si="84"/>
        <v>791.05068493150668</v>
      </c>
      <c r="S950" s="5">
        <f t="shared" si="85"/>
        <v>83.394321095890405</v>
      </c>
      <c r="T950" s="5">
        <f t="shared" si="86"/>
        <v>707.65636383561628</v>
      </c>
      <c r="U950" s="15">
        <f t="shared" si="87"/>
        <v>52</v>
      </c>
      <c r="V950" s="3">
        <f t="shared" si="88"/>
        <v>906.62318999999991</v>
      </c>
      <c r="W950" s="3">
        <f t="shared" si="89"/>
        <v>949</v>
      </c>
    </row>
    <row r="951" spans="1:23" x14ac:dyDescent="0.2">
      <c r="A951" t="s">
        <v>54</v>
      </c>
      <c r="B951" t="s">
        <v>55</v>
      </c>
      <c r="C951" t="s">
        <v>31</v>
      </c>
      <c r="D951" t="s">
        <v>24</v>
      </c>
      <c r="E951" t="s">
        <v>56</v>
      </c>
      <c r="F951" s="7">
        <v>15261617</v>
      </c>
      <c r="G951" t="s">
        <v>1485</v>
      </c>
      <c r="H951" s="5">
        <v>27509</v>
      </c>
      <c r="I951" s="12">
        <v>45828</v>
      </c>
      <c r="J951" s="15">
        <v>90</v>
      </c>
      <c r="K951" s="15">
        <v>2</v>
      </c>
      <c r="L951" s="9">
        <v>9.3200000000000005E-2</v>
      </c>
      <c r="M951" s="9">
        <v>5.21E-2</v>
      </c>
      <c r="N951" s="15">
        <v>6</v>
      </c>
      <c r="O951" t="s">
        <v>28</v>
      </c>
      <c r="P951" t="s">
        <v>28</v>
      </c>
      <c r="Q951" s="24">
        <v>0.8</v>
      </c>
      <c r="R951" s="5">
        <f t="shared" si="84"/>
        <v>632.1794301369863</v>
      </c>
      <c r="S951" s="5">
        <f t="shared" si="85"/>
        <v>23.559762739726025</v>
      </c>
      <c r="T951" s="5">
        <f t="shared" si="86"/>
        <v>608.61966739726029</v>
      </c>
      <c r="U951" s="15">
        <f t="shared" si="87"/>
        <v>84</v>
      </c>
      <c r="V951" s="3">
        <f t="shared" si="88"/>
        <v>904.49592000000018</v>
      </c>
      <c r="W951" s="3">
        <f t="shared" si="89"/>
        <v>950</v>
      </c>
    </row>
    <row r="952" spans="1:23" x14ac:dyDescent="0.2">
      <c r="A952" t="s">
        <v>68</v>
      </c>
      <c r="B952" t="s">
        <v>69</v>
      </c>
      <c r="C952" t="s">
        <v>36</v>
      </c>
      <c r="D952" t="s">
        <v>37</v>
      </c>
      <c r="E952" t="s">
        <v>25</v>
      </c>
      <c r="F952" s="7">
        <v>3469396</v>
      </c>
      <c r="G952" t="s">
        <v>331</v>
      </c>
      <c r="H952" s="5">
        <v>26764</v>
      </c>
      <c r="I952" s="12">
        <v>46062</v>
      </c>
      <c r="J952" s="15">
        <v>60</v>
      </c>
      <c r="K952" s="15">
        <v>10</v>
      </c>
      <c r="L952" s="9">
        <v>0.1216</v>
      </c>
      <c r="M952" s="9">
        <v>5.4199999999999998E-2</v>
      </c>
      <c r="N952" s="15">
        <v>7</v>
      </c>
      <c r="O952" t="s">
        <v>27</v>
      </c>
      <c r="P952" t="s">
        <v>28</v>
      </c>
      <c r="Q952" s="24">
        <v>0.5</v>
      </c>
      <c r="R952" s="5">
        <f t="shared" si="84"/>
        <v>534.98669589041094</v>
      </c>
      <c r="S952" s="5">
        <f t="shared" si="85"/>
        <v>27.81989479452055</v>
      </c>
      <c r="T952" s="5">
        <f t="shared" si="86"/>
        <v>507.16680109589038</v>
      </c>
      <c r="U952" s="15">
        <f t="shared" si="87"/>
        <v>53</v>
      </c>
      <c r="V952" s="3">
        <f t="shared" si="88"/>
        <v>901.94680000000005</v>
      </c>
      <c r="W952" s="3">
        <f t="shared" si="89"/>
        <v>951</v>
      </c>
    </row>
    <row r="953" spans="1:23" x14ac:dyDescent="0.2">
      <c r="A953" t="s">
        <v>79</v>
      </c>
      <c r="B953" t="s">
        <v>80</v>
      </c>
      <c r="C953" t="s">
        <v>31</v>
      </c>
      <c r="D953" t="s">
        <v>32</v>
      </c>
      <c r="E953" t="s">
        <v>25</v>
      </c>
      <c r="F953" s="7">
        <v>1969242</v>
      </c>
      <c r="G953" t="s">
        <v>1040</v>
      </c>
      <c r="H953" s="5">
        <v>26884</v>
      </c>
      <c r="I953" s="12">
        <v>45874</v>
      </c>
      <c r="J953" s="15">
        <v>45</v>
      </c>
      <c r="K953" s="15">
        <v>2</v>
      </c>
      <c r="L953" s="9">
        <v>0.10150000000000001</v>
      </c>
      <c r="M953" s="9">
        <v>4.99E-2</v>
      </c>
      <c r="N953" s="15">
        <v>7</v>
      </c>
      <c r="O953" t="s">
        <v>27</v>
      </c>
      <c r="P953" t="s">
        <v>28</v>
      </c>
      <c r="Q953" s="24">
        <v>0.65</v>
      </c>
      <c r="R953" s="5">
        <f t="shared" si="84"/>
        <v>336.41827397260272</v>
      </c>
      <c r="S953" s="5">
        <f t="shared" si="85"/>
        <v>25.727619726027399</v>
      </c>
      <c r="T953" s="5">
        <f t="shared" si="86"/>
        <v>310.69065424657532</v>
      </c>
      <c r="U953" s="15">
        <f t="shared" si="87"/>
        <v>38</v>
      </c>
      <c r="V953" s="3">
        <f t="shared" si="88"/>
        <v>901.68936000000019</v>
      </c>
      <c r="W953" s="3">
        <f t="shared" si="89"/>
        <v>952</v>
      </c>
    </row>
    <row r="954" spans="1:23" x14ac:dyDescent="0.2">
      <c r="A954" t="s">
        <v>46</v>
      </c>
      <c r="B954" t="s">
        <v>47</v>
      </c>
      <c r="C954" t="s">
        <v>23</v>
      </c>
      <c r="D954" t="s">
        <v>48</v>
      </c>
      <c r="E954" t="s">
        <v>49</v>
      </c>
      <c r="F954" s="7">
        <v>372648</v>
      </c>
      <c r="G954" t="s">
        <v>50</v>
      </c>
      <c r="H954" s="5">
        <v>17167</v>
      </c>
      <c r="I954" s="12">
        <v>45825</v>
      </c>
      <c r="J954" s="15">
        <v>60</v>
      </c>
      <c r="K954" s="15">
        <v>5</v>
      </c>
      <c r="L954" s="9">
        <v>0.15049999999999999</v>
      </c>
      <c r="M954" s="9">
        <v>4.5699999999999998E-2</v>
      </c>
      <c r="N954" s="15">
        <v>7</v>
      </c>
      <c r="O954" t="s">
        <v>27</v>
      </c>
      <c r="P954" t="s">
        <v>28</v>
      </c>
      <c r="Q954" s="24">
        <v>0.5</v>
      </c>
      <c r="R954" s="5">
        <f t="shared" si="84"/>
        <v>424.70687671232872</v>
      </c>
      <c r="S954" s="5">
        <f t="shared" si="85"/>
        <v>15.045817260273973</v>
      </c>
      <c r="T954" s="5">
        <f t="shared" si="86"/>
        <v>409.66105945205476</v>
      </c>
      <c r="U954" s="15">
        <f t="shared" si="87"/>
        <v>53</v>
      </c>
      <c r="V954" s="3">
        <f t="shared" si="88"/>
        <v>899.55079999999998</v>
      </c>
      <c r="W954" s="3">
        <f t="shared" si="89"/>
        <v>953</v>
      </c>
    </row>
    <row r="955" spans="1:23" x14ac:dyDescent="0.2">
      <c r="A955" t="s">
        <v>115</v>
      </c>
      <c r="B955" t="s">
        <v>80</v>
      </c>
      <c r="C955" t="s">
        <v>36</v>
      </c>
      <c r="D955" t="s">
        <v>24</v>
      </c>
      <c r="E955" t="s">
        <v>49</v>
      </c>
      <c r="F955" s="7">
        <v>373467</v>
      </c>
      <c r="G955" t="s">
        <v>116</v>
      </c>
      <c r="H955" s="5">
        <v>29054</v>
      </c>
      <c r="I955" s="12">
        <v>45998</v>
      </c>
      <c r="J955" s="15">
        <v>60</v>
      </c>
      <c r="K955" s="15">
        <v>7</v>
      </c>
      <c r="L955" s="9">
        <v>0.126</v>
      </c>
      <c r="M955" s="9">
        <v>6.4100000000000004E-2</v>
      </c>
      <c r="N955" s="15">
        <v>10</v>
      </c>
      <c r="O955" t="s">
        <v>27</v>
      </c>
      <c r="P955" t="s">
        <v>28</v>
      </c>
      <c r="Q955" s="24">
        <v>0.5</v>
      </c>
      <c r="R955" s="5">
        <f t="shared" si="84"/>
        <v>601.77599999999995</v>
      </c>
      <c r="S955" s="5">
        <f t="shared" si="85"/>
        <v>51.023600000000002</v>
      </c>
      <c r="T955" s="5">
        <f t="shared" si="86"/>
        <v>550.75239999999997</v>
      </c>
      <c r="U955" s="15">
        <f t="shared" si="87"/>
        <v>50</v>
      </c>
      <c r="V955" s="3">
        <f t="shared" si="88"/>
        <v>899.22129999999993</v>
      </c>
      <c r="W955" s="3">
        <f t="shared" si="89"/>
        <v>954</v>
      </c>
    </row>
    <row r="956" spans="1:23" x14ac:dyDescent="0.2">
      <c r="A956" t="s">
        <v>94</v>
      </c>
      <c r="B956" t="s">
        <v>95</v>
      </c>
      <c r="C956" t="s">
        <v>41</v>
      </c>
      <c r="D956" t="s">
        <v>66</v>
      </c>
      <c r="E956" t="s">
        <v>25</v>
      </c>
      <c r="F956" s="7">
        <v>2406772</v>
      </c>
      <c r="G956" t="s">
        <v>216</v>
      </c>
      <c r="H956" s="5">
        <v>83932</v>
      </c>
      <c r="I956" s="12">
        <v>45682</v>
      </c>
      <c r="J956" s="15">
        <v>90</v>
      </c>
      <c r="K956" s="15">
        <v>7</v>
      </c>
      <c r="L956" s="9">
        <v>0.1091</v>
      </c>
      <c r="M956" s="9">
        <v>5.5599999999999997E-2</v>
      </c>
      <c r="N956" s="15">
        <v>5</v>
      </c>
      <c r="O956" t="s">
        <v>27</v>
      </c>
      <c r="P956" t="s">
        <v>28</v>
      </c>
      <c r="Q956" s="24">
        <v>0.2</v>
      </c>
      <c r="R956" s="5">
        <f t="shared" si="84"/>
        <v>2257.8857753424659</v>
      </c>
      <c r="S956" s="5">
        <f t="shared" si="85"/>
        <v>63.926290410958899</v>
      </c>
      <c r="T956" s="5">
        <f t="shared" si="86"/>
        <v>2193.9594849315072</v>
      </c>
      <c r="U956" s="15">
        <f t="shared" si="87"/>
        <v>85</v>
      </c>
      <c r="V956" s="3">
        <f t="shared" si="88"/>
        <v>898.07240000000013</v>
      </c>
      <c r="W956" s="3">
        <f t="shared" si="89"/>
        <v>955</v>
      </c>
    </row>
    <row r="957" spans="1:23" x14ac:dyDescent="0.2">
      <c r="A957" t="s">
        <v>163</v>
      </c>
      <c r="B957" t="s">
        <v>164</v>
      </c>
      <c r="C957" t="s">
        <v>77</v>
      </c>
      <c r="D957" t="s">
        <v>66</v>
      </c>
      <c r="E957" t="s">
        <v>25</v>
      </c>
      <c r="F957" s="7">
        <v>4709015</v>
      </c>
      <c r="G957" t="s">
        <v>395</v>
      </c>
      <c r="H957" s="5">
        <v>22566</v>
      </c>
      <c r="I957" s="12">
        <v>45686</v>
      </c>
      <c r="J957" s="15">
        <v>60</v>
      </c>
      <c r="K957" s="15">
        <v>10</v>
      </c>
      <c r="L957" s="9">
        <v>0.121</v>
      </c>
      <c r="M957" s="9">
        <v>6.0199999999999997E-2</v>
      </c>
      <c r="N957" s="15">
        <v>5</v>
      </c>
      <c r="O957" t="s">
        <v>27</v>
      </c>
      <c r="P957" t="s">
        <v>28</v>
      </c>
      <c r="Q957" s="24">
        <v>0.65</v>
      </c>
      <c r="R957" s="5">
        <f t="shared" si="84"/>
        <v>448.84701369863006</v>
      </c>
      <c r="S957" s="5">
        <f t="shared" si="85"/>
        <v>18.609221917808217</v>
      </c>
      <c r="T957" s="5">
        <f t="shared" si="86"/>
        <v>430.23779178082185</v>
      </c>
      <c r="U957" s="15">
        <f t="shared" si="87"/>
        <v>55</v>
      </c>
      <c r="V957" s="3">
        <f t="shared" si="88"/>
        <v>891.80831999999998</v>
      </c>
      <c r="W957" s="3">
        <f t="shared" si="89"/>
        <v>956</v>
      </c>
    </row>
    <row r="958" spans="1:23" x14ac:dyDescent="0.2">
      <c r="A958" t="s">
        <v>34</v>
      </c>
      <c r="B958" t="s">
        <v>35</v>
      </c>
      <c r="C958" t="s">
        <v>36</v>
      </c>
      <c r="D958" t="s">
        <v>37</v>
      </c>
      <c r="E958" t="s">
        <v>25</v>
      </c>
      <c r="F958" s="7">
        <v>3714458</v>
      </c>
      <c r="G958" t="s">
        <v>1094</v>
      </c>
      <c r="H958" s="5">
        <v>77987</v>
      </c>
      <c r="I958" s="12">
        <v>45700</v>
      </c>
      <c r="J958" s="15">
        <v>30</v>
      </c>
      <c r="K958" s="15">
        <v>10</v>
      </c>
      <c r="L958" s="9">
        <v>0.1153</v>
      </c>
      <c r="M958" s="9">
        <v>5.8200000000000002E-2</v>
      </c>
      <c r="N958" s="15">
        <v>6</v>
      </c>
      <c r="O958" t="s">
        <v>27</v>
      </c>
      <c r="P958" t="s">
        <v>28</v>
      </c>
      <c r="Q958" s="24">
        <v>0.2</v>
      </c>
      <c r="R958" s="5">
        <f t="shared" si="84"/>
        <v>739.06036438356148</v>
      </c>
      <c r="S958" s="5">
        <f t="shared" si="85"/>
        <v>74.611124383561631</v>
      </c>
      <c r="T958" s="5">
        <f t="shared" si="86"/>
        <v>664.4492399999998</v>
      </c>
      <c r="U958" s="15">
        <f t="shared" si="87"/>
        <v>24</v>
      </c>
      <c r="V958" s="3">
        <f t="shared" si="88"/>
        <v>890.61153999999999</v>
      </c>
      <c r="W958" s="3">
        <f t="shared" si="89"/>
        <v>957</v>
      </c>
    </row>
    <row r="959" spans="1:23" x14ac:dyDescent="0.2">
      <c r="A959" t="s">
        <v>407</v>
      </c>
      <c r="B959" t="s">
        <v>218</v>
      </c>
      <c r="C959" t="s">
        <v>41</v>
      </c>
      <c r="D959" t="s">
        <v>32</v>
      </c>
      <c r="E959" t="s">
        <v>25</v>
      </c>
      <c r="F959" s="7">
        <v>1514188</v>
      </c>
      <c r="G959" t="s">
        <v>1362</v>
      </c>
      <c r="H959" s="5">
        <v>17956</v>
      </c>
      <c r="I959" s="12">
        <v>45930</v>
      </c>
      <c r="J959" s="15">
        <v>90</v>
      </c>
      <c r="K959" s="15">
        <v>2</v>
      </c>
      <c r="L959" s="9">
        <v>0.11600000000000001</v>
      </c>
      <c r="M959" s="9">
        <v>6.0900000000000003E-2</v>
      </c>
      <c r="N959" s="15">
        <v>6</v>
      </c>
      <c r="O959" t="s">
        <v>27</v>
      </c>
      <c r="P959" t="s">
        <v>28</v>
      </c>
      <c r="Q959" s="24">
        <v>0.9</v>
      </c>
      <c r="R959" s="5">
        <f t="shared" si="84"/>
        <v>513.590794520548</v>
      </c>
      <c r="S959" s="5">
        <f t="shared" si="85"/>
        <v>17.975677808219178</v>
      </c>
      <c r="T959" s="5">
        <f t="shared" si="86"/>
        <v>495.61511671232881</v>
      </c>
      <c r="U959" s="15">
        <f t="shared" si="87"/>
        <v>84</v>
      </c>
      <c r="V959" s="3">
        <f t="shared" si="88"/>
        <v>890.43804</v>
      </c>
      <c r="W959" s="3">
        <f t="shared" si="89"/>
        <v>958</v>
      </c>
    </row>
    <row r="960" spans="1:23" x14ac:dyDescent="0.2">
      <c r="A960" t="s">
        <v>494</v>
      </c>
      <c r="B960" t="s">
        <v>495</v>
      </c>
      <c r="C960" t="s">
        <v>41</v>
      </c>
      <c r="D960" t="s">
        <v>48</v>
      </c>
      <c r="E960" t="s">
        <v>25</v>
      </c>
      <c r="F960" s="7">
        <v>6247349</v>
      </c>
      <c r="G960" t="s">
        <v>1487</v>
      </c>
      <c r="H960" s="5">
        <v>64781</v>
      </c>
      <c r="I960" s="12">
        <v>45988</v>
      </c>
      <c r="J960" s="15">
        <v>45</v>
      </c>
      <c r="K960" s="15">
        <v>4</v>
      </c>
      <c r="L960" s="9">
        <v>0.1241</v>
      </c>
      <c r="M960" s="9">
        <v>5.5599999999999997E-2</v>
      </c>
      <c r="N960" s="15">
        <v>8</v>
      </c>
      <c r="O960" t="s">
        <v>27</v>
      </c>
      <c r="P960" t="s">
        <v>28</v>
      </c>
      <c r="Q960" s="24">
        <v>0.2</v>
      </c>
      <c r="R960" s="5">
        <f t="shared" si="84"/>
        <v>991.14930000000004</v>
      </c>
      <c r="S960" s="5">
        <f t="shared" si="85"/>
        <v>78.944078904109588</v>
      </c>
      <c r="T960" s="5">
        <f t="shared" si="86"/>
        <v>912.20522109589047</v>
      </c>
      <c r="U960" s="15">
        <f t="shared" si="87"/>
        <v>37</v>
      </c>
      <c r="V960" s="3">
        <f t="shared" si="88"/>
        <v>887.49970000000019</v>
      </c>
      <c r="W960" s="3">
        <f t="shared" si="89"/>
        <v>959</v>
      </c>
    </row>
    <row r="961" spans="1:23" x14ac:dyDescent="0.2">
      <c r="A961" t="s">
        <v>177</v>
      </c>
      <c r="B961" t="s">
        <v>121</v>
      </c>
      <c r="C961" t="s">
        <v>36</v>
      </c>
      <c r="D961" t="s">
        <v>32</v>
      </c>
      <c r="E961" t="s">
        <v>25</v>
      </c>
      <c r="F961" s="7">
        <v>3292658</v>
      </c>
      <c r="G961" t="s">
        <v>1700</v>
      </c>
      <c r="H961" s="5">
        <v>35758</v>
      </c>
      <c r="I961" s="12">
        <v>45798</v>
      </c>
      <c r="J961" s="15">
        <v>60</v>
      </c>
      <c r="K961" s="15">
        <v>4</v>
      </c>
      <c r="L961" s="9">
        <v>0.11559999999999999</v>
      </c>
      <c r="M961" s="9">
        <v>4.5100000000000001E-2</v>
      </c>
      <c r="N961" s="15">
        <v>6</v>
      </c>
      <c r="O961" t="s">
        <v>28</v>
      </c>
      <c r="P961" t="s">
        <v>28</v>
      </c>
      <c r="Q961" s="24">
        <v>0.35</v>
      </c>
      <c r="R961" s="5">
        <f t="shared" si="84"/>
        <v>679.49996712328755</v>
      </c>
      <c r="S961" s="5">
        <f t="shared" si="85"/>
        <v>26.509903561643831</v>
      </c>
      <c r="T961" s="5">
        <f t="shared" si="86"/>
        <v>652.99006356164375</v>
      </c>
      <c r="U961" s="15">
        <f t="shared" si="87"/>
        <v>54</v>
      </c>
      <c r="V961" s="3">
        <f t="shared" si="88"/>
        <v>882.32864999999981</v>
      </c>
      <c r="W961" s="3">
        <f t="shared" si="89"/>
        <v>960</v>
      </c>
    </row>
    <row r="962" spans="1:23" x14ac:dyDescent="0.2">
      <c r="A962" t="s">
        <v>153</v>
      </c>
      <c r="B962" t="s">
        <v>154</v>
      </c>
      <c r="C962" t="s">
        <v>41</v>
      </c>
      <c r="D962" t="s">
        <v>66</v>
      </c>
      <c r="E962" t="s">
        <v>49</v>
      </c>
      <c r="F962" s="7">
        <v>367690</v>
      </c>
      <c r="G962" t="s">
        <v>155</v>
      </c>
      <c r="H962" s="5">
        <v>64487</v>
      </c>
      <c r="I962" s="12">
        <v>45919</v>
      </c>
      <c r="J962" s="15">
        <v>60</v>
      </c>
      <c r="K962" s="15">
        <v>5</v>
      </c>
      <c r="L962" s="9">
        <v>0.1305</v>
      </c>
      <c r="M962" s="9">
        <v>6.2399999999999997E-2</v>
      </c>
      <c r="N962" s="15">
        <v>7</v>
      </c>
      <c r="O962" t="s">
        <v>28</v>
      </c>
      <c r="P962" t="s">
        <v>28</v>
      </c>
      <c r="Q962" s="24">
        <v>0.2</v>
      </c>
      <c r="R962" s="5">
        <f t="shared" ref="R962:R1025" si="90">H962*L962*(J962/365)</f>
        <v>1383.3786575342465</v>
      </c>
      <c r="S962" s="5">
        <f t="shared" ref="S962:S1025" si="91">H962*M962*(N962/365)</f>
        <v>77.172387945205472</v>
      </c>
      <c r="T962" s="5">
        <f t="shared" ref="T962:T1025" si="92">R962-S962</f>
        <v>1306.2062695890411</v>
      </c>
      <c r="U962" s="15">
        <f t="shared" ref="U962:U1025" si="93">J962-N962</f>
        <v>53</v>
      </c>
      <c r="V962" s="3">
        <f t="shared" ref="V962:V1025" si="94">Q962*(L962-M962)*H962</f>
        <v>878.31294000000014</v>
      </c>
      <c r="W962" s="3">
        <f t="shared" ref="W962:W1025" si="95">RANK(V962,$V$2:$V$1501)</f>
        <v>961</v>
      </c>
    </row>
    <row r="963" spans="1:23" x14ac:dyDescent="0.2">
      <c r="A963" t="s">
        <v>273</v>
      </c>
      <c r="B963" t="s">
        <v>274</v>
      </c>
      <c r="C963" t="s">
        <v>41</v>
      </c>
      <c r="D963" t="s">
        <v>37</v>
      </c>
      <c r="E963" t="s">
        <v>56</v>
      </c>
      <c r="F963" s="7">
        <v>12001432</v>
      </c>
      <c r="G963" t="s">
        <v>1399</v>
      </c>
      <c r="H963" s="5">
        <v>33017</v>
      </c>
      <c r="I963" s="12">
        <v>45914</v>
      </c>
      <c r="J963" s="15">
        <v>30</v>
      </c>
      <c r="K963" s="15">
        <v>5</v>
      </c>
      <c r="L963" s="9">
        <v>9.1800000000000007E-2</v>
      </c>
      <c r="M963" s="9">
        <v>5.8599999999999999E-2</v>
      </c>
      <c r="N963" s="15">
        <v>8</v>
      </c>
      <c r="O963" t="s">
        <v>27</v>
      </c>
      <c r="P963" t="s">
        <v>28</v>
      </c>
      <c r="Q963" s="24">
        <v>0.8</v>
      </c>
      <c r="R963" s="5">
        <f t="shared" si="90"/>
        <v>249.12004931506851</v>
      </c>
      <c r="S963" s="5">
        <f t="shared" si="91"/>
        <v>42.406492054794519</v>
      </c>
      <c r="T963" s="5">
        <f t="shared" si="92"/>
        <v>206.713557260274</v>
      </c>
      <c r="U963" s="15">
        <f t="shared" si="93"/>
        <v>22</v>
      </c>
      <c r="V963" s="3">
        <f t="shared" si="94"/>
        <v>876.93152000000021</v>
      </c>
      <c r="W963" s="3">
        <f t="shared" si="95"/>
        <v>962</v>
      </c>
    </row>
    <row r="964" spans="1:23" x14ac:dyDescent="0.2">
      <c r="A964" t="s">
        <v>85</v>
      </c>
      <c r="B964" t="s">
        <v>86</v>
      </c>
      <c r="C964" t="s">
        <v>36</v>
      </c>
      <c r="D964" t="s">
        <v>37</v>
      </c>
      <c r="E964" t="s">
        <v>25</v>
      </c>
      <c r="F964" s="7">
        <v>1954421</v>
      </c>
      <c r="G964" t="s">
        <v>87</v>
      </c>
      <c r="H964" s="5">
        <v>14799</v>
      </c>
      <c r="I964" s="12">
        <v>45764</v>
      </c>
      <c r="J964" s="15">
        <v>30</v>
      </c>
      <c r="K964" s="15">
        <v>4</v>
      </c>
      <c r="L964" s="9">
        <v>0.1237</v>
      </c>
      <c r="M964" s="9">
        <v>4.99E-2</v>
      </c>
      <c r="N964" s="15">
        <v>6</v>
      </c>
      <c r="O964" t="s">
        <v>27</v>
      </c>
      <c r="P964" t="s">
        <v>28</v>
      </c>
      <c r="Q964" s="24">
        <v>0.8</v>
      </c>
      <c r="R964" s="5">
        <f t="shared" si="90"/>
        <v>150.46325753424657</v>
      </c>
      <c r="S964" s="5">
        <f t="shared" si="91"/>
        <v>12.139234520547944</v>
      </c>
      <c r="T964" s="5">
        <f t="shared" si="92"/>
        <v>138.32402301369862</v>
      </c>
      <c r="U964" s="15">
        <f t="shared" si="93"/>
        <v>24</v>
      </c>
      <c r="V964" s="3">
        <f t="shared" si="94"/>
        <v>873.73296000000016</v>
      </c>
      <c r="W964" s="3">
        <f t="shared" si="95"/>
        <v>963</v>
      </c>
    </row>
    <row r="965" spans="1:23" x14ac:dyDescent="0.2">
      <c r="A965" t="s">
        <v>43</v>
      </c>
      <c r="B965" t="s">
        <v>44</v>
      </c>
      <c r="C965" t="s">
        <v>23</v>
      </c>
      <c r="D965" t="s">
        <v>24</v>
      </c>
      <c r="E965" t="s">
        <v>25</v>
      </c>
      <c r="F965" s="7">
        <v>2577026</v>
      </c>
      <c r="G965" t="s">
        <v>1395</v>
      </c>
      <c r="H965" s="5">
        <v>15453</v>
      </c>
      <c r="I965" s="12">
        <v>45738</v>
      </c>
      <c r="J965" s="15">
        <v>60</v>
      </c>
      <c r="K965" s="15">
        <v>5</v>
      </c>
      <c r="L965" s="9">
        <v>0.123</v>
      </c>
      <c r="M965" s="9">
        <v>5.2400000000000002E-2</v>
      </c>
      <c r="N965" s="15">
        <v>5</v>
      </c>
      <c r="O965" t="s">
        <v>27</v>
      </c>
      <c r="P965" t="s">
        <v>28</v>
      </c>
      <c r="Q965" s="24">
        <v>0.8</v>
      </c>
      <c r="R965" s="5">
        <f t="shared" si="90"/>
        <v>312.44695890410958</v>
      </c>
      <c r="S965" s="5">
        <f t="shared" si="91"/>
        <v>11.092290410958904</v>
      </c>
      <c r="T965" s="5">
        <f t="shared" si="92"/>
        <v>301.35466849315065</v>
      </c>
      <c r="U965" s="15">
        <f t="shared" si="93"/>
        <v>55</v>
      </c>
      <c r="V965" s="3">
        <f t="shared" si="94"/>
        <v>872.78543999999999</v>
      </c>
      <c r="W965" s="3">
        <f t="shared" si="95"/>
        <v>964</v>
      </c>
    </row>
    <row r="966" spans="1:23" x14ac:dyDescent="0.2">
      <c r="A966" t="s">
        <v>72</v>
      </c>
      <c r="B966" t="s">
        <v>73</v>
      </c>
      <c r="C966" t="s">
        <v>31</v>
      </c>
      <c r="D966" t="s">
        <v>32</v>
      </c>
      <c r="E966" t="s">
        <v>56</v>
      </c>
      <c r="F966" s="7">
        <v>21625874</v>
      </c>
      <c r="G966" t="s">
        <v>1592</v>
      </c>
      <c r="H966" s="5">
        <v>61725</v>
      </c>
      <c r="I966" s="12">
        <v>45810</v>
      </c>
      <c r="J966" s="15">
        <v>60</v>
      </c>
      <c r="K966" s="15">
        <v>3</v>
      </c>
      <c r="L966" s="9">
        <v>9.5399999999999999E-2</v>
      </c>
      <c r="M966" s="9">
        <v>5.5199999999999999E-2</v>
      </c>
      <c r="N966" s="15">
        <v>10</v>
      </c>
      <c r="O966" t="s">
        <v>27</v>
      </c>
      <c r="P966" t="s">
        <v>28</v>
      </c>
      <c r="Q966" s="24">
        <v>0.35</v>
      </c>
      <c r="R966" s="5">
        <f t="shared" si="90"/>
        <v>967.9832876712328</v>
      </c>
      <c r="S966" s="5">
        <f t="shared" si="91"/>
        <v>93.348493150684916</v>
      </c>
      <c r="T966" s="5">
        <f t="shared" si="92"/>
        <v>874.63479452054787</v>
      </c>
      <c r="U966" s="15">
        <f t="shared" si="93"/>
        <v>50</v>
      </c>
      <c r="V966" s="3">
        <f t="shared" si="94"/>
        <v>868.47074999999995</v>
      </c>
      <c r="W966" s="3">
        <f t="shared" si="95"/>
        <v>965</v>
      </c>
    </row>
    <row r="967" spans="1:23" x14ac:dyDescent="0.2">
      <c r="A967" t="s">
        <v>94</v>
      </c>
      <c r="B967" t="s">
        <v>95</v>
      </c>
      <c r="C967" t="s">
        <v>41</v>
      </c>
      <c r="D967" t="s">
        <v>66</v>
      </c>
      <c r="E967" t="s">
        <v>25</v>
      </c>
      <c r="F967" s="7">
        <v>2406772</v>
      </c>
      <c r="G967" t="s">
        <v>400</v>
      </c>
      <c r="H967" s="5">
        <v>48749</v>
      </c>
      <c r="I967" s="12">
        <v>45958</v>
      </c>
      <c r="J967" s="15">
        <v>90</v>
      </c>
      <c r="K967" s="15">
        <v>7</v>
      </c>
      <c r="L967" s="9">
        <v>0.1091</v>
      </c>
      <c r="M967" s="9">
        <v>5.8200000000000002E-2</v>
      </c>
      <c r="N967" s="15">
        <v>6</v>
      </c>
      <c r="O967" t="s">
        <v>27</v>
      </c>
      <c r="P967" t="s">
        <v>28</v>
      </c>
      <c r="Q967" s="24">
        <v>0.35</v>
      </c>
      <c r="R967" s="5">
        <f t="shared" si="90"/>
        <v>1311.4148794520547</v>
      </c>
      <c r="S967" s="5">
        <f t="shared" si="91"/>
        <v>46.638769315068487</v>
      </c>
      <c r="T967" s="5">
        <f t="shared" si="92"/>
        <v>1264.7761101369863</v>
      </c>
      <c r="U967" s="15">
        <f t="shared" si="93"/>
        <v>84</v>
      </c>
      <c r="V967" s="3">
        <f t="shared" si="94"/>
        <v>868.46343499999989</v>
      </c>
      <c r="W967" s="3">
        <f t="shared" si="95"/>
        <v>966</v>
      </c>
    </row>
    <row r="968" spans="1:23" x14ac:dyDescent="0.2">
      <c r="A968" t="s">
        <v>120</v>
      </c>
      <c r="B968" t="s">
        <v>121</v>
      </c>
      <c r="C968" t="s">
        <v>31</v>
      </c>
      <c r="D968" t="s">
        <v>48</v>
      </c>
      <c r="E968" t="s">
        <v>56</v>
      </c>
      <c r="F968" s="7">
        <v>14943587</v>
      </c>
      <c r="G968" t="s">
        <v>507</v>
      </c>
      <c r="H968" s="5">
        <v>47554</v>
      </c>
      <c r="I968" s="12">
        <v>46069</v>
      </c>
      <c r="J968" s="15">
        <v>60</v>
      </c>
      <c r="K968" s="15">
        <v>7</v>
      </c>
      <c r="L968" s="9">
        <v>0.1046</v>
      </c>
      <c r="M968" s="9">
        <v>5.2499999999999998E-2</v>
      </c>
      <c r="N968" s="15">
        <v>10</v>
      </c>
      <c r="O968" t="s">
        <v>27</v>
      </c>
      <c r="P968" t="s">
        <v>28</v>
      </c>
      <c r="Q968" s="24">
        <v>0.35</v>
      </c>
      <c r="R968" s="5">
        <f t="shared" si="90"/>
        <v>817.66823013698627</v>
      </c>
      <c r="S968" s="5">
        <f t="shared" si="91"/>
        <v>68.399589041095894</v>
      </c>
      <c r="T968" s="5">
        <f t="shared" si="92"/>
        <v>749.26864109589042</v>
      </c>
      <c r="U968" s="15">
        <f t="shared" si="93"/>
        <v>50</v>
      </c>
      <c r="V968" s="3">
        <f t="shared" si="94"/>
        <v>867.14718999999991</v>
      </c>
      <c r="W968" s="3">
        <f t="shared" si="95"/>
        <v>967</v>
      </c>
    </row>
    <row r="969" spans="1:23" x14ac:dyDescent="0.2">
      <c r="A969" t="s">
        <v>263</v>
      </c>
      <c r="B969" t="s">
        <v>264</v>
      </c>
      <c r="C969" t="s">
        <v>77</v>
      </c>
      <c r="D969" t="s">
        <v>24</v>
      </c>
      <c r="E969" t="s">
        <v>25</v>
      </c>
      <c r="F969" s="7">
        <v>4450767</v>
      </c>
      <c r="G969" t="s">
        <v>283</v>
      </c>
      <c r="H969" s="5">
        <v>85616</v>
      </c>
      <c r="I969" s="12">
        <v>45806</v>
      </c>
      <c r="J969" s="15">
        <v>45</v>
      </c>
      <c r="K969" s="15">
        <v>3</v>
      </c>
      <c r="L969" s="9">
        <v>0.10489999999999999</v>
      </c>
      <c r="M969" s="9">
        <v>5.4300000000000001E-2</v>
      </c>
      <c r="N969" s="15">
        <v>7</v>
      </c>
      <c r="O969" t="s">
        <v>27</v>
      </c>
      <c r="P969" t="s">
        <v>28</v>
      </c>
      <c r="Q969" s="24">
        <v>0.2</v>
      </c>
      <c r="R969" s="5">
        <f t="shared" si="90"/>
        <v>1107.2611726027396</v>
      </c>
      <c r="S969" s="5">
        <f t="shared" si="91"/>
        <v>89.157922191780827</v>
      </c>
      <c r="T969" s="5">
        <f t="shared" si="92"/>
        <v>1018.1032504109588</v>
      </c>
      <c r="U969" s="15">
        <f t="shared" si="93"/>
        <v>38</v>
      </c>
      <c r="V969" s="3">
        <f t="shared" si="94"/>
        <v>866.43391999999994</v>
      </c>
      <c r="W969" s="3">
        <f t="shared" si="95"/>
        <v>968</v>
      </c>
    </row>
    <row r="970" spans="1:23" x14ac:dyDescent="0.2">
      <c r="A970" t="s">
        <v>371</v>
      </c>
      <c r="B970" t="s">
        <v>372</v>
      </c>
      <c r="C970" t="s">
        <v>41</v>
      </c>
      <c r="D970" t="s">
        <v>48</v>
      </c>
      <c r="E970" t="s">
        <v>49</v>
      </c>
      <c r="F970" s="7">
        <v>1208247</v>
      </c>
      <c r="G970" t="s">
        <v>1403</v>
      </c>
      <c r="H970" s="5">
        <v>67603</v>
      </c>
      <c r="I970" s="12">
        <v>45780</v>
      </c>
      <c r="J970" s="15">
        <v>45</v>
      </c>
      <c r="K970" s="15">
        <v>2</v>
      </c>
      <c r="L970" s="9">
        <v>0.1111</v>
      </c>
      <c r="M970" s="9">
        <v>4.7100000000000003E-2</v>
      </c>
      <c r="N970" s="15">
        <v>7</v>
      </c>
      <c r="O970" t="s">
        <v>27</v>
      </c>
      <c r="P970" t="s">
        <v>28</v>
      </c>
      <c r="Q970" s="24">
        <v>0.2</v>
      </c>
      <c r="R970" s="5">
        <f t="shared" si="90"/>
        <v>925.97588630136977</v>
      </c>
      <c r="S970" s="5">
        <f t="shared" si="91"/>
        <v>61.06495643835617</v>
      </c>
      <c r="T970" s="5">
        <f t="shared" si="92"/>
        <v>864.91092986301362</v>
      </c>
      <c r="U970" s="15">
        <f t="shared" si="93"/>
        <v>38</v>
      </c>
      <c r="V970" s="3">
        <f t="shared" si="94"/>
        <v>865.3184</v>
      </c>
      <c r="W970" s="3">
        <f t="shared" si="95"/>
        <v>969</v>
      </c>
    </row>
    <row r="971" spans="1:23" x14ac:dyDescent="0.2">
      <c r="A971" t="s">
        <v>392</v>
      </c>
      <c r="B971" t="s">
        <v>393</v>
      </c>
      <c r="C971" t="s">
        <v>23</v>
      </c>
      <c r="D971" t="s">
        <v>32</v>
      </c>
      <c r="E971" t="s">
        <v>56</v>
      </c>
      <c r="F971" s="7">
        <v>13101534</v>
      </c>
      <c r="G971" t="s">
        <v>903</v>
      </c>
      <c r="H971" s="5">
        <v>87085</v>
      </c>
      <c r="I971" s="12">
        <v>45916</v>
      </c>
      <c r="J971" s="15">
        <v>30</v>
      </c>
      <c r="K971" s="15">
        <v>4</v>
      </c>
      <c r="L971" s="9">
        <v>8.9499999999999996E-2</v>
      </c>
      <c r="M971" s="9">
        <v>6.1199999999999997E-2</v>
      </c>
      <c r="N971" s="15">
        <v>10</v>
      </c>
      <c r="O971" t="s">
        <v>28</v>
      </c>
      <c r="P971" t="s">
        <v>28</v>
      </c>
      <c r="Q971" s="24">
        <v>0.35</v>
      </c>
      <c r="R971" s="5">
        <f t="shared" si="90"/>
        <v>640.6115753424657</v>
      </c>
      <c r="S971" s="5">
        <f t="shared" si="91"/>
        <v>146.01649315068491</v>
      </c>
      <c r="T971" s="5">
        <f t="shared" si="92"/>
        <v>494.59508219178076</v>
      </c>
      <c r="U971" s="15">
        <f t="shared" si="93"/>
        <v>20</v>
      </c>
      <c r="V971" s="3">
        <f t="shared" si="94"/>
        <v>862.57692499999985</v>
      </c>
      <c r="W971" s="3">
        <f t="shared" si="95"/>
        <v>970</v>
      </c>
    </row>
    <row r="972" spans="1:23" x14ac:dyDescent="0.2">
      <c r="A972" t="s">
        <v>273</v>
      </c>
      <c r="B972" t="s">
        <v>274</v>
      </c>
      <c r="C972" t="s">
        <v>41</v>
      </c>
      <c r="D972" t="s">
        <v>37</v>
      </c>
      <c r="E972" t="s">
        <v>56</v>
      </c>
      <c r="F972" s="7">
        <v>12001432</v>
      </c>
      <c r="G972" t="s">
        <v>1106</v>
      </c>
      <c r="H972" s="5">
        <v>66675</v>
      </c>
      <c r="I972" s="12">
        <v>45805</v>
      </c>
      <c r="J972" s="15">
        <v>90</v>
      </c>
      <c r="K972" s="15">
        <v>2</v>
      </c>
      <c r="L972" s="9">
        <v>9.1800000000000007E-2</v>
      </c>
      <c r="M972" s="9">
        <v>5.4899999999999997E-2</v>
      </c>
      <c r="N972" s="15">
        <v>7</v>
      </c>
      <c r="O972" t="s">
        <v>27</v>
      </c>
      <c r="P972" t="s">
        <v>28</v>
      </c>
      <c r="Q972" s="24">
        <v>0.35</v>
      </c>
      <c r="R972" s="5">
        <f t="shared" si="90"/>
        <v>1509.2297260273972</v>
      </c>
      <c r="S972" s="5">
        <f t="shared" si="91"/>
        <v>70.200554794520556</v>
      </c>
      <c r="T972" s="5">
        <f t="shared" si="92"/>
        <v>1439.0291712328767</v>
      </c>
      <c r="U972" s="15">
        <f t="shared" si="93"/>
        <v>83</v>
      </c>
      <c r="V972" s="3">
        <f t="shared" si="94"/>
        <v>861.10762500000021</v>
      </c>
      <c r="W972" s="3">
        <f t="shared" si="95"/>
        <v>971</v>
      </c>
    </row>
    <row r="973" spans="1:23" x14ac:dyDescent="0.2">
      <c r="A973" t="s">
        <v>314</v>
      </c>
      <c r="B973" t="s">
        <v>211</v>
      </c>
      <c r="C973" t="s">
        <v>36</v>
      </c>
      <c r="D973" t="s">
        <v>66</v>
      </c>
      <c r="E973" t="s">
        <v>56</v>
      </c>
      <c r="F973" s="7">
        <v>16270036</v>
      </c>
      <c r="G973" t="s">
        <v>702</v>
      </c>
      <c r="H973" s="5">
        <v>29329</v>
      </c>
      <c r="I973" s="12">
        <v>45707</v>
      </c>
      <c r="J973" s="15">
        <v>45</v>
      </c>
      <c r="K973" s="15">
        <v>3</v>
      </c>
      <c r="L973" s="9">
        <v>9.2200000000000004E-2</v>
      </c>
      <c r="M973" s="9">
        <v>5.5500000000000001E-2</v>
      </c>
      <c r="N973" s="15">
        <v>10</v>
      </c>
      <c r="O973" t="s">
        <v>27</v>
      </c>
      <c r="P973" t="s">
        <v>28</v>
      </c>
      <c r="Q973" s="24">
        <v>0.8</v>
      </c>
      <c r="R973" s="5">
        <f t="shared" si="90"/>
        <v>333.38635890410956</v>
      </c>
      <c r="S973" s="5">
        <f t="shared" si="91"/>
        <v>44.596150684931509</v>
      </c>
      <c r="T973" s="5">
        <f t="shared" si="92"/>
        <v>288.79020821917806</v>
      </c>
      <c r="U973" s="15">
        <f t="shared" si="93"/>
        <v>35</v>
      </c>
      <c r="V973" s="3">
        <f t="shared" si="94"/>
        <v>861.09944000000007</v>
      </c>
      <c r="W973" s="3">
        <f t="shared" si="95"/>
        <v>972</v>
      </c>
    </row>
    <row r="974" spans="1:23" x14ac:dyDescent="0.2">
      <c r="A974" t="s">
        <v>133</v>
      </c>
      <c r="B974" t="s">
        <v>134</v>
      </c>
      <c r="C974" t="s">
        <v>36</v>
      </c>
      <c r="D974" t="s">
        <v>24</v>
      </c>
      <c r="E974" t="s">
        <v>25</v>
      </c>
      <c r="F974" s="7">
        <v>6056843</v>
      </c>
      <c r="G974" t="s">
        <v>1595</v>
      </c>
      <c r="H974" s="5">
        <v>68431</v>
      </c>
      <c r="I974" s="12">
        <v>45805</v>
      </c>
      <c r="J974" s="15">
        <v>60</v>
      </c>
      <c r="K974" s="15">
        <v>7</v>
      </c>
      <c r="L974" s="9">
        <v>0.12520000000000001</v>
      </c>
      <c r="M974" s="9">
        <v>6.2600000000000003E-2</v>
      </c>
      <c r="N974" s="15">
        <v>7</v>
      </c>
      <c r="O974" t="s">
        <v>28</v>
      </c>
      <c r="P974" t="s">
        <v>28</v>
      </c>
      <c r="Q974" s="24">
        <v>0.2</v>
      </c>
      <c r="R974" s="5">
        <f t="shared" si="90"/>
        <v>1408.3662246575341</v>
      </c>
      <c r="S974" s="5">
        <f t="shared" si="91"/>
        <v>82.154696438356169</v>
      </c>
      <c r="T974" s="5">
        <f t="shared" si="92"/>
        <v>1326.2115282191778</v>
      </c>
      <c r="U974" s="15">
        <f t="shared" si="93"/>
        <v>53</v>
      </c>
      <c r="V974" s="3">
        <f t="shared" si="94"/>
        <v>856.75612000000012</v>
      </c>
      <c r="W974" s="3">
        <f t="shared" si="95"/>
        <v>973</v>
      </c>
    </row>
    <row r="975" spans="1:23" x14ac:dyDescent="0.2">
      <c r="A975" t="s">
        <v>133</v>
      </c>
      <c r="B975" t="s">
        <v>134</v>
      </c>
      <c r="C975" t="s">
        <v>36</v>
      </c>
      <c r="D975" t="s">
        <v>24</v>
      </c>
      <c r="E975" t="s">
        <v>25</v>
      </c>
      <c r="F975" s="7">
        <v>6056843</v>
      </c>
      <c r="G975" t="s">
        <v>552</v>
      </c>
      <c r="H975" s="5">
        <v>18310</v>
      </c>
      <c r="I975" s="12">
        <v>45837</v>
      </c>
      <c r="J975" s="15">
        <v>60</v>
      </c>
      <c r="K975" s="15">
        <v>10</v>
      </c>
      <c r="L975" s="9">
        <v>0.12520000000000001</v>
      </c>
      <c r="M975" s="9">
        <v>5.3400000000000003E-2</v>
      </c>
      <c r="N975" s="15">
        <v>6</v>
      </c>
      <c r="O975" t="s">
        <v>27</v>
      </c>
      <c r="P975" t="s">
        <v>28</v>
      </c>
      <c r="Q975" s="24">
        <v>0.65</v>
      </c>
      <c r="R975" s="5">
        <f t="shared" si="90"/>
        <v>376.83484931506854</v>
      </c>
      <c r="S975" s="5">
        <f t="shared" si="91"/>
        <v>16.072668493150683</v>
      </c>
      <c r="T975" s="5">
        <f t="shared" si="92"/>
        <v>360.76218082191787</v>
      </c>
      <c r="U975" s="15">
        <f t="shared" si="93"/>
        <v>54</v>
      </c>
      <c r="V975" s="3">
        <f t="shared" si="94"/>
        <v>854.5277000000001</v>
      </c>
      <c r="W975" s="3">
        <f t="shared" si="95"/>
        <v>974</v>
      </c>
    </row>
    <row r="976" spans="1:23" x14ac:dyDescent="0.2">
      <c r="A976" t="s">
        <v>596</v>
      </c>
      <c r="B976" t="s">
        <v>439</v>
      </c>
      <c r="C976" t="s">
        <v>77</v>
      </c>
      <c r="D976" t="s">
        <v>24</v>
      </c>
      <c r="E976" t="s">
        <v>56</v>
      </c>
      <c r="F976" s="7">
        <v>9396117</v>
      </c>
      <c r="G976" t="s">
        <v>597</v>
      </c>
      <c r="H976" s="5">
        <v>101957</v>
      </c>
      <c r="I976" s="12">
        <v>45943</v>
      </c>
      <c r="J976" s="15">
        <v>60</v>
      </c>
      <c r="K976" s="15">
        <v>5</v>
      </c>
      <c r="L976" s="9">
        <v>7.2400000000000006E-2</v>
      </c>
      <c r="M976" s="9">
        <v>6.3100000000000003E-2</v>
      </c>
      <c r="N976" s="15">
        <v>7</v>
      </c>
      <c r="O976" t="s">
        <v>27</v>
      </c>
      <c r="P976" t="s">
        <v>28</v>
      </c>
      <c r="Q976" s="24">
        <v>0.9</v>
      </c>
      <c r="R976" s="5">
        <f t="shared" si="90"/>
        <v>1213.4279671232878</v>
      </c>
      <c r="S976" s="5">
        <f t="shared" si="91"/>
        <v>123.38193671232878</v>
      </c>
      <c r="T976" s="5">
        <f t="shared" si="92"/>
        <v>1090.046030410959</v>
      </c>
      <c r="U976" s="15">
        <f t="shared" si="93"/>
        <v>53</v>
      </c>
      <c r="V976" s="3">
        <f t="shared" si="94"/>
        <v>853.38009000000022</v>
      </c>
      <c r="W976" s="3">
        <f t="shared" si="95"/>
        <v>975</v>
      </c>
    </row>
    <row r="977" spans="1:23" x14ac:dyDescent="0.2">
      <c r="A977" t="s">
        <v>608</v>
      </c>
      <c r="B977" t="s">
        <v>609</v>
      </c>
      <c r="C977" t="s">
        <v>77</v>
      </c>
      <c r="D977" t="s">
        <v>48</v>
      </c>
      <c r="E977" t="s">
        <v>56</v>
      </c>
      <c r="F977" s="7">
        <v>24905394</v>
      </c>
      <c r="G977" t="s">
        <v>1691</v>
      </c>
      <c r="H977" s="5">
        <v>76175</v>
      </c>
      <c r="I977" s="12">
        <v>46050</v>
      </c>
      <c r="J977" s="15">
        <v>60</v>
      </c>
      <c r="K977" s="15">
        <v>2</v>
      </c>
      <c r="L977" s="9">
        <v>8.5199999999999998E-2</v>
      </c>
      <c r="M977" s="9">
        <v>6.2799999999999995E-2</v>
      </c>
      <c r="N977" s="15">
        <v>7</v>
      </c>
      <c r="O977" t="s">
        <v>27</v>
      </c>
      <c r="P977" t="s">
        <v>28</v>
      </c>
      <c r="Q977" s="24">
        <v>0.5</v>
      </c>
      <c r="R977" s="5">
        <f t="shared" si="90"/>
        <v>1066.8673972602739</v>
      </c>
      <c r="S977" s="5">
        <f t="shared" si="91"/>
        <v>91.74391780821918</v>
      </c>
      <c r="T977" s="5">
        <f t="shared" si="92"/>
        <v>975.12347945205477</v>
      </c>
      <c r="U977" s="15">
        <f t="shared" si="93"/>
        <v>53</v>
      </c>
      <c r="V977" s="3">
        <f t="shared" si="94"/>
        <v>853.16000000000008</v>
      </c>
      <c r="W977" s="3">
        <f t="shared" si="95"/>
        <v>976</v>
      </c>
    </row>
    <row r="978" spans="1:23" x14ac:dyDescent="0.2">
      <c r="A978" t="s">
        <v>314</v>
      </c>
      <c r="B978" t="s">
        <v>211</v>
      </c>
      <c r="C978" t="s">
        <v>36</v>
      </c>
      <c r="D978" t="s">
        <v>66</v>
      </c>
      <c r="E978" t="s">
        <v>56</v>
      </c>
      <c r="F978" s="7">
        <v>16270036</v>
      </c>
      <c r="G978" t="s">
        <v>674</v>
      </c>
      <c r="H978" s="5">
        <v>101899</v>
      </c>
      <c r="I978" s="12">
        <v>45900</v>
      </c>
      <c r="J978" s="15">
        <v>60</v>
      </c>
      <c r="K978" s="15">
        <v>2</v>
      </c>
      <c r="L978" s="9">
        <v>9.2200000000000004E-2</v>
      </c>
      <c r="M978" s="9">
        <v>5.0599999999999999E-2</v>
      </c>
      <c r="N978" s="15">
        <v>8</v>
      </c>
      <c r="O978" t="s">
        <v>27</v>
      </c>
      <c r="P978" t="s">
        <v>28</v>
      </c>
      <c r="Q978" s="24">
        <v>0.2</v>
      </c>
      <c r="R978" s="5">
        <f t="shared" si="90"/>
        <v>1544.3979945205481</v>
      </c>
      <c r="S978" s="5">
        <f t="shared" si="91"/>
        <v>113.01017863013698</v>
      </c>
      <c r="T978" s="5">
        <f t="shared" si="92"/>
        <v>1431.387815890411</v>
      </c>
      <c r="U978" s="15">
        <f t="shared" si="93"/>
        <v>52</v>
      </c>
      <c r="V978" s="3">
        <f t="shared" si="94"/>
        <v>847.79968000000008</v>
      </c>
      <c r="W978" s="3">
        <f t="shared" si="95"/>
        <v>977</v>
      </c>
    </row>
    <row r="979" spans="1:23" x14ac:dyDescent="0.2">
      <c r="A979" t="s">
        <v>210</v>
      </c>
      <c r="B979" t="s">
        <v>211</v>
      </c>
      <c r="C979" t="s">
        <v>41</v>
      </c>
      <c r="D979" t="s">
        <v>32</v>
      </c>
      <c r="E979" t="s">
        <v>56</v>
      </c>
      <c r="F979" s="7">
        <v>17014146</v>
      </c>
      <c r="G979" t="s">
        <v>212</v>
      </c>
      <c r="H979" s="5">
        <v>24987</v>
      </c>
      <c r="I979" s="12">
        <v>46014</v>
      </c>
      <c r="J979" s="15">
        <v>60</v>
      </c>
      <c r="K979" s="15">
        <v>10</v>
      </c>
      <c r="L979" s="9">
        <v>0.1037</v>
      </c>
      <c r="M979" s="9">
        <v>5.1700000000000003E-2</v>
      </c>
      <c r="N979" s="15">
        <v>6</v>
      </c>
      <c r="O979" t="s">
        <v>28</v>
      </c>
      <c r="P979" t="s">
        <v>28</v>
      </c>
      <c r="Q979" s="24">
        <v>0.65</v>
      </c>
      <c r="R979" s="5">
        <f t="shared" si="90"/>
        <v>425.94277808219175</v>
      </c>
      <c r="S979" s="5">
        <f t="shared" si="91"/>
        <v>21.235527123287667</v>
      </c>
      <c r="T979" s="5">
        <f t="shared" si="92"/>
        <v>404.70725095890407</v>
      </c>
      <c r="U979" s="15">
        <f t="shared" si="93"/>
        <v>54</v>
      </c>
      <c r="V979" s="3">
        <f t="shared" si="94"/>
        <v>844.56059999999991</v>
      </c>
      <c r="W979" s="3">
        <f t="shared" si="95"/>
        <v>978</v>
      </c>
    </row>
    <row r="980" spans="1:23" x14ac:dyDescent="0.2">
      <c r="A980" t="s">
        <v>163</v>
      </c>
      <c r="B980" t="s">
        <v>164</v>
      </c>
      <c r="C980" t="s">
        <v>77</v>
      </c>
      <c r="D980" t="s">
        <v>66</v>
      </c>
      <c r="E980" t="s">
        <v>25</v>
      </c>
      <c r="F980" s="7">
        <v>4709015</v>
      </c>
      <c r="G980" t="s">
        <v>669</v>
      </c>
      <c r="H980" s="5">
        <v>69047</v>
      </c>
      <c r="I980" s="12">
        <v>45702</v>
      </c>
      <c r="J980" s="15">
        <v>60</v>
      </c>
      <c r="K980" s="15">
        <v>2</v>
      </c>
      <c r="L980" s="9">
        <v>0.121</v>
      </c>
      <c r="M980" s="9">
        <v>5.9900000000000002E-2</v>
      </c>
      <c r="N980" s="15">
        <v>6</v>
      </c>
      <c r="O980" t="s">
        <v>28</v>
      </c>
      <c r="P980" t="s">
        <v>28</v>
      </c>
      <c r="Q980" s="24">
        <v>0.2</v>
      </c>
      <c r="R980" s="5">
        <f t="shared" si="90"/>
        <v>1373.3732054794521</v>
      </c>
      <c r="S980" s="5">
        <f t="shared" si="91"/>
        <v>67.987648767123289</v>
      </c>
      <c r="T980" s="5">
        <f t="shared" si="92"/>
        <v>1305.3855567123287</v>
      </c>
      <c r="U980" s="15">
        <f t="shared" si="93"/>
        <v>54</v>
      </c>
      <c r="V980" s="3">
        <f t="shared" si="94"/>
        <v>843.75433999999996</v>
      </c>
      <c r="W980" s="3">
        <f t="shared" si="95"/>
        <v>979</v>
      </c>
    </row>
    <row r="981" spans="1:23" x14ac:dyDescent="0.2">
      <c r="A981" t="s">
        <v>34</v>
      </c>
      <c r="B981" t="s">
        <v>35</v>
      </c>
      <c r="C981" t="s">
        <v>36</v>
      </c>
      <c r="D981" t="s">
        <v>37</v>
      </c>
      <c r="E981" t="s">
        <v>25</v>
      </c>
      <c r="F981" s="7">
        <v>3714458</v>
      </c>
      <c r="G981" t="s">
        <v>483</v>
      </c>
      <c r="H981" s="5">
        <v>23362</v>
      </c>
      <c r="I981" s="12">
        <v>45819</v>
      </c>
      <c r="J981" s="15">
        <v>90</v>
      </c>
      <c r="K981" s="15">
        <v>3</v>
      </c>
      <c r="L981" s="9">
        <v>0.1153</v>
      </c>
      <c r="M981" s="9">
        <v>0.06</v>
      </c>
      <c r="N981" s="15">
        <v>10</v>
      </c>
      <c r="O981" t="s">
        <v>27</v>
      </c>
      <c r="P981" t="s">
        <v>28</v>
      </c>
      <c r="Q981" s="24">
        <v>0.65</v>
      </c>
      <c r="R981" s="5">
        <f t="shared" si="90"/>
        <v>664.1848602739725</v>
      </c>
      <c r="S981" s="5">
        <f t="shared" si="91"/>
        <v>38.403287671232874</v>
      </c>
      <c r="T981" s="5">
        <f t="shared" si="92"/>
        <v>625.78157260273963</v>
      </c>
      <c r="U981" s="15">
        <f t="shared" si="93"/>
        <v>80</v>
      </c>
      <c r="V981" s="3">
        <f t="shared" si="94"/>
        <v>839.74709000000007</v>
      </c>
      <c r="W981" s="3">
        <f t="shared" si="95"/>
        <v>980</v>
      </c>
    </row>
    <row r="982" spans="1:23" x14ac:dyDescent="0.2">
      <c r="A982" t="s">
        <v>427</v>
      </c>
      <c r="B982" t="s">
        <v>352</v>
      </c>
      <c r="C982" t="s">
        <v>77</v>
      </c>
      <c r="D982" t="s">
        <v>48</v>
      </c>
      <c r="E982" t="s">
        <v>25</v>
      </c>
      <c r="F982" s="7">
        <v>3836607</v>
      </c>
      <c r="G982" t="s">
        <v>1209</v>
      </c>
      <c r="H982" s="5">
        <v>24898</v>
      </c>
      <c r="I982" s="12">
        <v>45812</v>
      </c>
      <c r="J982" s="15">
        <v>45</v>
      </c>
      <c r="K982" s="15">
        <v>4</v>
      </c>
      <c r="L982" s="9">
        <v>0.11310000000000001</v>
      </c>
      <c r="M982" s="9">
        <v>4.58E-2</v>
      </c>
      <c r="N982" s="15">
        <v>6</v>
      </c>
      <c r="O982" t="s">
        <v>27</v>
      </c>
      <c r="P982" t="s">
        <v>28</v>
      </c>
      <c r="Q982" s="24">
        <v>0.5</v>
      </c>
      <c r="R982" s="5">
        <f t="shared" si="90"/>
        <v>347.17361917808216</v>
      </c>
      <c r="S982" s="5">
        <f t="shared" si="91"/>
        <v>18.745124383561645</v>
      </c>
      <c r="T982" s="5">
        <f t="shared" si="92"/>
        <v>328.42849479452053</v>
      </c>
      <c r="U982" s="15">
        <f t="shared" si="93"/>
        <v>39</v>
      </c>
      <c r="V982" s="3">
        <f t="shared" si="94"/>
        <v>837.81769999999995</v>
      </c>
      <c r="W982" s="3">
        <f t="shared" si="95"/>
        <v>981</v>
      </c>
    </row>
    <row r="983" spans="1:23" x14ac:dyDescent="0.2">
      <c r="A983" t="s">
        <v>263</v>
      </c>
      <c r="B983" t="s">
        <v>264</v>
      </c>
      <c r="C983" t="s">
        <v>77</v>
      </c>
      <c r="D983" t="s">
        <v>24</v>
      </c>
      <c r="E983" t="s">
        <v>25</v>
      </c>
      <c r="F983" s="7">
        <v>4450767</v>
      </c>
      <c r="G983" t="s">
        <v>1080</v>
      </c>
      <c r="H983" s="5">
        <v>80945</v>
      </c>
      <c r="I983" s="12">
        <v>45826</v>
      </c>
      <c r="J983" s="15">
        <v>60</v>
      </c>
      <c r="K983" s="15">
        <v>3</v>
      </c>
      <c r="L983" s="9">
        <v>0.10489999999999999</v>
      </c>
      <c r="M983" s="9">
        <v>5.33E-2</v>
      </c>
      <c r="N983" s="15">
        <v>5</v>
      </c>
      <c r="O983" t="s">
        <v>28</v>
      </c>
      <c r="P983" t="s">
        <v>28</v>
      </c>
      <c r="Q983" s="24">
        <v>0.2</v>
      </c>
      <c r="R983" s="5">
        <f t="shared" si="90"/>
        <v>1395.8022739726025</v>
      </c>
      <c r="S983" s="5">
        <f t="shared" si="91"/>
        <v>59.100938356164377</v>
      </c>
      <c r="T983" s="5">
        <f t="shared" si="92"/>
        <v>1336.7013356164382</v>
      </c>
      <c r="U983" s="15">
        <f t="shared" si="93"/>
        <v>55</v>
      </c>
      <c r="V983" s="3">
        <f t="shared" si="94"/>
        <v>835.35239999999999</v>
      </c>
      <c r="W983" s="3">
        <f t="shared" si="95"/>
        <v>982</v>
      </c>
    </row>
    <row r="984" spans="1:23" x14ac:dyDescent="0.2">
      <c r="A984" t="s">
        <v>411</v>
      </c>
      <c r="B984" t="s">
        <v>412</v>
      </c>
      <c r="C984" t="s">
        <v>31</v>
      </c>
      <c r="D984" t="s">
        <v>66</v>
      </c>
      <c r="E984" t="s">
        <v>25</v>
      </c>
      <c r="F984" s="7">
        <v>2416616</v>
      </c>
      <c r="G984" t="s">
        <v>1475</v>
      </c>
      <c r="H984" s="5">
        <v>18880</v>
      </c>
      <c r="I984" s="12">
        <v>46063</v>
      </c>
      <c r="J984" s="15">
        <v>45</v>
      </c>
      <c r="K984" s="15">
        <v>2</v>
      </c>
      <c r="L984" s="9">
        <v>0.1024</v>
      </c>
      <c r="M984" s="9">
        <v>4.7199999999999999E-2</v>
      </c>
      <c r="N984" s="15">
        <v>7</v>
      </c>
      <c r="O984" t="s">
        <v>28</v>
      </c>
      <c r="P984" t="s">
        <v>28</v>
      </c>
      <c r="Q984" s="24">
        <v>0.8</v>
      </c>
      <c r="R984" s="5">
        <f t="shared" si="90"/>
        <v>238.35353424657535</v>
      </c>
      <c r="S984" s="5">
        <f t="shared" si="91"/>
        <v>17.090279452054794</v>
      </c>
      <c r="T984" s="5">
        <f t="shared" si="92"/>
        <v>221.26325479452055</v>
      </c>
      <c r="U984" s="15">
        <f t="shared" si="93"/>
        <v>38</v>
      </c>
      <c r="V984" s="3">
        <f t="shared" si="94"/>
        <v>833.74080000000004</v>
      </c>
      <c r="W984" s="3">
        <f t="shared" si="95"/>
        <v>983</v>
      </c>
    </row>
    <row r="985" spans="1:23" x14ac:dyDescent="0.2">
      <c r="A985" t="s">
        <v>580</v>
      </c>
      <c r="B985" t="s">
        <v>76</v>
      </c>
      <c r="C985" t="s">
        <v>77</v>
      </c>
      <c r="D985" t="s">
        <v>66</v>
      </c>
      <c r="E985" t="s">
        <v>49</v>
      </c>
      <c r="F985" s="7">
        <v>959016</v>
      </c>
      <c r="G985" t="s">
        <v>581</v>
      </c>
      <c r="H985" s="5">
        <v>19553</v>
      </c>
      <c r="I985" s="12">
        <v>45916</v>
      </c>
      <c r="J985" s="15">
        <v>45</v>
      </c>
      <c r="K985" s="15">
        <v>5</v>
      </c>
      <c r="L985" s="9">
        <v>0.1115</v>
      </c>
      <c r="M985" s="9">
        <v>4.5999999999999999E-2</v>
      </c>
      <c r="N985" s="15">
        <v>7</v>
      </c>
      <c r="O985" t="s">
        <v>27</v>
      </c>
      <c r="P985" t="s">
        <v>28</v>
      </c>
      <c r="Q985" s="24">
        <v>0.65</v>
      </c>
      <c r="R985" s="5">
        <f t="shared" si="90"/>
        <v>268.7867876712329</v>
      </c>
      <c r="S985" s="5">
        <f t="shared" si="91"/>
        <v>17.249495890410959</v>
      </c>
      <c r="T985" s="5">
        <f t="shared" si="92"/>
        <v>251.53729178082193</v>
      </c>
      <c r="U985" s="15">
        <f t="shared" si="93"/>
        <v>38</v>
      </c>
      <c r="V985" s="3">
        <f t="shared" si="94"/>
        <v>832.468975</v>
      </c>
      <c r="W985" s="3">
        <f t="shared" si="95"/>
        <v>984</v>
      </c>
    </row>
    <row r="986" spans="1:23" x14ac:dyDescent="0.2">
      <c r="A986" t="s">
        <v>396</v>
      </c>
      <c r="B986" t="s">
        <v>397</v>
      </c>
      <c r="C986" t="s">
        <v>77</v>
      </c>
      <c r="D986" t="s">
        <v>66</v>
      </c>
      <c r="E986" t="s">
        <v>49</v>
      </c>
      <c r="F986" s="7">
        <v>1043844</v>
      </c>
      <c r="G986" t="s">
        <v>897</v>
      </c>
      <c r="H986" s="5">
        <v>65849</v>
      </c>
      <c r="I986" s="12">
        <v>45955</v>
      </c>
      <c r="J986" s="15">
        <v>90</v>
      </c>
      <c r="K986" s="15">
        <v>7</v>
      </c>
      <c r="L986" s="9">
        <v>0.11550000000000001</v>
      </c>
      <c r="M986" s="9">
        <v>5.2299999999999999E-2</v>
      </c>
      <c r="N986" s="15">
        <v>5</v>
      </c>
      <c r="O986" t="s">
        <v>27</v>
      </c>
      <c r="P986" t="s">
        <v>28</v>
      </c>
      <c r="Q986" s="24">
        <v>0.2</v>
      </c>
      <c r="R986" s="5">
        <f t="shared" si="90"/>
        <v>1875.3434383561644</v>
      </c>
      <c r="S986" s="5">
        <f t="shared" si="91"/>
        <v>47.176749315068491</v>
      </c>
      <c r="T986" s="5">
        <f t="shared" si="92"/>
        <v>1828.1666890410959</v>
      </c>
      <c r="U986" s="15">
        <f t="shared" si="93"/>
        <v>85</v>
      </c>
      <c r="V986" s="3">
        <f t="shared" si="94"/>
        <v>832.33136000000013</v>
      </c>
      <c r="W986" s="3">
        <f t="shared" si="95"/>
        <v>985</v>
      </c>
    </row>
    <row r="987" spans="1:23" x14ac:dyDescent="0.2">
      <c r="A987" t="s">
        <v>61</v>
      </c>
      <c r="B987" t="s">
        <v>62</v>
      </c>
      <c r="C987" t="s">
        <v>31</v>
      </c>
      <c r="D987" t="s">
        <v>48</v>
      </c>
      <c r="E987" t="s">
        <v>25</v>
      </c>
      <c r="F987" s="7">
        <v>3350013</v>
      </c>
      <c r="G987" t="s">
        <v>1697</v>
      </c>
      <c r="H987" s="5">
        <v>64525</v>
      </c>
      <c r="I987" s="12">
        <v>46064</v>
      </c>
      <c r="J987" s="15">
        <v>30</v>
      </c>
      <c r="K987" s="15">
        <v>10</v>
      </c>
      <c r="L987" s="9">
        <v>0.1144</v>
      </c>
      <c r="M987" s="9">
        <v>5.0099999999999999E-2</v>
      </c>
      <c r="N987" s="15">
        <v>5</v>
      </c>
      <c r="O987" t="s">
        <v>27</v>
      </c>
      <c r="P987" t="s">
        <v>28</v>
      </c>
      <c r="Q987" s="24">
        <v>0.2</v>
      </c>
      <c r="R987" s="5">
        <f t="shared" si="90"/>
        <v>606.71178082191773</v>
      </c>
      <c r="S987" s="5">
        <f t="shared" si="91"/>
        <v>44.283595890410957</v>
      </c>
      <c r="T987" s="5">
        <f t="shared" si="92"/>
        <v>562.42818493150673</v>
      </c>
      <c r="U987" s="15">
        <f t="shared" si="93"/>
        <v>25</v>
      </c>
      <c r="V987" s="3">
        <f t="shared" si="94"/>
        <v>829.79150000000004</v>
      </c>
      <c r="W987" s="3">
        <f t="shared" si="95"/>
        <v>986</v>
      </c>
    </row>
    <row r="988" spans="1:23" x14ac:dyDescent="0.2">
      <c r="A988" t="s">
        <v>223</v>
      </c>
      <c r="B988" t="s">
        <v>224</v>
      </c>
      <c r="C988" t="s">
        <v>36</v>
      </c>
      <c r="D988" t="s">
        <v>48</v>
      </c>
      <c r="E988" t="s">
        <v>25</v>
      </c>
      <c r="F988" s="7">
        <v>3916164</v>
      </c>
      <c r="G988" t="s">
        <v>1692</v>
      </c>
      <c r="H988" s="5">
        <v>15084</v>
      </c>
      <c r="I988" s="12">
        <v>45676</v>
      </c>
      <c r="J988" s="15">
        <v>60</v>
      </c>
      <c r="K988" s="15">
        <v>3</v>
      </c>
      <c r="L988" s="9">
        <v>0.1119</v>
      </c>
      <c r="M988" s="9">
        <v>5.0900000000000001E-2</v>
      </c>
      <c r="N988" s="15">
        <v>8</v>
      </c>
      <c r="O988" t="s">
        <v>28</v>
      </c>
      <c r="P988" t="s">
        <v>28</v>
      </c>
      <c r="Q988" s="24">
        <v>0.9</v>
      </c>
      <c r="R988" s="5">
        <f t="shared" si="90"/>
        <v>277.46294794520549</v>
      </c>
      <c r="S988" s="5">
        <f t="shared" si="91"/>
        <v>16.827958356164384</v>
      </c>
      <c r="T988" s="5">
        <f t="shared" si="92"/>
        <v>260.63498958904108</v>
      </c>
      <c r="U988" s="15">
        <f t="shared" si="93"/>
        <v>52</v>
      </c>
      <c r="V988" s="3">
        <f t="shared" si="94"/>
        <v>828.11159999999995</v>
      </c>
      <c r="W988" s="3">
        <f t="shared" si="95"/>
        <v>987</v>
      </c>
    </row>
    <row r="989" spans="1:23" x14ac:dyDescent="0.2">
      <c r="A989" t="s">
        <v>268</v>
      </c>
      <c r="B989" t="s">
        <v>269</v>
      </c>
      <c r="C989" t="s">
        <v>36</v>
      </c>
      <c r="D989" t="s">
        <v>37</v>
      </c>
      <c r="E989" t="s">
        <v>25</v>
      </c>
      <c r="F989" s="7">
        <v>1810544</v>
      </c>
      <c r="G989" t="s">
        <v>1599</v>
      </c>
      <c r="H989" s="5">
        <v>38626</v>
      </c>
      <c r="I989" s="12">
        <v>45714</v>
      </c>
      <c r="J989" s="15">
        <v>45</v>
      </c>
      <c r="K989" s="15">
        <v>7</v>
      </c>
      <c r="L989" s="9">
        <v>9.6299999999999997E-2</v>
      </c>
      <c r="M989" s="9">
        <v>5.3499999999999999E-2</v>
      </c>
      <c r="N989" s="15">
        <v>8</v>
      </c>
      <c r="O989" t="s">
        <v>27</v>
      </c>
      <c r="P989" t="s">
        <v>28</v>
      </c>
      <c r="Q989" s="24">
        <v>0.5</v>
      </c>
      <c r="R989" s="5">
        <f t="shared" si="90"/>
        <v>458.59115342465748</v>
      </c>
      <c r="S989" s="5">
        <f t="shared" si="91"/>
        <v>45.292953424657533</v>
      </c>
      <c r="T989" s="5">
        <f t="shared" si="92"/>
        <v>413.29819999999995</v>
      </c>
      <c r="U989" s="15">
        <f t="shared" si="93"/>
        <v>37</v>
      </c>
      <c r="V989" s="3">
        <f t="shared" si="94"/>
        <v>826.5963999999999</v>
      </c>
      <c r="W989" s="3">
        <f t="shared" si="95"/>
        <v>988</v>
      </c>
    </row>
    <row r="990" spans="1:23" x14ac:dyDescent="0.2">
      <c r="A990" t="s">
        <v>488</v>
      </c>
      <c r="B990" t="s">
        <v>489</v>
      </c>
      <c r="C990" t="s">
        <v>31</v>
      </c>
      <c r="D990" t="s">
        <v>37</v>
      </c>
      <c r="E990" t="s">
        <v>25</v>
      </c>
      <c r="F990" s="7">
        <v>6687670</v>
      </c>
      <c r="G990" t="s">
        <v>490</v>
      </c>
      <c r="H990" s="5">
        <v>73736</v>
      </c>
      <c r="I990" s="12">
        <v>46062</v>
      </c>
      <c r="J990" s="15">
        <v>90</v>
      </c>
      <c r="K990" s="15">
        <v>2</v>
      </c>
      <c r="L990" s="9">
        <v>0.1013</v>
      </c>
      <c r="M990" s="9">
        <v>4.53E-2</v>
      </c>
      <c r="N990" s="15">
        <v>5</v>
      </c>
      <c r="O990" t="s">
        <v>28</v>
      </c>
      <c r="P990" t="s">
        <v>28</v>
      </c>
      <c r="Q990" s="24">
        <v>0.2</v>
      </c>
      <c r="R990" s="5">
        <f t="shared" si="90"/>
        <v>1841.7838684931505</v>
      </c>
      <c r="S990" s="5">
        <f t="shared" si="91"/>
        <v>45.756723287671228</v>
      </c>
      <c r="T990" s="5">
        <f t="shared" si="92"/>
        <v>1796.0271452054792</v>
      </c>
      <c r="U990" s="15">
        <f t="shared" si="93"/>
        <v>85</v>
      </c>
      <c r="V990" s="3">
        <f t="shared" si="94"/>
        <v>825.84320000000014</v>
      </c>
      <c r="W990" s="3">
        <f t="shared" si="95"/>
        <v>989</v>
      </c>
    </row>
    <row r="991" spans="1:23" x14ac:dyDescent="0.2">
      <c r="A991" t="s">
        <v>716</v>
      </c>
      <c r="B991" t="s">
        <v>717</v>
      </c>
      <c r="C991" t="s">
        <v>31</v>
      </c>
      <c r="D991" t="s">
        <v>37</v>
      </c>
      <c r="E991" t="s">
        <v>49</v>
      </c>
      <c r="F991" s="7">
        <v>1439462</v>
      </c>
      <c r="G991" t="s">
        <v>927</v>
      </c>
      <c r="H991" s="5">
        <v>38623</v>
      </c>
      <c r="I991" s="12">
        <v>45980</v>
      </c>
      <c r="J991" s="15">
        <v>45</v>
      </c>
      <c r="K991" s="15">
        <v>2</v>
      </c>
      <c r="L991" s="9">
        <v>0.17130000000000001</v>
      </c>
      <c r="M991" s="9">
        <v>6.4399999999999999E-2</v>
      </c>
      <c r="N991" s="15">
        <v>6</v>
      </c>
      <c r="O991" t="s">
        <v>27</v>
      </c>
      <c r="P991" t="s">
        <v>28</v>
      </c>
      <c r="Q991" s="24">
        <v>0.2</v>
      </c>
      <c r="R991" s="5">
        <f t="shared" si="90"/>
        <v>815.68601506849313</v>
      </c>
      <c r="S991" s="5">
        <f t="shared" si="91"/>
        <v>40.887471780821912</v>
      </c>
      <c r="T991" s="5">
        <f t="shared" si="92"/>
        <v>774.79854328767124</v>
      </c>
      <c r="U991" s="15">
        <f t="shared" si="93"/>
        <v>39</v>
      </c>
      <c r="V991" s="3">
        <f t="shared" si="94"/>
        <v>825.75974000000008</v>
      </c>
      <c r="W991" s="3">
        <f t="shared" si="95"/>
        <v>990</v>
      </c>
    </row>
    <row r="992" spans="1:23" x14ac:dyDescent="0.2">
      <c r="A992" t="s">
        <v>448</v>
      </c>
      <c r="B992" t="s">
        <v>264</v>
      </c>
      <c r="C992" t="s">
        <v>77</v>
      </c>
      <c r="D992" t="s">
        <v>37</v>
      </c>
      <c r="E992" t="s">
        <v>25</v>
      </c>
      <c r="F992" s="7">
        <v>5041335</v>
      </c>
      <c r="G992" t="s">
        <v>713</v>
      </c>
      <c r="H992" s="5">
        <v>40109</v>
      </c>
      <c r="I992" s="12">
        <v>45857</v>
      </c>
      <c r="J992" s="15">
        <v>60</v>
      </c>
      <c r="K992" s="15">
        <v>4</v>
      </c>
      <c r="L992" s="9">
        <v>0.1198</v>
      </c>
      <c r="M992" s="9">
        <v>6.0999999999999999E-2</v>
      </c>
      <c r="N992" s="15">
        <v>10</v>
      </c>
      <c r="O992" t="s">
        <v>27</v>
      </c>
      <c r="P992" t="s">
        <v>28</v>
      </c>
      <c r="Q992" s="24">
        <v>0.35</v>
      </c>
      <c r="R992" s="5">
        <f t="shared" si="90"/>
        <v>789.87258082191784</v>
      </c>
      <c r="S992" s="5">
        <f t="shared" si="91"/>
        <v>67.031479452054782</v>
      </c>
      <c r="T992" s="5">
        <f t="shared" si="92"/>
        <v>722.84110136986305</v>
      </c>
      <c r="U992" s="15">
        <f t="shared" si="93"/>
        <v>50</v>
      </c>
      <c r="V992" s="3">
        <f t="shared" si="94"/>
        <v>825.44322</v>
      </c>
      <c r="W992" s="3">
        <f t="shared" si="95"/>
        <v>991</v>
      </c>
    </row>
    <row r="993" spans="1:23" x14ac:dyDescent="0.2">
      <c r="A993" t="s">
        <v>139</v>
      </c>
      <c r="B993" t="s">
        <v>140</v>
      </c>
      <c r="C993" t="s">
        <v>77</v>
      </c>
      <c r="D993" t="s">
        <v>24</v>
      </c>
      <c r="E993" t="s">
        <v>56</v>
      </c>
      <c r="F993" s="7">
        <v>22396514</v>
      </c>
      <c r="G993" t="s">
        <v>141</v>
      </c>
      <c r="H993" s="5">
        <v>49125</v>
      </c>
      <c r="I993" s="12">
        <v>45686</v>
      </c>
      <c r="J993" s="15">
        <v>60</v>
      </c>
      <c r="K993" s="15">
        <v>7</v>
      </c>
      <c r="L993" s="9">
        <v>7.5700000000000003E-2</v>
      </c>
      <c r="M993" s="9">
        <v>5.4699999999999999E-2</v>
      </c>
      <c r="N993" s="15">
        <v>7</v>
      </c>
      <c r="O993" t="s">
        <v>28</v>
      </c>
      <c r="P993" t="s">
        <v>28</v>
      </c>
      <c r="Q993" s="24">
        <v>0.8</v>
      </c>
      <c r="R993" s="5">
        <f t="shared" si="90"/>
        <v>611.30342465753426</v>
      </c>
      <c r="S993" s="5">
        <f t="shared" si="91"/>
        <v>51.53414383561644</v>
      </c>
      <c r="T993" s="5">
        <f t="shared" si="92"/>
        <v>559.76928082191785</v>
      </c>
      <c r="U993" s="15">
        <f t="shared" si="93"/>
        <v>53</v>
      </c>
      <c r="V993" s="3">
        <f t="shared" si="94"/>
        <v>825.3000000000003</v>
      </c>
      <c r="W993" s="3">
        <f t="shared" si="95"/>
        <v>992</v>
      </c>
    </row>
    <row r="994" spans="1:23" x14ac:dyDescent="0.2">
      <c r="A994" t="s">
        <v>281</v>
      </c>
      <c r="B994" t="s">
        <v>47</v>
      </c>
      <c r="C994" t="s">
        <v>23</v>
      </c>
      <c r="D994" t="s">
        <v>66</v>
      </c>
      <c r="E994" t="s">
        <v>56</v>
      </c>
      <c r="F994" s="7">
        <v>22780879</v>
      </c>
      <c r="G994" t="s">
        <v>1030</v>
      </c>
      <c r="H994" s="5">
        <v>76010</v>
      </c>
      <c r="I994" s="12">
        <v>45743</v>
      </c>
      <c r="J994" s="15">
        <v>45</v>
      </c>
      <c r="K994" s="15">
        <v>10</v>
      </c>
      <c r="L994" s="9">
        <v>7.0800000000000002E-2</v>
      </c>
      <c r="M994" s="9">
        <v>4.9099999999999998E-2</v>
      </c>
      <c r="N994" s="15">
        <v>8</v>
      </c>
      <c r="O994" t="s">
        <v>27</v>
      </c>
      <c r="P994" t="s">
        <v>28</v>
      </c>
      <c r="Q994" s="24">
        <v>0.5</v>
      </c>
      <c r="R994" s="5">
        <f t="shared" si="90"/>
        <v>663.47358904109581</v>
      </c>
      <c r="S994" s="5">
        <f t="shared" si="91"/>
        <v>81.79925479452055</v>
      </c>
      <c r="T994" s="5">
        <f t="shared" si="92"/>
        <v>581.6743342465752</v>
      </c>
      <c r="U994" s="15">
        <f t="shared" si="93"/>
        <v>37</v>
      </c>
      <c r="V994" s="3">
        <f t="shared" si="94"/>
        <v>824.70850000000019</v>
      </c>
      <c r="W994" s="3">
        <f t="shared" si="95"/>
        <v>993</v>
      </c>
    </row>
    <row r="995" spans="1:23" x14ac:dyDescent="0.2">
      <c r="A995" t="s">
        <v>273</v>
      </c>
      <c r="B995" t="s">
        <v>274</v>
      </c>
      <c r="C995" t="s">
        <v>41</v>
      </c>
      <c r="D995" t="s">
        <v>37</v>
      </c>
      <c r="E995" t="s">
        <v>56</v>
      </c>
      <c r="F995" s="7">
        <v>12001432</v>
      </c>
      <c r="G995" t="s">
        <v>1583</v>
      </c>
      <c r="H995" s="5">
        <v>75459</v>
      </c>
      <c r="I995" s="12">
        <v>45933</v>
      </c>
      <c r="J995" s="15">
        <v>60</v>
      </c>
      <c r="K995" s="15">
        <v>5</v>
      </c>
      <c r="L995" s="9">
        <v>9.1800000000000007E-2</v>
      </c>
      <c r="M995" s="9">
        <v>6.0699999999999997E-2</v>
      </c>
      <c r="N995" s="15">
        <v>6</v>
      </c>
      <c r="O995" t="s">
        <v>27</v>
      </c>
      <c r="P995" t="s">
        <v>28</v>
      </c>
      <c r="Q995" s="24">
        <v>0.35</v>
      </c>
      <c r="R995" s="5">
        <f t="shared" si="90"/>
        <v>1138.7073205479453</v>
      </c>
      <c r="S995" s="5">
        <f t="shared" si="91"/>
        <v>75.293610410958891</v>
      </c>
      <c r="T995" s="5">
        <f t="shared" si="92"/>
        <v>1063.4137101369863</v>
      </c>
      <c r="U995" s="15">
        <f t="shared" si="93"/>
        <v>54</v>
      </c>
      <c r="V995" s="3">
        <f t="shared" si="94"/>
        <v>821.37121500000012</v>
      </c>
      <c r="W995" s="3">
        <f t="shared" si="95"/>
        <v>994</v>
      </c>
    </row>
    <row r="996" spans="1:23" x14ac:dyDescent="0.2">
      <c r="A996" t="s">
        <v>68</v>
      </c>
      <c r="B996" t="s">
        <v>69</v>
      </c>
      <c r="C996" t="s">
        <v>36</v>
      </c>
      <c r="D996" t="s">
        <v>37</v>
      </c>
      <c r="E996" t="s">
        <v>25</v>
      </c>
      <c r="F996" s="7">
        <v>3469396</v>
      </c>
      <c r="G996" t="s">
        <v>410</v>
      </c>
      <c r="H996" s="5">
        <v>53507</v>
      </c>
      <c r="I996" s="12">
        <v>45725</v>
      </c>
      <c r="J996" s="15">
        <v>60</v>
      </c>
      <c r="K996" s="15">
        <v>2</v>
      </c>
      <c r="L996" s="9">
        <v>0.1216</v>
      </c>
      <c r="M996" s="9">
        <v>4.5100000000000001E-2</v>
      </c>
      <c r="N996" s="15">
        <v>7</v>
      </c>
      <c r="O996" t="s">
        <v>27</v>
      </c>
      <c r="P996" t="s">
        <v>28</v>
      </c>
      <c r="Q996" s="24">
        <v>0.2</v>
      </c>
      <c r="R996" s="5">
        <f t="shared" si="90"/>
        <v>1069.5536219178082</v>
      </c>
      <c r="S996" s="5">
        <f t="shared" si="91"/>
        <v>46.279890136986303</v>
      </c>
      <c r="T996" s="5">
        <f t="shared" si="92"/>
        <v>1023.2737317808219</v>
      </c>
      <c r="U996" s="15">
        <f t="shared" si="93"/>
        <v>53</v>
      </c>
      <c r="V996" s="3">
        <f t="shared" si="94"/>
        <v>818.65710000000001</v>
      </c>
      <c r="W996" s="3">
        <f t="shared" si="95"/>
        <v>995</v>
      </c>
    </row>
    <row r="997" spans="1:23" x14ac:dyDescent="0.2">
      <c r="A997" t="s">
        <v>593</v>
      </c>
      <c r="B997" t="s">
        <v>594</v>
      </c>
      <c r="C997" t="s">
        <v>36</v>
      </c>
      <c r="D997" t="s">
        <v>66</v>
      </c>
      <c r="E997" t="s">
        <v>25</v>
      </c>
      <c r="F997" s="7">
        <v>3384926</v>
      </c>
      <c r="G997" t="s">
        <v>1250</v>
      </c>
      <c r="H997" s="5">
        <v>48454</v>
      </c>
      <c r="I997" s="12">
        <v>45775</v>
      </c>
      <c r="J997" s="15">
        <v>60</v>
      </c>
      <c r="K997" s="15">
        <v>2</v>
      </c>
      <c r="L997" s="9">
        <v>0.1396</v>
      </c>
      <c r="M997" s="9">
        <v>5.5399999999999998E-2</v>
      </c>
      <c r="N997" s="15">
        <v>8</v>
      </c>
      <c r="O997" t="s">
        <v>27</v>
      </c>
      <c r="P997" t="s">
        <v>28</v>
      </c>
      <c r="Q997" s="24">
        <v>0.2</v>
      </c>
      <c r="R997" s="5">
        <f t="shared" si="90"/>
        <v>1111.9197369863014</v>
      </c>
      <c r="S997" s="5">
        <f t="shared" si="91"/>
        <v>58.835103561643834</v>
      </c>
      <c r="T997" s="5">
        <f t="shared" si="92"/>
        <v>1053.0846334246576</v>
      </c>
      <c r="U997" s="15">
        <f t="shared" si="93"/>
        <v>52</v>
      </c>
      <c r="V997" s="3">
        <f t="shared" si="94"/>
        <v>815.96536000000003</v>
      </c>
      <c r="W997" s="3">
        <f t="shared" si="95"/>
        <v>996</v>
      </c>
    </row>
    <row r="998" spans="1:23" x14ac:dyDescent="0.2">
      <c r="A998" t="s">
        <v>136</v>
      </c>
      <c r="B998" t="s">
        <v>137</v>
      </c>
      <c r="C998" t="s">
        <v>31</v>
      </c>
      <c r="D998" t="s">
        <v>37</v>
      </c>
      <c r="E998" t="s">
        <v>56</v>
      </c>
      <c r="F998" s="7">
        <v>17196352</v>
      </c>
      <c r="G998" t="s">
        <v>735</v>
      </c>
      <c r="H998" s="5">
        <v>53342</v>
      </c>
      <c r="I998" s="12">
        <v>45801</v>
      </c>
      <c r="J998" s="15">
        <v>60</v>
      </c>
      <c r="K998" s="15">
        <v>7</v>
      </c>
      <c r="L998" s="9">
        <v>8.1500000000000003E-2</v>
      </c>
      <c r="M998" s="9">
        <v>6.2399999999999997E-2</v>
      </c>
      <c r="N998" s="15">
        <v>8</v>
      </c>
      <c r="O998" t="s">
        <v>28</v>
      </c>
      <c r="P998" t="s">
        <v>28</v>
      </c>
      <c r="Q998" s="24">
        <v>0.8</v>
      </c>
      <c r="R998" s="5">
        <f t="shared" si="90"/>
        <v>714.63665753424664</v>
      </c>
      <c r="S998" s="5">
        <f t="shared" si="91"/>
        <v>72.954318904109584</v>
      </c>
      <c r="T998" s="5">
        <f t="shared" si="92"/>
        <v>641.68233863013711</v>
      </c>
      <c r="U998" s="15">
        <f t="shared" si="93"/>
        <v>52</v>
      </c>
      <c r="V998" s="3">
        <f t="shared" si="94"/>
        <v>815.0657600000003</v>
      </c>
      <c r="W998" s="3">
        <f t="shared" si="95"/>
        <v>997</v>
      </c>
    </row>
    <row r="999" spans="1:23" x14ac:dyDescent="0.2">
      <c r="A999" t="s">
        <v>127</v>
      </c>
      <c r="B999" t="s">
        <v>128</v>
      </c>
      <c r="C999" t="s">
        <v>31</v>
      </c>
      <c r="D999" t="s">
        <v>66</v>
      </c>
      <c r="E999" t="s">
        <v>49</v>
      </c>
      <c r="F999" s="7">
        <v>261628</v>
      </c>
      <c r="G999" t="s">
        <v>990</v>
      </c>
      <c r="H999" s="5">
        <v>35510</v>
      </c>
      <c r="I999" s="12">
        <v>45964</v>
      </c>
      <c r="J999" s="15">
        <v>60</v>
      </c>
      <c r="K999" s="15">
        <v>10</v>
      </c>
      <c r="L999" s="9">
        <v>0.17249999999999999</v>
      </c>
      <c r="M999" s="9">
        <v>5.79E-2</v>
      </c>
      <c r="N999" s="15">
        <v>5</v>
      </c>
      <c r="O999" t="s">
        <v>28</v>
      </c>
      <c r="P999" t="s">
        <v>28</v>
      </c>
      <c r="Q999" s="24">
        <v>0.2</v>
      </c>
      <c r="R999" s="5">
        <f t="shared" si="90"/>
        <v>1006.9273972602738</v>
      </c>
      <c r="S999" s="5">
        <f t="shared" si="91"/>
        <v>28.164780821917805</v>
      </c>
      <c r="T999" s="5">
        <f t="shared" si="92"/>
        <v>978.76261643835596</v>
      </c>
      <c r="U999" s="15">
        <f t="shared" si="93"/>
        <v>55</v>
      </c>
      <c r="V999" s="3">
        <f t="shared" si="94"/>
        <v>813.88919999999985</v>
      </c>
      <c r="W999" s="3">
        <f t="shared" si="95"/>
        <v>998</v>
      </c>
    </row>
    <row r="1000" spans="1:23" x14ac:dyDescent="0.2">
      <c r="A1000" t="s">
        <v>358</v>
      </c>
      <c r="B1000" t="s">
        <v>164</v>
      </c>
      <c r="C1000" t="s">
        <v>77</v>
      </c>
      <c r="D1000" t="s">
        <v>48</v>
      </c>
      <c r="E1000" t="s">
        <v>56</v>
      </c>
      <c r="F1000" s="7">
        <v>11944379</v>
      </c>
      <c r="G1000" t="s">
        <v>359</v>
      </c>
      <c r="H1000" s="5">
        <v>109064</v>
      </c>
      <c r="I1000" s="12">
        <v>45915</v>
      </c>
      <c r="J1000" s="15">
        <v>30</v>
      </c>
      <c r="K1000" s="15">
        <v>5</v>
      </c>
      <c r="L1000" s="9">
        <v>7.0999999999999994E-2</v>
      </c>
      <c r="M1000" s="9">
        <v>4.9700000000000001E-2</v>
      </c>
      <c r="N1000" s="15">
        <v>6</v>
      </c>
      <c r="O1000" t="s">
        <v>27</v>
      </c>
      <c r="P1000" t="s">
        <v>28</v>
      </c>
      <c r="Q1000" s="24">
        <v>0.35</v>
      </c>
      <c r="R1000" s="5">
        <f t="shared" si="90"/>
        <v>636.45567123287663</v>
      </c>
      <c r="S1000" s="5">
        <f t="shared" si="91"/>
        <v>89.10379397260273</v>
      </c>
      <c r="T1000" s="5">
        <f t="shared" si="92"/>
        <v>547.35187726027391</v>
      </c>
      <c r="U1000" s="15">
        <f t="shared" si="93"/>
        <v>24</v>
      </c>
      <c r="V1000" s="3">
        <f t="shared" si="94"/>
        <v>813.0721199999997</v>
      </c>
      <c r="W1000" s="3">
        <f t="shared" si="95"/>
        <v>999</v>
      </c>
    </row>
    <row r="1001" spans="1:23" x14ac:dyDescent="0.2">
      <c r="A1001" t="s">
        <v>75</v>
      </c>
      <c r="B1001" t="s">
        <v>76</v>
      </c>
      <c r="C1001" t="s">
        <v>77</v>
      </c>
      <c r="D1001" t="s">
        <v>37</v>
      </c>
      <c r="E1001" t="s">
        <v>49</v>
      </c>
      <c r="F1001" s="7">
        <v>1309806</v>
      </c>
      <c r="G1001" t="s">
        <v>806</v>
      </c>
      <c r="H1001" s="5">
        <v>44275</v>
      </c>
      <c r="I1001" s="12">
        <v>46001</v>
      </c>
      <c r="J1001" s="15">
        <v>45</v>
      </c>
      <c r="K1001" s="15">
        <v>4</v>
      </c>
      <c r="L1001" s="9">
        <v>0.15210000000000001</v>
      </c>
      <c r="M1001" s="9">
        <v>6.0499999999999998E-2</v>
      </c>
      <c r="N1001" s="15">
        <v>7</v>
      </c>
      <c r="O1001" t="s">
        <v>27</v>
      </c>
      <c r="P1001" t="s">
        <v>28</v>
      </c>
      <c r="Q1001" s="24">
        <v>0.2</v>
      </c>
      <c r="R1001" s="5">
        <f t="shared" si="90"/>
        <v>830.24722602739735</v>
      </c>
      <c r="S1001" s="5">
        <f t="shared" si="91"/>
        <v>51.371130136986302</v>
      </c>
      <c r="T1001" s="5">
        <f t="shared" si="92"/>
        <v>778.87609589041108</v>
      </c>
      <c r="U1001" s="15">
        <f t="shared" si="93"/>
        <v>38</v>
      </c>
      <c r="V1001" s="3">
        <f t="shared" si="94"/>
        <v>811.11800000000017</v>
      </c>
      <c r="W1001" s="3">
        <f t="shared" si="95"/>
        <v>1000</v>
      </c>
    </row>
    <row r="1002" spans="1:23" x14ac:dyDescent="0.2">
      <c r="A1002" t="s">
        <v>571</v>
      </c>
      <c r="B1002" t="s">
        <v>214</v>
      </c>
      <c r="C1002" t="s">
        <v>31</v>
      </c>
      <c r="D1002" t="s">
        <v>48</v>
      </c>
      <c r="E1002" t="s">
        <v>25</v>
      </c>
      <c r="F1002" s="7">
        <v>4353599</v>
      </c>
      <c r="G1002" t="s">
        <v>1565</v>
      </c>
      <c r="H1002" s="5">
        <v>29284</v>
      </c>
      <c r="I1002" s="12">
        <v>45809</v>
      </c>
      <c r="J1002" s="15">
        <v>90</v>
      </c>
      <c r="K1002" s="15">
        <v>4</v>
      </c>
      <c r="L1002" s="9">
        <v>9.5600000000000004E-2</v>
      </c>
      <c r="M1002" s="9">
        <v>6.0999999999999999E-2</v>
      </c>
      <c r="N1002" s="15">
        <v>7</v>
      </c>
      <c r="O1002" t="s">
        <v>28</v>
      </c>
      <c r="P1002" t="s">
        <v>28</v>
      </c>
      <c r="Q1002" s="24">
        <v>0.8</v>
      </c>
      <c r="R1002" s="5">
        <f t="shared" si="90"/>
        <v>690.30009863013697</v>
      </c>
      <c r="S1002" s="5">
        <f t="shared" si="91"/>
        <v>34.258268493150688</v>
      </c>
      <c r="T1002" s="5">
        <f t="shared" si="92"/>
        <v>656.04183013698628</v>
      </c>
      <c r="U1002" s="15">
        <f t="shared" si="93"/>
        <v>83</v>
      </c>
      <c r="V1002" s="3">
        <f t="shared" si="94"/>
        <v>810.58112000000017</v>
      </c>
      <c r="W1002" s="3">
        <f t="shared" si="95"/>
        <v>1001</v>
      </c>
    </row>
    <row r="1003" spans="1:23" x14ac:dyDescent="0.2">
      <c r="A1003" t="s">
        <v>314</v>
      </c>
      <c r="B1003" t="s">
        <v>211</v>
      </c>
      <c r="C1003" t="s">
        <v>36</v>
      </c>
      <c r="D1003" t="s">
        <v>66</v>
      </c>
      <c r="E1003" t="s">
        <v>56</v>
      </c>
      <c r="F1003" s="7">
        <v>16270036</v>
      </c>
      <c r="G1003" t="s">
        <v>591</v>
      </c>
      <c r="H1003" s="5">
        <v>97998</v>
      </c>
      <c r="I1003" s="12">
        <v>46070</v>
      </c>
      <c r="J1003" s="15">
        <v>60</v>
      </c>
      <c r="K1003" s="15">
        <v>10</v>
      </c>
      <c r="L1003" s="9">
        <v>9.2200000000000004E-2</v>
      </c>
      <c r="M1003" s="9">
        <v>5.0999999999999997E-2</v>
      </c>
      <c r="N1003" s="15">
        <v>6</v>
      </c>
      <c r="O1003" t="s">
        <v>27</v>
      </c>
      <c r="P1003" t="s">
        <v>28</v>
      </c>
      <c r="Q1003" s="24">
        <v>0.2</v>
      </c>
      <c r="R1003" s="5">
        <f t="shared" si="90"/>
        <v>1485.273797260274</v>
      </c>
      <c r="S1003" s="5">
        <f t="shared" si="91"/>
        <v>82.157227397260257</v>
      </c>
      <c r="T1003" s="5">
        <f t="shared" si="92"/>
        <v>1403.1165698630139</v>
      </c>
      <c r="U1003" s="15">
        <f t="shared" si="93"/>
        <v>54</v>
      </c>
      <c r="V1003" s="3">
        <f t="shared" si="94"/>
        <v>807.50352000000021</v>
      </c>
      <c r="W1003" s="3">
        <f t="shared" si="95"/>
        <v>1002</v>
      </c>
    </row>
    <row r="1004" spans="1:23" x14ac:dyDescent="0.2">
      <c r="A1004" t="s">
        <v>153</v>
      </c>
      <c r="B1004" t="s">
        <v>154</v>
      </c>
      <c r="C1004" t="s">
        <v>41</v>
      </c>
      <c r="D1004" t="s">
        <v>66</v>
      </c>
      <c r="E1004" t="s">
        <v>49</v>
      </c>
      <c r="F1004" s="7">
        <v>367690</v>
      </c>
      <c r="G1004" t="s">
        <v>1630</v>
      </c>
      <c r="H1004" s="5">
        <v>12730</v>
      </c>
      <c r="I1004" s="12">
        <v>45778</v>
      </c>
      <c r="J1004" s="15">
        <v>45</v>
      </c>
      <c r="K1004" s="15">
        <v>3</v>
      </c>
      <c r="L1004" s="9">
        <v>0.1305</v>
      </c>
      <c r="M1004" s="9">
        <v>6.0100000000000001E-2</v>
      </c>
      <c r="N1004" s="15">
        <v>8</v>
      </c>
      <c r="O1004" t="s">
        <v>27</v>
      </c>
      <c r="P1004" t="s">
        <v>28</v>
      </c>
      <c r="Q1004" s="24">
        <v>0.9</v>
      </c>
      <c r="R1004" s="5">
        <f t="shared" si="90"/>
        <v>204.81349315068493</v>
      </c>
      <c r="S1004" s="5">
        <f t="shared" si="91"/>
        <v>16.768723287671232</v>
      </c>
      <c r="T1004" s="5">
        <f t="shared" si="92"/>
        <v>188.0447698630137</v>
      </c>
      <c r="U1004" s="15">
        <f t="shared" si="93"/>
        <v>37</v>
      </c>
      <c r="V1004" s="3">
        <f t="shared" si="94"/>
        <v>806.57280000000003</v>
      </c>
      <c r="W1004" s="3">
        <f t="shared" si="95"/>
        <v>1003</v>
      </c>
    </row>
    <row r="1005" spans="1:23" x14ac:dyDescent="0.2">
      <c r="A1005" t="s">
        <v>249</v>
      </c>
      <c r="B1005" t="s">
        <v>250</v>
      </c>
      <c r="C1005" t="s">
        <v>23</v>
      </c>
      <c r="D1005" t="s">
        <v>66</v>
      </c>
      <c r="E1005" t="s">
        <v>25</v>
      </c>
      <c r="F1005" s="7">
        <v>2803992</v>
      </c>
      <c r="G1005" t="s">
        <v>1453</v>
      </c>
      <c r="H1005" s="5">
        <v>21643</v>
      </c>
      <c r="I1005" s="12">
        <v>46071</v>
      </c>
      <c r="J1005" s="15">
        <v>60</v>
      </c>
      <c r="K1005" s="15">
        <v>10</v>
      </c>
      <c r="L1005" s="9">
        <v>0.1036</v>
      </c>
      <c r="M1005" s="9">
        <v>4.65E-2</v>
      </c>
      <c r="N1005" s="15">
        <v>8</v>
      </c>
      <c r="O1005" t="s">
        <v>27</v>
      </c>
      <c r="P1005" t="s">
        <v>28</v>
      </c>
      <c r="Q1005" s="24">
        <v>0.65</v>
      </c>
      <c r="R1005" s="5">
        <f t="shared" si="90"/>
        <v>368.58325479452049</v>
      </c>
      <c r="S1005" s="5">
        <f t="shared" si="91"/>
        <v>22.058071232876713</v>
      </c>
      <c r="T1005" s="5">
        <f t="shared" si="92"/>
        <v>346.52518356164376</v>
      </c>
      <c r="U1005" s="15">
        <f t="shared" si="93"/>
        <v>52</v>
      </c>
      <c r="V1005" s="3">
        <f t="shared" si="94"/>
        <v>803.279945</v>
      </c>
      <c r="W1005" s="3">
        <f t="shared" si="95"/>
        <v>1004</v>
      </c>
    </row>
    <row r="1006" spans="1:23" x14ac:dyDescent="0.2">
      <c r="A1006" t="s">
        <v>627</v>
      </c>
      <c r="B1006" t="s">
        <v>383</v>
      </c>
      <c r="C1006" t="s">
        <v>77</v>
      </c>
      <c r="D1006" t="s">
        <v>37</v>
      </c>
      <c r="E1006" t="s">
        <v>56</v>
      </c>
      <c r="F1006" s="7">
        <v>17195029</v>
      </c>
      <c r="G1006" t="s">
        <v>1481</v>
      </c>
      <c r="H1006" s="5">
        <v>89401</v>
      </c>
      <c r="I1006" s="12">
        <v>45712</v>
      </c>
      <c r="J1006" s="15">
        <v>60</v>
      </c>
      <c r="K1006" s="15">
        <v>7</v>
      </c>
      <c r="L1006" s="9">
        <v>7.3400000000000007E-2</v>
      </c>
      <c r="M1006" s="9">
        <v>6.2199999999999998E-2</v>
      </c>
      <c r="N1006" s="15">
        <v>7</v>
      </c>
      <c r="O1006" t="s">
        <v>27</v>
      </c>
      <c r="P1006" t="s">
        <v>28</v>
      </c>
      <c r="Q1006" s="24">
        <v>0.8</v>
      </c>
      <c r="R1006" s="5">
        <f t="shared" si="90"/>
        <v>1078.6904219178082</v>
      </c>
      <c r="S1006" s="5">
        <f t="shared" si="91"/>
        <v>106.6443709589041</v>
      </c>
      <c r="T1006" s="5">
        <f t="shared" si="92"/>
        <v>972.04605095890406</v>
      </c>
      <c r="U1006" s="15">
        <f t="shared" si="93"/>
        <v>53</v>
      </c>
      <c r="V1006" s="3">
        <f t="shared" si="94"/>
        <v>801.03296000000068</v>
      </c>
      <c r="W1006" s="3">
        <f t="shared" si="95"/>
        <v>1005</v>
      </c>
    </row>
    <row r="1007" spans="1:23" x14ac:dyDescent="0.2">
      <c r="A1007" t="s">
        <v>362</v>
      </c>
      <c r="B1007" t="s">
        <v>363</v>
      </c>
      <c r="C1007" t="s">
        <v>31</v>
      </c>
      <c r="D1007" t="s">
        <v>66</v>
      </c>
      <c r="E1007" t="s">
        <v>25</v>
      </c>
      <c r="F1007" s="7">
        <v>3573998</v>
      </c>
      <c r="G1007" t="s">
        <v>632</v>
      </c>
      <c r="H1007" s="5">
        <v>32568</v>
      </c>
      <c r="I1007" s="12">
        <v>45827</v>
      </c>
      <c r="J1007" s="15">
        <v>60</v>
      </c>
      <c r="K1007" s="15">
        <v>5</v>
      </c>
      <c r="L1007" s="9">
        <v>0.13200000000000001</v>
      </c>
      <c r="M1007" s="9">
        <v>6.2E-2</v>
      </c>
      <c r="N1007" s="15">
        <v>6</v>
      </c>
      <c r="O1007" t="s">
        <v>28</v>
      </c>
      <c r="P1007" t="s">
        <v>28</v>
      </c>
      <c r="Q1007" s="24">
        <v>0.35</v>
      </c>
      <c r="R1007" s="5">
        <f t="shared" si="90"/>
        <v>706.6809863013699</v>
      </c>
      <c r="S1007" s="5">
        <f t="shared" si="91"/>
        <v>33.192591780821914</v>
      </c>
      <c r="T1007" s="5">
        <f t="shared" si="92"/>
        <v>673.48839452054801</v>
      </c>
      <c r="U1007" s="15">
        <f t="shared" si="93"/>
        <v>54</v>
      </c>
      <c r="V1007" s="3">
        <f t="shared" si="94"/>
        <v>797.91600000000005</v>
      </c>
      <c r="W1007" s="3">
        <f t="shared" si="95"/>
        <v>1006</v>
      </c>
    </row>
    <row r="1008" spans="1:23" x14ac:dyDescent="0.2">
      <c r="A1008" t="s">
        <v>256</v>
      </c>
      <c r="B1008" t="s">
        <v>257</v>
      </c>
      <c r="C1008" t="s">
        <v>36</v>
      </c>
      <c r="D1008" t="s">
        <v>48</v>
      </c>
      <c r="E1008" t="s">
        <v>25</v>
      </c>
      <c r="F1008" s="7">
        <v>3046555</v>
      </c>
      <c r="G1008" t="s">
        <v>276</v>
      </c>
      <c r="H1008" s="5">
        <v>15718</v>
      </c>
      <c r="I1008" s="12">
        <v>45974</v>
      </c>
      <c r="J1008" s="15">
        <v>30</v>
      </c>
      <c r="K1008" s="15">
        <v>10</v>
      </c>
      <c r="L1008" s="9">
        <v>0.13830000000000001</v>
      </c>
      <c r="M1008" s="9">
        <v>6.0400000000000002E-2</v>
      </c>
      <c r="N1008" s="15">
        <v>7</v>
      </c>
      <c r="O1008" t="s">
        <v>27</v>
      </c>
      <c r="P1008" t="s">
        <v>28</v>
      </c>
      <c r="Q1008" s="24">
        <v>0.65</v>
      </c>
      <c r="R1008" s="5">
        <f t="shared" si="90"/>
        <v>178.66844383561642</v>
      </c>
      <c r="S1008" s="5">
        <f t="shared" si="91"/>
        <v>18.207042191780822</v>
      </c>
      <c r="T1008" s="5">
        <f t="shared" si="92"/>
        <v>160.46140164383559</v>
      </c>
      <c r="U1008" s="15">
        <f t="shared" si="93"/>
        <v>23</v>
      </c>
      <c r="V1008" s="3">
        <f t="shared" si="94"/>
        <v>795.88093000000003</v>
      </c>
      <c r="W1008" s="3">
        <f t="shared" si="95"/>
        <v>1007</v>
      </c>
    </row>
    <row r="1009" spans="1:23" x14ac:dyDescent="0.2">
      <c r="A1009" t="s">
        <v>281</v>
      </c>
      <c r="B1009" t="s">
        <v>47</v>
      </c>
      <c r="C1009" t="s">
        <v>23</v>
      </c>
      <c r="D1009" t="s">
        <v>66</v>
      </c>
      <c r="E1009" t="s">
        <v>56</v>
      </c>
      <c r="F1009" s="7">
        <v>22780879</v>
      </c>
      <c r="G1009" t="s">
        <v>1384</v>
      </c>
      <c r="H1009" s="5">
        <v>81531</v>
      </c>
      <c r="I1009" s="12">
        <v>46076</v>
      </c>
      <c r="J1009" s="15">
        <v>60</v>
      </c>
      <c r="K1009" s="15">
        <v>3</v>
      </c>
      <c r="L1009" s="9">
        <v>7.0800000000000002E-2</v>
      </c>
      <c r="M1009" s="9">
        <v>5.8599999999999999E-2</v>
      </c>
      <c r="N1009" s="15">
        <v>6</v>
      </c>
      <c r="O1009" t="s">
        <v>27</v>
      </c>
      <c r="P1009" t="s">
        <v>28</v>
      </c>
      <c r="Q1009" s="24">
        <v>0.8</v>
      </c>
      <c r="R1009" s="5">
        <f t="shared" si="90"/>
        <v>948.88681643835616</v>
      </c>
      <c r="S1009" s="5">
        <f t="shared" si="91"/>
        <v>78.537807123287664</v>
      </c>
      <c r="T1009" s="5">
        <f t="shared" si="92"/>
        <v>870.34900931506854</v>
      </c>
      <c r="U1009" s="15">
        <f t="shared" si="93"/>
        <v>54</v>
      </c>
      <c r="V1009" s="3">
        <f t="shared" si="94"/>
        <v>795.74256000000025</v>
      </c>
      <c r="W1009" s="3">
        <f t="shared" si="95"/>
        <v>1008</v>
      </c>
    </row>
    <row r="1010" spans="1:23" x14ac:dyDescent="0.2">
      <c r="A1010" t="s">
        <v>244</v>
      </c>
      <c r="B1010" t="s">
        <v>245</v>
      </c>
      <c r="C1010" t="s">
        <v>77</v>
      </c>
      <c r="D1010" t="s">
        <v>48</v>
      </c>
      <c r="E1010" t="s">
        <v>49</v>
      </c>
      <c r="F1010" s="7">
        <v>759292</v>
      </c>
      <c r="G1010" t="s">
        <v>1238</v>
      </c>
      <c r="H1010" s="5">
        <v>61465</v>
      </c>
      <c r="I1010" s="12">
        <v>45665</v>
      </c>
      <c r="J1010" s="15">
        <v>60</v>
      </c>
      <c r="K1010" s="15">
        <v>3</v>
      </c>
      <c r="L1010" s="9">
        <v>0.1171</v>
      </c>
      <c r="M1010" s="9">
        <v>5.2499999999999998E-2</v>
      </c>
      <c r="N1010" s="15">
        <v>6</v>
      </c>
      <c r="O1010" t="s">
        <v>28</v>
      </c>
      <c r="P1010" t="s">
        <v>28</v>
      </c>
      <c r="Q1010" s="24">
        <v>0.2</v>
      </c>
      <c r="R1010" s="5">
        <f t="shared" si="90"/>
        <v>1183.1591506849313</v>
      </c>
      <c r="S1010" s="5">
        <f t="shared" si="91"/>
        <v>53.045136986301365</v>
      </c>
      <c r="T1010" s="5">
        <f t="shared" si="92"/>
        <v>1130.1140136986301</v>
      </c>
      <c r="U1010" s="15">
        <f t="shared" si="93"/>
        <v>54</v>
      </c>
      <c r="V1010" s="3">
        <f t="shared" si="94"/>
        <v>794.12779999999998</v>
      </c>
      <c r="W1010" s="3">
        <f t="shared" si="95"/>
        <v>1009</v>
      </c>
    </row>
    <row r="1011" spans="1:23" x14ac:dyDescent="0.2">
      <c r="A1011" t="s">
        <v>177</v>
      </c>
      <c r="B1011" t="s">
        <v>121</v>
      </c>
      <c r="C1011" t="s">
        <v>36</v>
      </c>
      <c r="D1011" t="s">
        <v>32</v>
      </c>
      <c r="E1011" t="s">
        <v>25</v>
      </c>
      <c r="F1011" s="7">
        <v>3292658</v>
      </c>
      <c r="G1011" t="s">
        <v>1683</v>
      </c>
      <c r="H1011" s="5">
        <v>36637</v>
      </c>
      <c r="I1011" s="12">
        <v>45803</v>
      </c>
      <c r="J1011" s="15">
        <v>30</v>
      </c>
      <c r="K1011" s="15">
        <v>4</v>
      </c>
      <c r="L1011" s="9">
        <v>0.11559999999999999</v>
      </c>
      <c r="M1011" s="9">
        <v>5.3699999999999998E-2</v>
      </c>
      <c r="N1011" s="15">
        <v>7</v>
      </c>
      <c r="O1011" t="s">
        <v>27</v>
      </c>
      <c r="P1011" t="s">
        <v>28</v>
      </c>
      <c r="Q1011" s="24">
        <v>0.35</v>
      </c>
      <c r="R1011" s="5">
        <f t="shared" si="90"/>
        <v>348.10168767123281</v>
      </c>
      <c r="S1011" s="5">
        <f t="shared" si="91"/>
        <v>37.731091232876715</v>
      </c>
      <c r="T1011" s="5">
        <f t="shared" si="92"/>
        <v>310.37059643835607</v>
      </c>
      <c r="U1011" s="15">
        <f t="shared" si="93"/>
        <v>23</v>
      </c>
      <c r="V1011" s="3">
        <f t="shared" si="94"/>
        <v>793.74060499999985</v>
      </c>
      <c r="W1011" s="3">
        <f t="shared" si="95"/>
        <v>1010</v>
      </c>
    </row>
    <row r="1012" spans="1:23" x14ac:dyDescent="0.2">
      <c r="A1012" t="s">
        <v>672</v>
      </c>
      <c r="B1012" t="s">
        <v>110</v>
      </c>
      <c r="C1012" t="s">
        <v>31</v>
      </c>
      <c r="D1012" t="s">
        <v>48</v>
      </c>
      <c r="E1012" t="s">
        <v>49</v>
      </c>
      <c r="F1012" s="7">
        <v>639703</v>
      </c>
      <c r="G1012" t="s">
        <v>1152</v>
      </c>
      <c r="H1012" s="5">
        <v>34176</v>
      </c>
      <c r="I1012" s="12">
        <v>45869</v>
      </c>
      <c r="J1012" s="15">
        <v>30</v>
      </c>
      <c r="K1012" s="15">
        <v>4</v>
      </c>
      <c r="L1012" s="9">
        <v>0.1148</v>
      </c>
      <c r="M1012" s="9">
        <v>4.8599999999999997E-2</v>
      </c>
      <c r="N1012" s="15">
        <v>5</v>
      </c>
      <c r="O1012" t="s">
        <v>27</v>
      </c>
      <c r="P1012" t="s">
        <v>28</v>
      </c>
      <c r="Q1012" s="24">
        <v>0.35</v>
      </c>
      <c r="R1012" s="5">
        <f t="shared" si="90"/>
        <v>322.47162739726025</v>
      </c>
      <c r="S1012" s="5">
        <f t="shared" si="91"/>
        <v>22.752789041095888</v>
      </c>
      <c r="T1012" s="5">
        <f t="shared" si="92"/>
        <v>299.71883835616438</v>
      </c>
      <c r="U1012" s="15">
        <f t="shared" si="93"/>
        <v>25</v>
      </c>
      <c r="V1012" s="3">
        <f t="shared" si="94"/>
        <v>791.85792000000015</v>
      </c>
      <c r="W1012" s="3">
        <f t="shared" si="95"/>
        <v>1011</v>
      </c>
    </row>
    <row r="1013" spans="1:23" x14ac:dyDescent="0.2">
      <c r="A1013" t="s">
        <v>85</v>
      </c>
      <c r="B1013" t="s">
        <v>86</v>
      </c>
      <c r="C1013" t="s">
        <v>36</v>
      </c>
      <c r="D1013" t="s">
        <v>37</v>
      </c>
      <c r="E1013" t="s">
        <v>25</v>
      </c>
      <c r="F1013" s="7">
        <v>1954421</v>
      </c>
      <c r="G1013" t="s">
        <v>442</v>
      </c>
      <c r="H1013" s="5">
        <v>26334</v>
      </c>
      <c r="I1013" s="12">
        <v>45944</v>
      </c>
      <c r="J1013" s="15">
        <v>60</v>
      </c>
      <c r="K1013" s="15">
        <v>3</v>
      </c>
      <c r="L1013" s="9">
        <v>0.1237</v>
      </c>
      <c r="M1013" s="9">
        <v>6.3600000000000004E-2</v>
      </c>
      <c r="N1013" s="15">
        <v>6</v>
      </c>
      <c r="O1013" t="s">
        <v>27</v>
      </c>
      <c r="P1013" t="s">
        <v>28</v>
      </c>
      <c r="Q1013" s="24">
        <v>0.5</v>
      </c>
      <c r="R1013" s="5">
        <f t="shared" si="90"/>
        <v>535.48204931506848</v>
      </c>
      <c r="S1013" s="5">
        <f t="shared" si="91"/>
        <v>27.531655890410956</v>
      </c>
      <c r="T1013" s="5">
        <f t="shared" si="92"/>
        <v>507.95039342465753</v>
      </c>
      <c r="U1013" s="15">
        <f t="shared" si="93"/>
        <v>54</v>
      </c>
      <c r="V1013" s="3">
        <f t="shared" si="94"/>
        <v>791.33670000000006</v>
      </c>
      <c r="W1013" s="3">
        <f t="shared" si="95"/>
        <v>1012</v>
      </c>
    </row>
    <row r="1014" spans="1:23" x14ac:dyDescent="0.2">
      <c r="A1014" t="s">
        <v>54</v>
      </c>
      <c r="B1014" t="s">
        <v>55</v>
      </c>
      <c r="C1014" t="s">
        <v>31</v>
      </c>
      <c r="D1014" t="s">
        <v>24</v>
      </c>
      <c r="E1014" t="s">
        <v>56</v>
      </c>
      <c r="F1014" s="7">
        <v>15261617</v>
      </c>
      <c r="G1014" t="s">
        <v>586</v>
      </c>
      <c r="H1014" s="5">
        <v>47269</v>
      </c>
      <c r="I1014" s="12">
        <v>45965</v>
      </c>
      <c r="J1014" s="15">
        <v>60</v>
      </c>
      <c r="K1014" s="15">
        <v>7</v>
      </c>
      <c r="L1014" s="9">
        <v>9.3200000000000005E-2</v>
      </c>
      <c r="M1014" s="9">
        <v>4.5400000000000003E-2</v>
      </c>
      <c r="N1014" s="15">
        <v>5</v>
      </c>
      <c r="O1014" t="s">
        <v>27</v>
      </c>
      <c r="P1014" t="s">
        <v>28</v>
      </c>
      <c r="Q1014" s="24">
        <v>0.35</v>
      </c>
      <c r="R1014" s="5">
        <f t="shared" si="90"/>
        <v>724.18698082191781</v>
      </c>
      <c r="S1014" s="5">
        <f t="shared" si="91"/>
        <v>29.397432876712326</v>
      </c>
      <c r="T1014" s="5">
        <f t="shared" si="92"/>
        <v>694.78954794520553</v>
      </c>
      <c r="U1014" s="15">
        <f t="shared" si="93"/>
        <v>55</v>
      </c>
      <c r="V1014" s="3">
        <f t="shared" si="94"/>
        <v>790.81036999999992</v>
      </c>
      <c r="W1014" s="3">
        <f t="shared" si="95"/>
        <v>1013</v>
      </c>
    </row>
    <row r="1015" spans="1:23" x14ac:dyDescent="0.2">
      <c r="A1015" t="s">
        <v>608</v>
      </c>
      <c r="B1015" t="s">
        <v>609</v>
      </c>
      <c r="C1015" t="s">
        <v>77</v>
      </c>
      <c r="D1015" t="s">
        <v>48</v>
      </c>
      <c r="E1015" t="s">
        <v>56</v>
      </c>
      <c r="F1015" s="7">
        <v>24905394</v>
      </c>
      <c r="G1015" t="s">
        <v>1036</v>
      </c>
      <c r="H1015" s="5">
        <v>36450</v>
      </c>
      <c r="I1015" s="12">
        <v>46051</v>
      </c>
      <c r="J1015" s="15">
        <v>60</v>
      </c>
      <c r="K1015" s="15">
        <v>3</v>
      </c>
      <c r="L1015" s="9">
        <v>8.5199999999999998E-2</v>
      </c>
      <c r="M1015" s="9">
        <v>5.8200000000000002E-2</v>
      </c>
      <c r="N1015" s="15">
        <v>8</v>
      </c>
      <c r="O1015" t="s">
        <v>27</v>
      </c>
      <c r="P1015" t="s">
        <v>28</v>
      </c>
      <c r="Q1015" s="24">
        <v>0.8</v>
      </c>
      <c r="R1015" s="5">
        <f t="shared" si="90"/>
        <v>510.49972602739723</v>
      </c>
      <c r="S1015" s="5">
        <f t="shared" si="91"/>
        <v>46.496219178082193</v>
      </c>
      <c r="T1015" s="5">
        <f t="shared" si="92"/>
        <v>464.00350684931504</v>
      </c>
      <c r="U1015" s="15">
        <f t="shared" si="93"/>
        <v>52</v>
      </c>
      <c r="V1015" s="3">
        <f t="shared" si="94"/>
        <v>787.31999999999994</v>
      </c>
      <c r="W1015" s="3">
        <f t="shared" si="95"/>
        <v>1014</v>
      </c>
    </row>
    <row r="1016" spans="1:23" x14ac:dyDescent="0.2">
      <c r="A1016" t="s">
        <v>201</v>
      </c>
      <c r="B1016" t="s">
        <v>76</v>
      </c>
      <c r="C1016" t="s">
        <v>23</v>
      </c>
      <c r="D1016" t="s">
        <v>37</v>
      </c>
      <c r="E1016" t="s">
        <v>56</v>
      </c>
      <c r="F1016" s="7">
        <v>21198154</v>
      </c>
      <c r="G1016" t="s">
        <v>954</v>
      </c>
      <c r="H1016" s="5">
        <v>87951</v>
      </c>
      <c r="I1016" s="12">
        <v>45678</v>
      </c>
      <c r="J1016" s="15">
        <v>45</v>
      </c>
      <c r="K1016" s="15">
        <v>7</v>
      </c>
      <c r="L1016" s="9">
        <v>0.1086</v>
      </c>
      <c r="M1016" s="9">
        <v>6.3899999999999998E-2</v>
      </c>
      <c r="N1016" s="15">
        <v>10</v>
      </c>
      <c r="O1016" t="s">
        <v>27</v>
      </c>
      <c r="P1016" t="s">
        <v>28</v>
      </c>
      <c r="Q1016" s="24">
        <v>0.2</v>
      </c>
      <c r="R1016" s="5">
        <f t="shared" si="90"/>
        <v>1177.5795534246574</v>
      </c>
      <c r="S1016" s="5">
        <f t="shared" si="91"/>
        <v>153.97449041095891</v>
      </c>
      <c r="T1016" s="5">
        <f t="shared" si="92"/>
        <v>1023.6050630136986</v>
      </c>
      <c r="U1016" s="15">
        <f t="shared" si="93"/>
        <v>35</v>
      </c>
      <c r="V1016" s="3">
        <f t="shared" si="94"/>
        <v>786.28194000000019</v>
      </c>
      <c r="W1016" s="3">
        <f t="shared" si="95"/>
        <v>1015</v>
      </c>
    </row>
    <row r="1017" spans="1:23" x14ac:dyDescent="0.2">
      <c r="A1017" t="s">
        <v>220</v>
      </c>
      <c r="B1017" t="s">
        <v>221</v>
      </c>
      <c r="C1017" t="s">
        <v>36</v>
      </c>
      <c r="D1017" t="s">
        <v>37</v>
      </c>
      <c r="E1017" t="s">
        <v>25</v>
      </c>
      <c r="F1017" s="7">
        <v>6280246</v>
      </c>
      <c r="G1017" t="s">
        <v>755</v>
      </c>
      <c r="H1017" s="5">
        <v>32352</v>
      </c>
      <c r="I1017" s="12">
        <v>45725</v>
      </c>
      <c r="J1017" s="15">
        <v>30</v>
      </c>
      <c r="K1017" s="15">
        <v>5</v>
      </c>
      <c r="L1017" s="9">
        <v>0.1205</v>
      </c>
      <c r="M1017" s="9">
        <v>5.1200000000000002E-2</v>
      </c>
      <c r="N1017" s="15">
        <v>6</v>
      </c>
      <c r="O1017" t="s">
        <v>27</v>
      </c>
      <c r="P1017" t="s">
        <v>28</v>
      </c>
      <c r="Q1017" s="24">
        <v>0.35</v>
      </c>
      <c r="R1017" s="5">
        <f t="shared" si="90"/>
        <v>320.41775342465752</v>
      </c>
      <c r="S1017" s="5">
        <f t="shared" si="91"/>
        <v>27.228861369863015</v>
      </c>
      <c r="T1017" s="5">
        <f t="shared" si="92"/>
        <v>293.18889205479451</v>
      </c>
      <c r="U1017" s="15">
        <f t="shared" si="93"/>
        <v>24</v>
      </c>
      <c r="V1017" s="3">
        <f t="shared" si="94"/>
        <v>784.69776000000002</v>
      </c>
      <c r="W1017" s="3">
        <f t="shared" si="95"/>
        <v>1016</v>
      </c>
    </row>
    <row r="1018" spans="1:23" x14ac:dyDescent="0.2">
      <c r="A1018" t="s">
        <v>244</v>
      </c>
      <c r="B1018" t="s">
        <v>245</v>
      </c>
      <c r="C1018" t="s">
        <v>77</v>
      </c>
      <c r="D1018" t="s">
        <v>48</v>
      </c>
      <c r="E1018" t="s">
        <v>49</v>
      </c>
      <c r="F1018" s="7">
        <v>759292</v>
      </c>
      <c r="G1018" t="s">
        <v>720</v>
      </c>
      <c r="H1018" s="5">
        <v>16726</v>
      </c>
      <c r="I1018" s="12">
        <v>45838</v>
      </c>
      <c r="J1018" s="15">
        <v>60</v>
      </c>
      <c r="K1018" s="15">
        <v>10</v>
      </c>
      <c r="L1018" s="9">
        <v>0.1171</v>
      </c>
      <c r="M1018" s="9">
        <v>4.4999999999999998E-2</v>
      </c>
      <c r="N1018" s="15">
        <v>6</v>
      </c>
      <c r="O1018" t="s">
        <v>28</v>
      </c>
      <c r="P1018" t="s">
        <v>28</v>
      </c>
      <c r="Q1018" s="24">
        <v>0.65</v>
      </c>
      <c r="R1018" s="5">
        <f t="shared" si="90"/>
        <v>321.96404383561639</v>
      </c>
      <c r="S1018" s="5">
        <f t="shared" si="91"/>
        <v>12.372657534246574</v>
      </c>
      <c r="T1018" s="5">
        <f t="shared" si="92"/>
        <v>309.59138630136982</v>
      </c>
      <c r="U1018" s="15">
        <f t="shared" si="93"/>
        <v>54</v>
      </c>
      <c r="V1018" s="3">
        <f t="shared" si="94"/>
        <v>783.86398999999994</v>
      </c>
      <c r="W1018" s="3">
        <f t="shared" si="95"/>
        <v>1017</v>
      </c>
    </row>
    <row r="1019" spans="1:23" x14ac:dyDescent="0.2">
      <c r="A1019" t="s">
        <v>421</v>
      </c>
      <c r="B1019" t="s">
        <v>422</v>
      </c>
      <c r="C1019" t="s">
        <v>41</v>
      </c>
      <c r="D1019" t="s">
        <v>66</v>
      </c>
      <c r="E1019" t="s">
        <v>56</v>
      </c>
      <c r="F1019" s="7">
        <v>13972206</v>
      </c>
      <c r="G1019" t="s">
        <v>1540</v>
      </c>
      <c r="H1019" s="5">
        <v>22242</v>
      </c>
      <c r="I1019" s="12">
        <v>45827</v>
      </c>
      <c r="J1019" s="15">
        <v>45</v>
      </c>
      <c r="K1019" s="15">
        <v>7</v>
      </c>
      <c r="L1019" s="9">
        <v>9.5000000000000001E-2</v>
      </c>
      <c r="M1019" s="9">
        <v>5.0999999999999997E-2</v>
      </c>
      <c r="N1019" s="15">
        <v>5</v>
      </c>
      <c r="O1019" t="s">
        <v>27</v>
      </c>
      <c r="P1019" t="s">
        <v>28</v>
      </c>
      <c r="Q1019" s="24">
        <v>0.8</v>
      </c>
      <c r="R1019" s="5">
        <f t="shared" si="90"/>
        <v>260.50561643835618</v>
      </c>
      <c r="S1019" s="5">
        <f t="shared" si="91"/>
        <v>15.538931506849313</v>
      </c>
      <c r="T1019" s="5">
        <f t="shared" si="92"/>
        <v>244.96668493150688</v>
      </c>
      <c r="U1019" s="15">
        <f t="shared" si="93"/>
        <v>40</v>
      </c>
      <c r="V1019" s="3">
        <f t="shared" si="94"/>
        <v>782.91840000000002</v>
      </c>
      <c r="W1019" s="3">
        <f t="shared" si="95"/>
        <v>1018</v>
      </c>
    </row>
    <row r="1020" spans="1:23" x14ac:dyDescent="0.2">
      <c r="A1020" t="s">
        <v>308</v>
      </c>
      <c r="B1020" t="s">
        <v>309</v>
      </c>
      <c r="C1020" t="s">
        <v>31</v>
      </c>
      <c r="D1020" t="s">
        <v>24</v>
      </c>
      <c r="E1020" t="s">
        <v>49</v>
      </c>
      <c r="F1020" s="7">
        <v>1224427</v>
      </c>
      <c r="G1020" t="s">
        <v>730</v>
      </c>
      <c r="H1020" s="5">
        <v>40885</v>
      </c>
      <c r="I1020" s="12">
        <v>46016</v>
      </c>
      <c r="J1020" s="15">
        <v>60</v>
      </c>
      <c r="K1020" s="15">
        <v>3</v>
      </c>
      <c r="L1020" s="9">
        <v>0.15670000000000001</v>
      </c>
      <c r="M1020" s="9">
        <v>6.0999999999999999E-2</v>
      </c>
      <c r="N1020" s="15">
        <v>8</v>
      </c>
      <c r="O1020" t="s">
        <v>27</v>
      </c>
      <c r="P1020" t="s">
        <v>28</v>
      </c>
      <c r="Q1020" s="24">
        <v>0.2</v>
      </c>
      <c r="R1020" s="5">
        <f t="shared" si="90"/>
        <v>1053.152794520548</v>
      </c>
      <c r="S1020" s="5">
        <f t="shared" si="91"/>
        <v>54.662684931506853</v>
      </c>
      <c r="T1020" s="5">
        <f t="shared" si="92"/>
        <v>998.49010958904114</v>
      </c>
      <c r="U1020" s="15">
        <f t="shared" si="93"/>
        <v>52</v>
      </c>
      <c r="V1020" s="3">
        <f t="shared" si="94"/>
        <v>782.53890000000013</v>
      </c>
      <c r="W1020" s="3">
        <f t="shared" si="95"/>
        <v>1019</v>
      </c>
    </row>
    <row r="1021" spans="1:23" x14ac:dyDescent="0.2">
      <c r="A1021" t="s">
        <v>259</v>
      </c>
      <c r="B1021" t="s">
        <v>260</v>
      </c>
      <c r="C1021" t="s">
        <v>77</v>
      </c>
      <c r="D1021" t="s">
        <v>37</v>
      </c>
      <c r="E1021" t="s">
        <v>56</v>
      </c>
      <c r="F1021" s="7">
        <v>20068674</v>
      </c>
      <c r="G1021" t="s">
        <v>1548</v>
      </c>
      <c r="H1021" s="5">
        <v>19255</v>
      </c>
      <c r="I1021" s="12">
        <v>45904</v>
      </c>
      <c r="J1021" s="15">
        <v>30</v>
      </c>
      <c r="K1021" s="15">
        <v>3</v>
      </c>
      <c r="L1021" s="9">
        <v>0.1062</v>
      </c>
      <c r="M1021" s="9">
        <v>5.57E-2</v>
      </c>
      <c r="N1021" s="15">
        <v>8</v>
      </c>
      <c r="O1021" t="s">
        <v>27</v>
      </c>
      <c r="P1021" t="s">
        <v>28</v>
      </c>
      <c r="Q1021" s="24">
        <v>0.8</v>
      </c>
      <c r="R1021" s="5">
        <f t="shared" si="90"/>
        <v>168.0724109589041</v>
      </c>
      <c r="S1021" s="5">
        <f t="shared" si="91"/>
        <v>23.50692602739726</v>
      </c>
      <c r="T1021" s="5">
        <f t="shared" si="92"/>
        <v>144.56548493150683</v>
      </c>
      <c r="U1021" s="15">
        <f t="shared" si="93"/>
        <v>22</v>
      </c>
      <c r="V1021" s="3">
        <f t="shared" si="94"/>
        <v>777.90200000000016</v>
      </c>
      <c r="W1021" s="3">
        <f t="shared" si="95"/>
        <v>1020</v>
      </c>
    </row>
    <row r="1022" spans="1:23" x14ac:dyDescent="0.2">
      <c r="A1022" t="s">
        <v>268</v>
      </c>
      <c r="B1022" t="s">
        <v>269</v>
      </c>
      <c r="C1022" t="s">
        <v>36</v>
      </c>
      <c r="D1022" t="s">
        <v>37</v>
      </c>
      <c r="E1022" t="s">
        <v>25</v>
      </c>
      <c r="F1022" s="7">
        <v>1810544</v>
      </c>
      <c r="G1022" t="s">
        <v>270</v>
      </c>
      <c r="H1022" s="5">
        <v>33229</v>
      </c>
      <c r="I1022" s="12">
        <v>45758</v>
      </c>
      <c r="J1022" s="15">
        <v>60</v>
      </c>
      <c r="K1022" s="15">
        <v>10</v>
      </c>
      <c r="L1022" s="9">
        <v>9.6299999999999997E-2</v>
      </c>
      <c r="M1022" s="9">
        <v>4.9500000000000002E-2</v>
      </c>
      <c r="N1022" s="15">
        <v>10</v>
      </c>
      <c r="O1022" t="s">
        <v>27</v>
      </c>
      <c r="P1022" t="s">
        <v>28</v>
      </c>
      <c r="Q1022" s="24">
        <v>0.5</v>
      </c>
      <c r="R1022" s="5">
        <f t="shared" si="90"/>
        <v>526.01962191780819</v>
      </c>
      <c r="S1022" s="5">
        <f t="shared" si="91"/>
        <v>45.063986301369866</v>
      </c>
      <c r="T1022" s="5">
        <f t="shared" si="92"/>
        <v>480.95563561643831</v>
      </c>
      <c r="U1022" s="15">
        <f t="shared" si="93"/>
        <v>50</v>
      </c>
      <c r="V1022" s="3">
        <f t="shared" si="94"/>
        <v>777.55859999999996</v>
      </c>
      <c r="W1022" s="3">
        <f t="shared" si="95"/>
        <v>1021</v>
      </c>
    </row>
    <row r="1023" spans="1:23" x14ac:dyDescent="0.2">
      <c r="A1023" t="s">
        <v>120</v>
      </c>
      <c r="B1023" t="s">
        <v>121</v>
      </c>
      <c r="C1023" t="s">
        <v>31</v>
      </c>
      <c r="D1023" t="s">
        <v>48</v>
      </c>
      <c r="E1023" t="s">
        <v>56</v>
      </c>
      <c r="F1023" s="7">
        <v>14943587</v>
      </c>
      <c r="G1023" t="s">
        <v>380</v>
      </c>
      <c r="H1023" s="5">
        <v>46180</v>
      </c>
      <c r="I1023" s="12">
        <v>45852</v>
      </c>
      <c r="J1023" s="15">
        <v>60</v>
      </c>
      <c r="K1023" s="15">
        <v>7</v>
      </c>
      <c r="L1023" s="9">
        <v>0.1046</v>
      </c>
      <c r="M1023" s="9">
        <v>5.6599999999999998E-2</v>
      </c>
      <c r="N1023" s="15">
        <v>8</v>
      </c>
      <c r="O1023" t="s">
        <v>27</v>
      </c>
      <c r="P1023" t="s">
        <v>28</v>
      </c>
      <c r="Q1023" s="24">
        <v>0.35</v>
      </c>
      <c r="R1023" s="5">
        <f t="shared" si="90"/>
        <v>794.04295890410958</v>
      </c>
      <c r="S1023" s="5">
        <f t="shared" si="91"/>
        <v>57.288504109589041</v>
      </c>
      <c r="T1023" s="5">
        <f t="shared" si="92"/>
        <v>736.7544547945206</v>
      </c>
      <c r="U1023" s="15">
        <f t="shared" si="93"/>
        <v>52</v>
      </c>
      <c r="V1023" s="3">
        <f t="shared" si="94"/>
        <v>775.82399999999996</v>
      </c>
      <c r="W1023" s="3">
        <f t="shared" si="95"/>
        <v>1022</v>
      </c>
    </row>
    <row r="1024" spans="1:23" x14ac:dyDescent="0.2">
      <c r="A1024" t="s">
        <v>711</v>
      </c>
      <c r="B1024" t="s">
        <v>190</v>
      </c>
      <c r="C1024" t="s">
        <v>77</v>
      </c>
      <c r="D1024" t="s">
        <v>37</v>
      </c>
      <c r="E1024" t="s">
        <v>49</v>
      </c>
      <c r="F1024" s="7">
        <v>407422</v>
      </c>
      <c r="G1024" t="s">
        <v>712</v>
      </c>
      <c r="H1024" s="5">
        <v>30096</v>
      </c>
      <c r="I1024" s="12">
        <v>45709</v>
      </c>
      <c r="J1024" s="15">
        <v>90</v>
      </c>
      <c r="K1024" s="15">
        <v>10</v>
      </c>
      <c r="L1024" s="9">
        <v>0.121</v>
      </c>
      <c r="M1024" s="9">
        <v>4.7399999999999998E-2</v>
      </c>
      <c r="N1024" s="15">
        <v>6</v>
      </c>
      <c r="O1024" t="s">
        <v>27</v>
      </c>
      <c r="P1024" t="s">
        <v>28</v>
      </c>
      <c r="Q1024" s="24">
        <v>0.35</v>
      </c>
      <c r="R1024" s="5">
        <f t="shared" si="90"/>
        <v>897.93271232876702</v>
      </c>
      <c r="S1024" s="5">
        <f t="shared" si="91"/>
        <v>23.450143561643831</v>
      </c>
      <c r="T1024" s="5">
        <f t="shared" si="92"/>
        <v>874.48256876712321</v>
      </c>
      <c r="U1024" s="15">
        <f t="shared" si="93"/>
        <v>84</v>
      </c>
      <c r="V1024" s="3">
        <f t="shared" si="94"/>
        <v>775.2729599999999</v>
      </c>
      <c r="W1024" s="3">
        <f t="shared" si="95"/>
        <v>1023</v>
      </c>
    </row>
    <row r="1025" spans="1:23" x14ac:dyDescent="0.2">
      <c r="A1025" t="s">
        <v>453</v>
      </c>
      <c r="B1025" t="s">
        <v>454</v>
      </c>
      <c r="C1025" t="s">
        <v>23</v>
      </c>
      <c r="D1025" t="s">
        <v>32</v>
      </c>
      <c r="E1025" t="s">
        <v>49</v>
      </c>
      <c r="F1025" s="7">
        <v>1410716</v>
      </c>
      <c r="G1025" t="s">
        <v>1367</v>
      </c>
      <c r="H1025" s="5">
        <v>18752</v>
      </c>
      <c r="I1025" s="12">
        <v>45981</v>
      </c>
      <c r="J1025" s="15">
        <v>60</v>
      </c>
      <c r="K1025" s="15">
        <v>3</v>
      </c>
      <c r="L1025" s="9">
        <v>0.1472</v>
      </c>
      <c r="M1025" s="9">
        <v>6.4799999999999996E-2</v>
      </c>
      <c r="N1025" s="15">
        <v>6</v>
      </c>
      <c r="O1025" t="s">
        <v>27</v>
      </c>
      <c r="P1025" t="s">
        <v>28</v>
      </c>
      <c r="Q1025" s="24">
        <v>0.5</v>
      </c>
      <c r="R1025" s="5">
        <f t="shared" si="90"/>
        <v>453.74702465753421</v>
      </c>
      <c r="S1025" s="5">
        <f t="shared" si="91"/>
        <v>19.97473315068493</v>
      </c>
      <c r="T1025" s="5">
        <f t="shared" si="92"/>
        <v>433.77229150684929</v>
      </c>
      <c r="U1025" s="15">
        <f t="shared" si="93"/>
        <v>54</v>
      </c>
      <c r="V1025" s="3">
        <f t="shared" si="94"/>
        <v>772.58240000000001</v>
      </c>
      <c r="W1025" s="3">
        <f t="shared" si="95"/>
        <v>1024</v>
      </c>
    </row>
    <row r="1026" spans="1:23" x14ac:dyDescent="0.2">
      <c r="A1026" t="s">
        <v>300</v>
      </c>
      <c r="B1026" t="s">
        <v>301</v>
      </c>
      <c r="C1026" t="s">
        <v>77</v>
      </c>
      <c r="D1026" t="s">
        <v>66</v>
      </c>
      <c r="E1026" t="s">
        <v>25</v>
      </c>
      <c r="F1026" s="7">
        <v>2362296</v>
      </c>
      <c r="G1026" t="s">
        <v>302</v>
      </c>
      <c r="H1026" s="5">
        <v>14180</v>
      </c>
      <c r="I1026" s="12">
        <v>46010</v>
      </c>
      <c r="J1026" s="15">
        <v>60</v>
      </c>
      <c r="K1026" s="15">
        <v>10</v>
      </c>
      <c r="L1026" s="9">
        <v>0.1077</v>
      </c>
      <c r="M1026" s="9">
        <v>4.7199999999999999E-2</v>
      </c>
      <c r="N1026" s="15">
        <v>8</v>
      </c>
      <c r="O1026" t="s">
        <v>27</v>
      </c>
      <c r="P1026" t="s">
        <v>28</v>
      </c>
      <c r="Q1026" s="24">
        <v>0.9</v>
      </c>
      <c r="R1026" s="5">
        <f t="shared" ref="R1026:R1089" si="96">H1026*L1026*(J1026/365)</f>
        <v>251.04427397260275</v>
      </c>
      <c r="S1026" s="5">
        <f t="shared" ref="S1026:S1089" si="97">H1026*M1026*(N1026/365)</f>
        <v>14.669501369863012</v>
      </c>
      <c r="T1026" s="5">
        <f t="shared" ref="T1026:T1089" si="98">R1026-S1026</f>
        <v>236.37477260273974</v>
      </c>
      <c r="U1026" s="15">
        <f t="shared" ref="U1026:U1089" si="99">J1026-N1026</f>
        <v>52</v>
      </c>
      <c r="V1026" s="3">
        <f t="shared" ref="V1026:V1089" si="100">Q1026*(L1026-M1026)*H1026</f>
        <v>772.10100000000011</v>
      </c>
      <c r="W1026" s="3">
        <f t="shared" ref="W1026:W1089" si="101">RANK(V1026,$V$2:$V$1501)</f>
        <v>1025</v>
      </c>
    </row>
    <row r="1027" spans="1:23" x14ac:dyDescent="0.2">
      <c r="A1027" t="s">
        <v>602</v>
      </c>
      <c r="B1027" t="s">
        <v>367</v>
      </c>
      <c r="C1027" t="s">
        <v>41</v>
      </c>
      <c r="D1027" t="s">
        <v>66</v>
      </c>
      <c r="E1027" t="s">
        <v>56</v>
      </c>
      <c r="F1027" s="7">
        <v>9703738</v>
      </c>
      <c r="G1027" t="s">
        <v>662</v>
      </c>
      <c r="H1027" s="5">
        <v>80236</v>
      </c>
      <c r="I1027" s="12">
        <v>45767</v>
      </c>
      <c r="J1027" s="15">
        <v>30</v>
      </c>
      <c r="K1027" s="15">
        <v>7</v>
      </c>
      <c r="L1027" s="9">
        <v>7.5499999999999998E-2</v>
      </c>
      <c r="M1027" s="9">
        <v>4.82E-2</v>
      </c>
      <c r="N1027" s="15">
        <v>10</v>
      </c>
      <c r="O1027" t="s">
        <v>27</v>
      </c>
      <c r="P1027" t="s">
        <v>28</v>
      </c>
      <c r="Q1027" s="24">
        <v>0.35</v>
      </c>
      <c r="R1027" s="5">
        <f t="shared" si="96"/>
        <v>497.90284931506847</v>
      </c>
      <c r="S1027" s="5">
        <f t="shared" si="97"/>
        <v>105.95548493150685</v>
      </c>
      <c r="T1027" s="5">
        <f t="shared" si="98"/>
        <v>391.94736438356165</v>
      </c>
      <c r="U1027" s="15">
        <f t="shared" si="99"/>
        <v>20</v>
      </c>
      <c r="V1027" s="3">
        <f t="shared" si="100"/>
        <v>766.65497999999991</v>
      </c>
      <c r="W1027" s="3">
        <f t="shared" si="101"/>
        <v>1026</v>
      </c>
    </row>
    <row r="1028" spans="1:23" x14ac:dyDescent="0.2">
      <c r="A1028" t="s">
        <v>177</v>
      </c>
      <c r="B1028" t="s">
        <v>121</v>
      </c>
      <c r="C1028" t="s">
        <v>36</v>
      </c>
      <c r="D1028" t="s">
        <v>32</v>
      </c>
      <c r="E1028" t="s">
        <v>25</v>
      </c>
      <c r="F1028" s="7">
        <v>3292658</v>
      </c>
      <c r="G1028" t="s">
        <v>390</v>
      </c>
      <c r="H1028" s="5">
        <v>14192</v>
      </c>
      <c r="I1028" s="12">
        <v>45878</v>
      </c>
      <c r="J1028" s="15">
        <v>60</v>
      </c>
      <c r="K1028" s="15">
        <v>4</v>
      </c>
      <c r="L1028" s="9">
        <v>0.11559999999999999</v>
      </c>
      <c r="M1028" s="9">
        <v>5.57E-2</v>
      </c>
      <c r="N1028" s="15">
        <v>7</v>
      </c>
      <c r="O1028" t="s">
        <v>28</v>
      </c>
      <c r="P1028" t="s">
        <v>28</v>
      </c>
      <c r="Q1028" s="24">
        <v>0.9</v>
      </c>
      <c r="R1028" s="5">
        <f t="shared" si="96"/>
        <v>269.6868821917808</v>
      </c>
      <c r="S1028" s="5">
        <f t="shared" si="97"/>
        <v>15.160166575342467</v>
      </c>
      <c r="T1028" s="5">
        <f t="shared" si="98"/>
        <v>254.52671561643834</v>
      </c>
      <c r="U1028" s="15">
        <f t="shared" si="99"/>
        <v>53</v>
      </c>
      <c r="V1028" s="3">
        <f t="shared" si="100"/>
        <v>765.09072000000003</v>
      </c>
      <c r="W1028" s="3">
        <f t="shared" si="101"/>
        <v>1027</v>
      </c>
    </row>
    <row r="1029" spans="1:23" x14ac:dyDescent="0.2">
      <c r="A1029" t="s">
        <v>94</v>
      </c>
      <c r="B1029" t="s">
        <v>95</v>
      </c>
      <c r="C1029" t="s">
        <v>41</v>
      </c>
      <c r="D1029" t="s">
        <v>66</v>
      </c>
      <c r="E1029" t="s">
        <v>25</v>
      </c>
      <c r="F1029" s="7">
        <v>2406772</v>
      </c>
      <c r="G1029" t="s">
        <v>108</v>
      </c>
      <c r="H1029" s="5">
        <v>24999</v>
      </c>
      <c r="I1029" s="12">
        <v>45774</v>
      </c>
      <c r="J1029" s="15">
        <v>60</v>
      </c>
      <c r="K1029" s="15">
        <v>2</v>
      </c>
      <c r="L1029" s="9">
        <v>0.1091</v>
      </c>
      <c r="M1029" s="9">
        <v>6.2100000000000002E-2</v>
      </c>
      <c r="N1029" s="15">
        <v>10</v>
      </c>
      <c r="O1029" t="s">
        <v>27</v>
      </c>
      <c r="P1029" t="s">
        <v>28</v>
      </c>
      <c r="Q1029" s="24">
        <v>0.65</v>
      </c>
      <c r="R1029" s="5">
        <f t="shared" si="96"/>
        <v>448.33823013698628</v>
      </c>
      <c r="S1029" s="5">
        <f t="shared" si="97"/>
        <v>42.532545205479451</v>
      </c>
      <c r="T1029" s="5">
        <f t="shared" si="98"/>
        <v>405.80568493150685</v>
      </c>
      <c r="U1029" s="15">
        <f t="shared" si="99"/>
        <v>50</v>
      </c>
      <c r="V1029" s="3">
        <f t="shared" si="100"/>
        <v>763.71945000000005</v>
      </c>
      <c r="W1029" s="3">
        <f t="shared" si="101"/>
        <v>1028</v>
      </c>
    </row>
    <row r="1030" spans="1:23" x14ac:dyDescent="0.2">
      <c r="A1030" t="s">
        <v>233</v>
      </c>
      <c r="B1030" t="s">
        <v>59</v>
      </c>
      <c r="C1030" t="s">
        <v>77</v>
      </c>
      <c r="D1030" t="s">
        <v>66</v>
      </c>
      <c r="E1030" t="s">
        <v>49</v>
      </c>
      <c r="F1030" s="7">
        <v>809893</v>
      </c>
      <c r="G1030" t="s">
        <v>527</v>
      </c>
      <c r="H1030" s="5">
        <v>37969</v>
      </c>
      <c r="I1030" s="12">
        <v>45669</v>
      </c>
      <c r="J1030" s="15">
        <v>60</v>
      </c>
      <c r="K1030" s="15">
        <v>4</v>
      </c>
      <c r="L1030" s="9">
        <v>0.15909999999999999</v>
      </c>
      <c r="M1030" s="9">
        <v>5.8700000000000002E-2</v>
      </c>
      <c r="N1030" s="15">
        <v>5</v>
      </c>
      <c r="O1030" t="s">
        <v>27</v>
      </c>
      <c r="P1030" t="s">
        <v>28</v>
      </c>
      <c r="Q1030" s="24">
        <v>0.2</v>
      </c>
      <c r="R1030" s="5">
        <f t="shared" si="96"/>
        <v>993.01938082191759</v>
      </c>
      <c r="S1030" s="5">
        <f t="shared" si="97"/>
        <v>30.531236986301366</v>
      </c>
      <c r="T1030" s="5">
        <f t="shared" si="98"/>
        <v>962.48814383561626</v>
      </c>
      <c r="U1030" s="15">
        <f t="shared" si="99"/>
        <v>55</v>
      </c>
      <c r="V1030" s="3">
        <f t="shared" si="100"/>
        <v>762.41751999999997</v>
      </c>
      <c r="W1030" s="3">
        <f t="shared" si="101"/>
        <v>1029</v>
      </c>
    </row>
    <row r="1031" spans="1:23" x14ac:dyDescent="0.2">
      <c r="A1031" t="s">
        <v>711</v>
      </c>
      <c r="B1031" t="s">
        <v>190</v>
      </c>
      <c r="C1031" t="s">
        <v>77</v>
      </c>
      <c r="D1031" t="s">
        <v>37</v>
      </c>
      <c r="E1031" t="s">
        <v>49</v>
      </c>
      <c r="F1031" s="7">
        <v>407422</v>
      </c>
      <c r="G1031" t="s">
        <v>1499</v>
      </c>
      <c r="H1031" s="5">
        <v>30564</v>
      </c>
      <c r="I1031" s="12">
        <v>45851</v>
      </c>
      <c r="J1031" s="15">
        <v>60</v>
      </c>
      <c r="K1031" s="15">
        <v>2</v>
      </c>
      <c r="L1031" s="9">
        <v>0.121</v>
      </c>
      <c r="M1031" s="9">
        <v>4.99E-2</v>
      </c>
      <c r="N1031" s="15">
        <v>8</v>
      </c>
      <c r="O1031" t="s">
        <v>27</v>
      </c>
      <c r="P1031" t="s">
        <v>28</v>
      </c>
      <c r="Q1031" s="24">
        <v>0.35</v>
      </c>
      <c r="R1031" s="5">
        <f t="shared" si="96"/>
        <v>607.93052054794509</v>
      </c>
      <c r="S1031" s="5">
        <f t="shared" si="97"/>
        <v>33.427804931506849</v>
      </c>
      <c r="T1031" s="5">
        <f t="shared" si="98"/>
        <v>574.50271561643819</v>
      </c>
      <c r="U1031" s="15">
        <f t="shared" si="99"/>
        <v>52</v>
      </c>
      <c r="V1031" s="3">
        <f t="shared" si="100"/>
        <v>760.58513999999991</v>
      </c>
      <c r="W1031" s="3">
        <f t="shared" si="101"/>
        <v>1030</v>
      </c>
    </row>
    <row r="1032" spans="1:23" x14ac:dyDescent="0.2">
      <c r="A1032" t="s">
        <v>273</v>
      </c>
      <c r="B1032" t="s">
        <v>274</v>
      </c>
      <c r="C1032" t="s">
        <v>41</v>
      </c>
      <c r="D1032" t="s">
        <v>37</v>
      </c>
      <c r="E1032" t="s">
        <v>56</v>
      </c>
      <c r="F1032" s="7">
        <v>12001432</v>
      </c>
      <c r="G1032" t="s">
        <v>548</v>
      </c>
      <c r="H1032" s="5">
        <v>35865</v>
      </c>
      <c r="I1032" s="12">
        <v>46039</v>
      </c>
      <c r="J1032" s="15">
        <v>60</v>
      </c>
      <c r="K1032" s="15">
        <v>7</v>
      </c>
      <c r="L1032" s="9">
        <v>9.1800000000000007E-2</v>
      </c>
      <c r="M1032" s="9">
        <v>4.9399999999999999E-2</v>
      </c>
      <c r="N1032" s="15">
        <v>10</v>
      </c>
      <c r="O1032" t="s">
        <v>28</v>
      </c>
      <c r="P1032" t="s">
        <v>28</v>
      </c>
      <c r="Q1032" s="24">
        <v>0.5</v>
      </c>
      <c r="R1032" s="5">
        <f t="shared" si="96"/>
        <v>541.21758904109583</v>
      </c>
      <c r="S1032" s="5">
        <f t="shared" si="97"/>
        <v>48.54057534246575</v>
      </c>
      <c r="T1032" s="5">
        <f t="shared" si="98"/>
        <v>492.67701369863011</v>
      </c>
      <c r="U1032" s="15">
        <f t="shared" si="99"/>
        <v>50</v>
      </c>
      <c r="V1032" s="3">
        <f t="shared" si="100"/>
        <v>760.33800000000008</v>
      </c>
      <c r="W1032" s="3">
        <f t="shared" si="101"/>
        <v>1031</v>
      </c>
    </row>
    <row r="1033" spans="1:23" x14ac:dyDescent="0.2">
      <c r="A1033" t="s">
        <v>100</v>
      </c>
      <c r="B1033" t="s">
        <v>101</v>
      </c>
      <c r="C1033" t="s">
        <v>77</v>
      </c>
      <c r="D1033" t="s">
        <v>48</v>
      </c>
      <c r="E1033" t="s">
        <v>49</v>
      </c>
      <c r="F1033" s="7">
        <v>1484226</v>
      </c>
      <c r="G1033" t="s">
        <v>420</v>
      </c>
      <c r="H1033" s="5">
        <v>12887</v>
      </c>
      <c r="I1033" s="12">
        <v>45878</v>
      </c>
      <c r="J1033" s="15">
        <v>90</v>
      </c>
      <c r="K1033" s="15">
        <v>4</v>
      </c>
      <c r="L1033" s="9">
        <v>0.17929999999999999</v>
      </c>
      <c r="M1033" s="9">
        <v>6.1800000000000001E-2</v>
      </c>
      <c r="N1033" s="15">
        <v>8</v>
      </c>
      <c r="O1033" t="s">
        <v>27</v>
      </c>
      <c r="P1033" t="s">
        <v>28</v>
      </c>
      <c r="Q1033" s="24">
        <v>0.5</v>
      </c>
      <c r="R1033" s="5">
        <f t="shared" si="96"/>
        <v>569.74662739726023</v>
      </c>
      <c r="S1033" s="5">
        <f t="shared" si="97"/>
        <v>17.455706301369865</v>
      </c>
      <c r="T1033" s="5">
        <f t="shared" si="98"/>
        <v>552.29092109589033</v>
      </c>
      <c r="U1033" s="15">
        <f t="shared" si="99"/>
        <v>82</v>
      </c>
      <c r="V1033" s="3">
        <f t="shared" si="100"/>
        <v>757.11124999999993</v>
      </c>
      <c r="W1033" s="3">
        <f t="shared" si="101"/>
        <v>1032</v>
      </c>
    </row>
    <row r="1034" spans="1:23" x14ac:dyDescent="0.2">
      <c r="A1034" t="s">
        <v>82</v>
      </c>
      <c r="B1034" t="s">
        <v>83</v>
      </c>
      <c r="C1034" t="s">
        <v>23</v>
      </c>
      <c r="D1034" t="s">
        <v>66</v>
      </c>
      <c r="E1034" t="s">
        <v>49</v>
      </c>
      <c r="F1034" s="7">
        <v>946643</v>
      </c>
      <c r="G1034" t="s">
        <v>748</v>
      </c>
      <c r="H1034" s="5">
        <v>33964</v>
      </c>
      <c r="I1034" s="12">
        <v>45698</v>
      </c>
      <c r="J1034" s="15">
        <v>60</v>
      </c>
      <c r="K1034" s="15">
        <v>4</v>
      </c>
      <c r="L1034" s="9">
        <v>0.1648</v>
      </c>
      <c r="M1034" s="9">
        <v>5.3400000000000003E-2</v>
      </c>
      <c r="N1034" s="15">
        <v>10</v>
      </c>
      <c r="O1034" t="s">
        <v>27</v>
      </c>
      <c r="P1034" t="s">
        <v>28</v>
      </c>
      <c r="Q1034" s="24">
        <v>0.2</v>
      </c>
      <c r="R1034" s="5">
        <f t="shared" si="96"/>
        <v>920.09871780821913</v>
      </c>
      <c r="S1034" s="5">
        <f t="shared" si="97"/>
        <v>49.689797260273977</v>
      </c>
      <c r="T1034" s="5">
        <f t="shared" si="98"/>
        <v>870.40892054794517</v>
      </c>
      <c r="U1034" s="15">
        <f t="shared" si="99"/>
        <v>50</v>
      </c>
      <c r="V1034" s="3">
        <f t="shared" si="100"/>
        <v>756.71792000000005</v>
      </c>
      <c r="W1034" s="3">
        <f t="shared" si="101"/>
        <v>1033</v>
      </c>
    </row>
    <row r="1035" spans="1:23" x14ac:dyDescent="0.2">
      <c r="A1035" t="s">
        <v>29</v>
      </c>
      <c r="B1035" t="s">
        <v>30</v>
      </c>
      <c r="C1035" t="s">
        <v>31</v>
      </c>
      <c r="D1035" t="s">
        <v>32</v>
      </c>
      <c r="E1035" t="s">
        <v>25</v>
      </c>
      <c r="F1035" s="7">
        <v>4331160</v>
      </c>
      <c r="G1035" t="s">
        <v>1078</v>
      </c>
      <c r="H1035" s="5">
        <v>26744</v>
      </c>
      <c r="I1035" s="12">
        <v>46041</v>
      </c>
      <c r="J1035" s="15">
        <v>60</v>
      </c>
      <c r="K1035" s="15">
        <v>3</v>
      </c>
      <c r="L1035" s="9">
        <v>0.12809999999999999</v>
      </c>
      <c r="M1035" s="9">
        <v>4.7500000000000001E-2</v>
      </c>
      <c r="N1035" s="15">
        <v>5</v>
      </c>
      <c r="O1035" t="s">
        <v>28</v>
      </c>
      <c r="P1035" t="s">
        <v>28</v>
      </c>
      <c r="Q1035" s="24">
        <v>0.35</v>
      </c>
      <c r="R1035" s="5">
        <f t="shared" si="96"/>
        <v>563.16269589041087</v>
      </c>
      <c r="S1035" s="5">
        <f t="shared" si="97"/>
        <v>17.401917808219174</v>
      </c>
      <c r="T1035" s="5">
        <f t="shared" si="98"/>
        <v>545.76077808219168</v>
      </c>
      <c r="U1035" s="15">
        <f t="shared" si="99"/>
        <v>55</v>
      </c>
      <c r="V1035" s="3">
        <f t="shared" si="100"/>
        <v>754.44823999999983</v>
      </c>
      <c r="W1035" s="3">
        <f t="shared" si="101"/>
        <v>1034</v>
      </c>
    </row>
    <row r="1036" spans="1:23" x14ac:dyDescent="0.2">
      <c r="A1036" t="s">
        <v>256</v>
      </c>
      <c r="B1036" t="s">
        <v>257</v>
      </c>
      <c r="C1036" t="s">
        <v>36</v>
      </c>
      <c r="D1036" t="s">
        <v>48</v>
      </c>
      <c r="E1036" t="s">
        <v>25</v>
      </c>
      <c r="F1036" s="7">
        <v>3046555</v>
      </c>
      <c r="G1036" t="s">
        <v>860</v>
      </c>
      <c r="H1036" s="5">
        <v>16660</v>
      </c>
      <c r="I1036" s="12">
        <v>45894</v>
      </c>
      <c r="J1036" s="15">
        <v>60</v>
      </c>
      <c r="K1036" s="15">
        <v>5</v>
      </c>
      <c r="L1036" s="9">
        <v>0.13830000000000001</v>
      </c>
      <c r="M1036" s="9">
        <v>4.8099999999999997E-2</v>
      </c>
      <c r="N1036" s="15">
        <v>8</v>
      </c>
      <c r="O1036" t="s">
        <v>27</v>
      </c>
      <c r="P1036" t="s">
        <v>28</v>
      </c>
      <c r="Q1036" s="24">
        <v>0.5</v>
      </c>
      <c r="R1036" s="5">
        <f t="shared" si="96"/>
        <v>378.75254794520544</v>
      </c>
      <c r="S1036" s="5">
        <f t="shared" si="97"/>
        <v>17.563747945205481</v>
      </c>
      <c r="T1036" s="5">
        <f t="shared" si="98"/>
        <v>361.18879999999996</v>
      </c>
      <c r="U1036" s="15">
        <f t="shared" si="99"/>
        <v>52</v>
      </c>
      <c r="V1036" s="3">
        <f t="shared" si="100"/>
        <v>751.36599999999999</v>
      </c>
      <c r="W1036" s="3">
        <f t="shared" si="101"/>
        <v>1035</v>
      </c>
    </row>
    <row r="1037" spans="1:23" x14ac:dyDescent="0.2">
      <c r="A1037" t="s">
        <v>230</v>
      </c>
      <c r="B1037" t="s">
        <v>231</v>
      </c>
      <c r="C1037" t="s">
        <v>31</v>
      </c>
      <c r="D1037" t="s">
        <v>37</v>
      </c>
      <c r="E1037" t="s">
        <v>25</v>
      </c>
      <c r="F1037" s="7">
        <v>6782855</v>
      </c>
      <c r="G1037" t="s">
        <v>1396</v>
      </c>
      <c r="H1037" s="5">
        <v>15956</v>
      </c>
      <c r="I1037" s="12">
        <v>45734</v>
      </c>
      <c r="J1037" s="15">
        <v>45</v>
      </c>
      <c r="K1037" s="15">
        <v>3</v>
      </c>
      <c r="L1037" s="9">
        <v>0.1188</v>
      </c>
      <c r="M1037" s="9">
        <v>4.6600000000000003E-2</v>
      </c>
      <c r="N1037" s="15">
        <v>5</v>
      </c>
      <c r="O1037" t="s">
        <v>28</v>
      </c>
      <c r="P1037" t="s">
        <v>28</v>
      </c>
      <c r="Q1037" s="24">
        <v>0.65</v>
      </c>
      <c r="R1037" s="5">
        <f t="shared" si="96"/>
        <v>233.70075616438356</v>
      </c>
      <c r="S1037" s="5">
        <f t="shared" si="97"/>
        <v>10.18561095890411</v>
      </c>
      <c r="T1037" s="5">
        <f t="shared" si="98"/>
        <v>223.51514520547946</v>
      </c>
      <c r="U1037" s="15">
        <f t="shared" si="99"/>
        <v>40</v>
      </c>
      <c r="V1037" s="3">
        <f t="shared" si="100"/>
        <v>748.81507999999997</v>
      </c>
      <c r="W1037" s="3">
        <f t="shared" si="101"/>
        <v>1036</v>
      </c>
    </row>
    <row r="1038" spans="1:23" x14ac:dyDescent="0.2">
      <c r="A1038" t="s">
        <v>94</v>
      </c>
      <c r="B1038" t="s">
        <v>95</v>
      </c>
      <c r="C1038" t="s">
        <v>41</v>
      </c>
      <c r="D1038" t="s">
        <v>66</v>
      </c>
      <c r="E1038" t="s">
        <v>25</v>
      </c>
      <c r="F1038" s="7">
        <v>2406772</v>
      </c>
      <c r="G1038" t="s">
        <v>1456</v>
      </c>
      <c r="H1038" s="5">
        <v>27937</v>
      </c>
      <c r="I1038" s="12">
        <v>45716</v>
      </c>
      <c r="J1038" s="15">
        <v>45</v>
      </c>
      <c r="K1038" s="15">
        <v>2</v>
      </c>
      <c r="L1038" s="9">
        <v>0.1091</v>
      </c>
      <c r="M1038" s="9">
        <v>5.57E-2</v>
      </c>
      <c r="N1038" s="15">
        <v>10</v>
      </c>
      <c r="O1038" t="s">
        <v>27</v>
      </c>
      <c r="P1038" t="s">
        <v>28</v>
      </c>
      <c r="Q1038" s="24">
        <v>0.5</v>
      </c>
      <c r="R1038" s="5">
        <f t="shared" si="96"/>
        <v>375.77178493150683</v>
      </c>
      <c r="S1038" s="5">
        <f t="shared" si="97"/>
        <v>42.632627397260272</v>
      </c>
      <c r="T1038" s="5">
        <f t="shared" si="98"/>
        <v>333.13915753424658</v>
      </c>
      <c r="U1038" s="15">
        <f t="shared" si="99"/>
        <v>35</v>
      </c>
      <c r="V1038" s="3">
        <f t="shared" si="100"/>
        <v>745.91790000000003</v>
      </c>
      <c r="W1038" s="3">
        <f t="shared" si="101"/>
        <v>1037</v>
      </c>
    </row>
    <row r="1039" spans="1:23" x14ac:dyDescent="0.2">
      <c r="A1039" t="s">
        <v>407</v>
      </c>
      <c r="B1039" t="s">
        <v>218</v>
      </c>
      <c r="C1039" t="s">
        <v>41</v>
      </c>
      <c r="D1039" t="s">
        <v>32</v>
      </c>
      <c r="E1039" t="s">
        <v>25</v>
      </c>
      <c r="F1039" s="7">
        <v>1514188</v>
      </c>
      <c r="G1039" t="s">
        <v>629</v>
      </c>
      <c r="H1039" s="5">
        <v>13620</v>
      </c>
      <c r="I1039" s="12">
        <v>45831</v>
      </c>
      <c r="J1039" s="15">
        <v>60</v>
      </c>
      <c r="K1039" s="15">
        <v>10</v>
      </c>
      <c r="L1039" s="9">
        <v>0.11600000000000001</v>
      </c>
      <c r="M1039" s="9">
        <v>5.5500000000000001E-2</v>
      </c>
      <c r="N1039" s="15">
        <v>10</v>
      </c>
      <c r="O1039" t="s">
        <v>27</v>
      </c>
      <c r="P1039" t="s">
        <v>28</v>
      </c>
      <c r="Q1039" s="24">
        <v>0.9</v>
      </c>
      <c r="R1039" s="5">
        <f t="shared" si="96"/>
        <v>259.71287671232875</v>
      </c>
      <c r="S1039" s="5">
        <f t="shared" si="97"/>
        <v>20.709863013698627</v>
      </c>
      <c r="T1039" s="5">
        <f t="shared" si="98"/>
        <v>239.00301369863013</v>
      </c>
      <c r="U1039" s="15">
        <f t="shared" si="99"/>
        <v>50</v>
      </c>
      <c r="V1039" s="3">
        <f t="shared" si="100"/>
        <v>741.60900000000004</v>
      </c>
      <c r="W1039" s="3">
        <f t="shared" si="101"/>
        <v>1038</v>
      </c>
    </row>
    <row r="1040" spans="1:23" x14ac:dyDescent="0.2">
      <c r="A1040" t="s">
        <v>355</v>
      </c>
      <c r="B1040" t="s">
        <v>356</v>
      </c>
      <c r="C1040" t="s">
        <v>23</v>
      </c>
      <c r="D1040" t="s">
        <v>66</v>
      </c>
      <c r="E1040" t="s">
        <v>25</v>
      </c>
      <c r="F1040" s="7">
        <v>2561855</v>
      </c>
      <c r="G1040" t="s">
        <v>1415</v>
      </c>
      <c r="H1040" s="5">
        <v>21323</v>
      </c>
      <c r="I1040" s="12">
        <v>45990</v>
      </c>
      <c r="J1040" s="15">
        <v>45</v>
      </c>
      <c r="K1040" s="15">
        <v>5</v>
      </c>
      <c r="L1040" s="9">
        <v>0.1037</v>
      </c>
      <c r="M1040" s="9">
        <v>5.0200000000000002E-2</v>
      </c>
      <c r="N1040" s="15">
        <v>8</v>
      </c>
      <c r="O1040" t="s">
        <v>27</v>
      </c>
      <c r="P1040" t="s">
        <v>28</v>
      </c>
      <c r="Q1040" s="24">
        <v>0.65</v>
      </c>
      <c r="R1040" s="5">
        <f t="shared" si="96"/>
        <v>272.61309452054792</v>
      </c>
      <c r="S1040" s="5">
        <f t="shared" si="97"/>
        <v>23.46114191780822</v>
      </c>
      <c r="T1040" s="5">
        <f t="shared" si="98"/>
        <v>249.1519526027397</v>
      </c>
      <c r="U1040" s="15">
        <f t="shared" si="99"/>
        <v>37</v>
      </c>
      <c r="V1040" s="3">
        <f t="shared" si="100"/>
        <v>741.50732500000004</v>
      </c>
      <c r="W1040" s="3">
        <f t="shared" si="101"/>
        <v>1039</v>
      </c>
    </row>
    <row r="1041" spans="1:23" x14ac:dyDescent="0.2">
      <c r="A1041" t="s">
        <v>210</v>
      </c>
      <c r="B1041" t="s">
        <v>211</v>
      </c>
      <c r="C1041" t="s">
        <v>41</v>
      </c>
      <c r="D1041" t="s">
        <v>32</v>
      </c>
      <c r="E1041" t="s">
        <v>56</v>
      </c>
      <c r="F1041" s="7">
        <v>17014146</v>
      </c>
      <c r="G1041" t="s">
        <v>1084</v>
      </c>
      <c r="H1041" s="5">
        <v>86600</v>
      </c>
      <c r="I1041" s="12">
        <v>45938</v>
      </c>
      <c r="J1041" s="15">
        <v>45</v>
      </c>
      <c r="K1041" s="15">
        <v>2</v>
      </c>
      <c r="L1041" s="9">
        <v>0.1037</v>
      </c>
      <c r="M1041" s="9">
        <v>6.0999999999999999E-2</v>
      </c>
      <c r="N1041" s="15">
        <v>7</v>
      </c>
      <c r="O1041" t="s">
        <v>27</v>
      </c>
      <c r="P1041" t="s">
        <v>28</v>
      </c>
      <c r="Q1041" s="24">
        <v>0.2</v>
      </c>
      <c r="R1041" s="5">
        <f t="shared" si="96"/>
        <v>1107.1750684931505</v>
      </c>
      <c r="S1041" s="5">
        <f t="shared" si="97"/>
        <v>101.31013698630136</v>
      </c>
      <c r="T1041" s="5">
        <f t="shared" si="98"/>
        <v>1005.8649315068492</v>
      </c>
      <c r="U1041" s="15">
        <f t="shared" si="99"/>
        <v>38</v>
      </c>
      <c r="V1041" s="3">
        <f t="shared" si="100"/>
        <v>739.56400000000008</v>
      </c>
      <c r="W1041" s="3">
        <f t="shared" si="101"/>
        <v>1040</v>
      </c>
    </row>
    <row r="1042" spans="1:23" x14ac:dyDescent="0.2">
      <c r="A1042" t="s">
        <v>362</v>
      </c>
      <c r="B1042" t="s">
        <v>363</v>
      </c>
      <c r="C1042" t="s">
        <v>31</v>
      </c>
      <c r="D1042" t="s">
        <v>66</v>
      </c>
      <c r="E1042" t="s">
        <v>25</v>
      </c>
      <c r="F1042" s="7">
        <v>3573998</v>
      </c>
      <c r="G1042" t="s">
        <v>1585</v>
      </c>
      <c r="H1042" s="5">
        <v>27461</v>
      </c>
      <c r="I1042" s="12">
        <v>45750</v>
      </c>
      <c r="J1042" s="15">
        <v>30</v>
      </c>
      <c r="K1042" s="15">
        <v>5</v>
      </c>
      <c r="L1042" s="9">
        <v>0.13200000000000001</v>
      </c>
      <c r="M1042" s="9">
        <v>5.5100000000000003E-2</v>
      </c>
      <c r="N1042" s="15">
        <v>6</v>
      </c>
      <c r="O1042" t="s">
        <v>27</v>
      </c>
      <c r="P1042" t="s">
        <v>28</v>
      </c>
      <c r="Q1042" s="24">
        <v>0.35</v>
      </c>
      <c r="R1042" s="5">
        <f t="shared" si="96"/>
        <v>297.93304109589042</v>
      </c>
      <c r="S1042" s="5">
        <f t="shared" si="97"/>
        <v>24.872894794520548</v>
      </c>
      <c r="T1042" s="5">
        <f t="shared" si="98"/>
        <v>273.06014630136985</v>
      </c>
      <c r="U1042" s="15">
        <f t="shared" si="99"/>
        <v>24</v>
      </c>
      <c r="V1042" s="3">
        <f t="shared" si="100"/>
        <v>739.11281499999996</v>
      </c>
      <c r="W1042" s="3">
        <f t="shared" si="101"/>
        <v>1041</v>
      </c>
    </row>
    <row r="1043" spans="1:23" x14ac:dyDescent="0.2">
      <c r="A1043" t="s">
        <v>64</v>
      </c>
      <c r="B1043" t="s">
        <v>65</v>
      </c>
      <c r="C1043" t="s">
        <v>36</v>
      </c>
      <c r="D1043" t="s">
        <v>66</v>
      </c>
      <c r="E1043" t="s">
        <v>56</v>
      </c>
      <c r="F1043" s="7">
        <v>19529913</v>
      </c>
      <c r="G1043" t="s">
        <v>1524</v>
      </c>
      <c r="H1043" s="5">
        <v>60147</v>
      </c>
      <c r="I1043" s="12">
        <v>45672</v>
      </c>
      <c r="J1043" s="15">
        <v>60</v>
      </c>
      <c r="K1043" s="15">
        <v>5</v>
      </c>
      <c r="L1043" s="9">
        <v>8.7499999999999994E-2</v>
      </c>
      <c r="M1043" s="9">
        <v>5.2699999999999997E-2</v>
      </c>
      <c r="N1043" s="15">
        <v>5</v>
      </c>
      <c r="O1043" t="s">
        <v>27</v>
      </c>
      <c r="P1043" t="s">
        <v>28</v>
      </c>
      <c r="Q1043" s="24">
        <v>0.35</v>
      </c>
      <c r="R1043" s="5">
        <f t="shared" si="96"/>
        <v>865.12808219178066</v>
      </c>
      <c r="S1043" s="5">
        <f t="shared" si="97"/>
        <v>43.4211904109589</v>
      </c>
      <c r="T1043" s="5">
        <f t="shared" si="98"/>
        <v>821.70689178082171</v>
      </c>
      <c r="U1043" s="15">
        <f t="shared" si="99"/>
        <v>55</v>
      </c>
      <c r="V1043" s="3">
        <f t="shared" si="100"/>
        <v>732.59045999999989</v>
      </c>
      <c r="W1043" s="3">
        <f t="shared" si="101"/>
        <v>1042</v>
      </c>
    </row>
    <row r="1044" spans="1:23" x14ac:dyDescent="0.2">
      <c r="A1044" t="s">
        <v>386</v>
      </c>
      <c r="B1044" t="s">
        <v>387</v>
      </c>
      <c r="C1044" t="s">
        <v>31</v>
      </c>
      <c r="D1044" t="s">
        <v>37</v>
      </c>
      <c r="E1044" t="s">
        <v>25</v>
      </c>
      <c r="F1044" s="7">
        <v>5617789</v>
      </c>
      <c r="G1044" t="s">
        <v>388</v>
      </c>
      <c r="H1044" s="5">
        <v>30021</v>
      </c>
      <c r="I1044" s="12">
        <v>45688</v>
      </c>
      <c r="J1044" s="15">
        <v>60</v>
      </c>
      <c r="K1044" s="15">
        <v>3</v>
      </c>
      <c r="L1044" s="9">
        <v>9.5100000000000004E-2</v>
      </c>
      <c r="M1044" s="9">
        <v>4.6399999999999997E-2</v>
      </c>
      <c r="N1044" s="15">
        <v>6</v>
      </c>
      <c r="O1044" t="s">
        <v>28</v>
      </c>
      <c r="P1044" t="s">
        <v>28</v>
      </c>
      <c r="Q1044" s="24">
        <v>0.5</v>
      </c>
      <c r="R1044" s="5">
        <f t="shared" si="96"/>
        <v>469.3145917808219</v>
      </c>
      <c r="S1044" s="5">
        <f t="shared" si="97"/>
        <v>22.898209315068488</v>
      </c>
      <c r="T1044" s="5">
        <f t="shared" si="98"/>
        <v>446.41638246575343</v>
      </c>
      <c r="U1044" s="15">
        <f t="shared" si="99"/>
        <v>54</v>
      </c>
      <c r="V1044" s="3">
        <f t="shared" si="100"/>
        <v>731.01135000000011</v>
      </c>
      <c r="W1044" s="3">
        <f t="shared" si="101"/>
        <v>1043</v>
      </c>
    </row>
    <row r="1045" spans="1:23" x14ac:dyDescent="0.2">
      <c r="A1045" t="s">
        <v>580</v>
      </c>
      <c r="B1045" t="s">
        <v>76</v>
      </c>
      <c r="C1045" t="s">
        <v>77</v>
      </c>
      <c r="D1045" t="s">
        <v>66</v>
      </c>
      <c r="E1045" t="s">
        <v>49</v>
      </c>
      <c r="F1045" s="7">
        <v>959016</v>
      </c>
      <c r="G1045" t="s">
        <v>698</v>
      </c>
      <c r="H1045" s="5">
        <v>17136</v>
      </c>
      <c r="I1045" s="12">
        <v>45964</v>
      </c>
      <c r="J1045" s="15">
        <v>90</v>
      </c>
      <c r="K1045" s="15">
        <v>3</v>
      </c>
      <c r="L1045" s="9">
        <v>0.1115</v>
      </c>
      <c r="M1045" s="9">
        <v>4.6100000000000002E-2</v>
      </c>
      <c r="N1045" s="15">
        <v>7</v>
      </c>
      <c r="O1045" t="s">
        <v>27</v>
      </c>
      <c r="P1045" t="s">
        <v>28</v>
      </c>
      <c r="Q1045" s="24">
        <v>0.65</v>
      </c>
      <c r="R1045" s="5">
        <f t="shared" si="96"/>
        <v>471.12263013698629</v>
      </c>
      <c r="S1045" s="5">
        <f t="shared" si="97"/>
        <v>15.15010191780822</v>
      </c>
      <c r="T1045" s="5">
        <f t="shared" si="98"/>
        <v>455.97252821917806</v>
      </c>
      <c r="U1045" s="15">
        <f t="shared" si="99"/>
        <v>83</v>
      </c>
      <c r="V1045" s="3">
        <f t="shared" si="100"/>
        <v>728.45136000000002</v>
      </c>
      <c r="W1045" s="3">
        <f t="shared" si="101"/>
        <v>1044</v>
      </c>
    </row>
    <row r="1046" spans="1:23" x14ac:dyDescent="0.2">
      <c r="A1046" t="s">
        <v>293</v>
      </c>
      <c r="B1046" t="s">
        <v>231</v>
      </c>
      <c r="C1046" t="s">
        <v>36</v>
      </c>
      <c r="D1046" t="s">
        <v>32</v>
      </c>
      <c r="E1046" t="s">
        <v>25</v>
      </c>
      <c r="F1046" s="7">
        <v>3723173</v>
      </c>
      <c r="G1046" t="s">
        <v>783</v>
      </c>
      <c r="H1046" s="5">
        <v>80576</v>
      </c>
      <c r="I1046" s="12">
        <v>45906</v>
      </c>
      <c r="J1046" s="15">
        <v>60</v>
      </c>
      <c r="K1046" s="15">
        <v>2</v>
      </c>
      <c r="L1046" s="9">
        <v>0.1069</v>
      </c>
      <c r="M1046" s="9">
        <v>6.1699999999999998E-2</v>
      </c>
      <c r="N1046" s="15">
        <v>6</v>
      </c>
      <c r="O1046" t="s">
        <v>28</v>
      </c>
      <c r="P1046" t="s">
        <v>28</v>
      </c>
      <c r="Q1046" s="24">
        <v>0.2</v>
      </c>
      <c r="R1046" s="5">
        <f t="shared" si="96"/>
        <v>1415.9300383561642</v>
      </c>
      <c r="S1046" s="5">
        <f t="shared" si="97"/>
        <v>81.723932054794517</v>
      </c>
      <c r="T1046" s="5">
        <f t="shared" si="98"/>
        <v>1334.2061063013698</v>
      </c>
      <c r="U1046" s="15">
        <f t="shared" si="99"/>
        <v>54</v>
      </c>
      <c r="V1046" s="3">
        <f t="shared" si="100"/>
        <v>728.40703999999994</v>
      </c>
      <c r="W1046" s="3">
        <f t="shared" si="101"/>
        <v>1045</v>
      </c>
    </row>
    <row r="1047" spans="1:23" x14ac:dyDescent="0.2">
      <c r="A1047" t="s">
        <v>396</v>
      </c>
      <c r="B1047" t="s">
        <v>397</v>
      </c>
      <c r="C1047" t="s">
        <v>77</v>
      </c>
      <c r="D1047" t="s">
        <v>66</v>
      </c>
      <c r="E1047" t="s">
        <v>49</v>
      </c>
      <c r="F1047" s="7">
        <v>1043844</v>
      </c>
      <c r="G1047" t="s">
        <v>995</v>
      </c>
      <c r="H1047" s="5">
        <v>24387</v>
      </c>
      <c r="I1047" s="12">
        <v>45796</v>
      </c>
      <c r="J1047" s="15">
        <v>60</v>
      </c>
      <c r="K1047" s="15">
        <v>3</v>
      </c>
      <c r="L1047" s="9">
        <v>0.11550000000000001</v>
      </c>
      <c r="M1047" s="9">
        <v>5.5899999999999998E-2</v>
      </c>
      <c r="N1047" s="15">
        <v>7</v>
      </c>
      <c r="O1047" t="s">
        <v>27</v>
      </c>
      <c r="P1047" t="s">
        <v>28</v>
      </c>
      <c r="Q1047" s="24">
        <v>0.5</v>
      </c>
      <c r="R1047" s="5">
        <f t="shared" si="96"/>
        <v>463.0189315068493</v>
      </c>
      <c r="S1047" s="5">
        <f t="shared" si="97"/>
        <v>26.144200273972601</v>
      </c>
      <c r="T1047" s="5">
        <f t="shared" si="98"/>
        <v>436.87473123287668</v>
      </c>
      <c r="U1047" s="15">
        <f t="shared" si="99"/>
        <v>53</v>
      </c>
      <c r="V1047" s="3">
        <f t="shared" si="100"/>
        <v>726.73260000000005</v>
      </c>
      <c r="W1047" s="3">
        <f t="shared" si="101"/>
        <v>1046</v>
      </c>
    </row>
    <row r="1048" spans="1:23" x14ac:dyDescent="0.2">
      <c r="A1048" t="s">
        <v>94</v>
      </c>
      <c r="B1048" t="s">
        <v>95</v>
      </c>
      <c r="C1048" t="s">
        <v>41</v>
      </c>
      <c r="D1048" t="s">
        <v>66</v>
      </c>
      <c r="E1048" t="s">
        <v>25</v>
      </c>
      <c r="F1048" s="7">
        <v>2406772</v>
      </c>
      <c r="G1048" t="s">
        <v>1660</v>
      </c>
      <c r="H1048" s="5">
        <v>23284</v>
      </c>
      <c r="I1048" s="12">
        <v>45960</v>
      </c>
      <c r="J1048" s="15">
        <v>60</v>
      </c>
      <c r="K1048" s="15">
        <v>5</v>
      </c>
      <c r="L1048" s="9">
        <v>0.1091</v>
      </c>
      <c r="M1048" s="9">
        <v>4.6800000000000001E-2</v>
      </c>
      <c r="N1048" s="15">
        <v>5</v>
      </c>
      <c r="O1048" t="s">
        <v>28</v>
      </c>
      <c r="P1048" t="s">
        <v>28</v>
      </c>
      <c r="Q1048" s="24">
        <v>0.5</v>
      </c>
      <c r="R1048" s="5">
        <f t="shared" si="96"/>
        <v>417.58099726027393</v>
      </c>
      <c r="S1048" s="5">
        <f t="shared" si="97"/>
        <v>14.927276712328766</v>
      </c>
      <c r="T1048" s="5">
        <f t="shared" si="98"/>
        <v>402.65372054794517</v>
      </c>
      <c r="U1048" s="15">
        <f t="shared" si="99"/>
        <v>55</v>
      </c>
      <c r="V1048" s="3">
        <f t="shared" si="100"/>
        <v>725.29660000000001</v>
      </c>
      <c r="W1048" s="3">
        <f t="shared" si="101"/>
        <v>1047</v>
      </c>
    </row>
    <row r="1049" spans="1:23" x14ac:dyDescent="0.2">
      <c r="A1049" t="s">
        <v>448</v>
      </c>
      <c r="B1049" t="s">
        <v>264</v>
      </c>
      <c r="C1049" t="s">
        <v>77</v>
      </c>
      <c r="D1049" t="s">
        <v>37</v>
      </c>
      <c r="E1049" t="s">
        <v>25</v>
      </c>
      <c r="F1049" s="7">
        <v>5041335</v>
      </c>
      <c r="G1049" t="s">
        <v>1402</v>
      </c>
      <c r="H1049" s="5">
        <v>22119</v>
      </c>
      <c r="I1049" s="12">
        <v>45989</v>
      </c>
      <c r="J1049" s="15">
        <v>60</v>
      </c>
      <c r="K1049" s="15">
        <v>5</v>
      </c>
      <c r="L1049" s="9">
        <v>0.1198</v>
      </c>
      <c r="M1049" s="9">
        <v>5.45E-2</v>
      </c>
      <c r="N1049" s="15">
        <v>8</v>
      </c>
      <c r="O1049" t="s">
        <v>27</v>
      </c>
      <c r="P1049" t="s">
        <v>28</v>
      </c>
      <c r="Q1049" s="24">
        <v>0.5</v>
      </c>
      <c r="R1049" s="5">
        <f t="shared" si="96"/>
        <v>435.59280000000001</v>
      </c>
      <c r="S1049" s="5">
        <f t="shared" si="97"/>
        <v>26.421600000000002</v>
      </c>
      <c r="T1049" s="5">
        <f t="shared" si="98"/>
        <v>409.1712</v>
      </c>
      <c r="U1049" s="15">
        <f t="shared" si="99"/>
        <v>52</v>
      </c>
      <c r="V1049" s="3">
        <f t="shared" si="100"/>
        <v>722.18534999999997</v>
      </c>
      <c r="W1049" s="3">
        <f t="shared" si="101"/>
        <v>1048</v>
      </c>
    </row>
    <row r="1050" spans="1:23" x14ac:dyDescent="0.2">
      <c r="A1050" t="s">
        <v>133</v>
      </c>
      <c r="B1050" t="s">
        <v>134</v>
      </c>
      <c r="C1050" t="s">
        <v>36</v>
      </c>
      <c r="D1050" t="s">
        <v>24</v>
      </c>
      <c r="E1050" t="s">
        <v>25</v>
      </c>
      <c r="F1050" s="7">
        <v>6056843</v>
      </c>
      <c r="G1050" t="s">
        <v>486</v>
      </c>
      <c r="H1050" s="5">
        <v>50737</v>
      </c>
      <c r="I1050" s="12">
        <v>45928</v>
      </c>
      <c r="J1050" s="15">
        <v>60</v>
      </c>
      <c r="K1050" s="15">
        <v>3</v>
      </c>
      <c r="L1050" s="9">
        <v>0.12520000000000001</v>
      </c>
      <c r="M1050" s="9">
        <v>5.4899999999999997E-2</v>
      </c>
      <c r="N1050" s="15">
        <v>5</v>
      </c>
      <c r="O1050" t="s">
        <v>28</v>
      </c>
      <c r="P1050" t="s">
        <v>28</v>
      </c>
      <c r="Q1050" s="24">
        <v>0.2</v>
      </c>
      <c r="R1050" s="5">
        <f t="shared" si="96"/>
        <v>1044.2091616438356</v>
      </c>
      <c r="S1050" s="5">
        <f t="shared" si="97"/>
        <v>38.157004109589039</v>
      </c>
      <c r="T1050" s="5">
        <f t="shared" si="98"/>
        <v>1006.0521575342466</v>
      </c>
      <c r="U1050" s="15">
        <f t="shared" si="99"/>
        <v>55</v>
      </c>
      <c r="V1050" s="3">
        <f t="shared" si="100"/>
        <v>713.36222000000009</v>
      </c>
      <c r="W1050" s="3">
        <f t="shared" si="101"/>
        <v>1049</v>
      </c>
    </row>
    <row r="1051" spans="1:23" x14ac:dyDescent="0.2">
      <c r="A1051" t="s">
        <v>149</v>
      </c>
      <c r="B1051" t="s">
        <v>30</v>
      </c>
      <c r="C1051" t="s">
        <v>77</v>
      </c>
      <c r="D1051" t="s">
        <v>66</v>
      </c>
      <c r="E1051" t="s">
        <v>25</v>
      </c>
      <c r="F1051" s="7">
        <v>3553623</v>
      </c>
      <c r="G1051" t="s">
        <v>694</v>
      </c>
      <c r="H1051" s="5">
        <v>57224</v>
      </c>
      <c r="I1051" s="12">
        <v>45775</v>
      </c>
      <c r="J1051" s="15">
        <v>60</v>
      </c>
      <c r="K1051" s="15">
        <v>5</v>
      </c>
      <c r="L1051" s="9">
        <v>9.8199999999999996E-2</v>
      </c>
      <c r="M1051" s="9">
        <v>6.2700000000000006E-2</v>
      </c>
      <c r="N1051" s="15">
        <v>5</v>
      </c>
      <c r="O1051" t="s">
        <v>27</v>
      </c>
      <c r="P1051" t="s">
        <v>28</v>
      </c>
      <c r="Q1051" s="24">
        <v>0.35</v>
      </c>
      <c r="R1051" s="5">
        <f t="shared" si="96"/>
        <v>923.73646027397251</v>
      </c>
      <c r="S1051" s="5">
        <f t="shared" si="97"/>
        <v>49.149928767123285</v>
      </c>
      <c r="T1051" s="5">
        <f t="shared" si="98"/>
        <v>874.58653150684927</v>
      </c>
      <c r="U1051" s="15">
        <f t="shared" si="99"/>
        <v>55</v>
      </c>
      <c r="V1051" s="3">
        <f t="shared" si="100"/>
        <v>711.00819999999976</v>
      </c>
      <c r="W1051" s="3">
        <f t="shared" si="101"/>
        <v>1050</v>
      </c>
    </row>
    <row r="1052" spans="1:23" x14ac:dyDescent="0.2">
      <c r="A1052" t="s">
        <v>411</v>
      </c>
      <c r="B1052" t="s">
        <v>412</v>
      </c>
      <c r="C1052" t="s">
        <v>31</v>
      </c>
      <c r="D1052" t="s">
        <v>66</v>
      </c>
      <c r="E1052" t="s">
        <v>25</v>
      </c>
      <c r="F1052" s="7">
        <v>2416616</v>
      </c>
      <c r="G1052" t="s">
        <v>766</v>
      </c>
      <c r="H1052" s="5">
        <v>47283</v>
      </c>
      <c r="I1052" s="12">
        <v>45833</v>
      </c>
      <c r="J1052" s="15">
        <v>45</v>
      </c>
      <c r="K1052" s="15">
        <v>5</v>
      </c>
      <c r="L1052" s="9">
        <v>0.1024</v>
      </c>
      <c r="M1052" s="9">
        <v>5.9499999999999997E-2</v>
      </c>
      <c r="N1052" s="15">
        <v>6</v>
      </c>
      <c r="O1052" t="s">
        <v>28</v>
      </c>
      <c r="P1052" t="s">
        <v>28</v>
      </c>
      <c r="Q1052" s="24">
        <v>0.35</v>
      </c>
      <c r="R1052" s="5">
        <f t="shared" si="96"/>
        <v>596.93168219178074</v>
      </c>
      <c r="S1052" s="5">
        <f t="shared" si="97"/>
        <v>46.246660273972594</v>
      </c>
      <c r="T1052" s="5">
        <f t="shared" si="98"/>
        <v>550.68502191780817</v>
      </c>
      <c r="U1052" s="15">
        <f t="shared" si="99"/>
        <v>39</v>
      </c>
      <c r="V1052" s="3">
        <f t="shared" si="100"/>
        <v>709.95424500000013</v>
      </c>
      <c r="W1052" s="3">
        <f t="shared" si="101"/>
        <v>1051</v>
      </c>
    </row>
    <row r="1053" spans="1:23" x14ac:dyDescent="0.2">
      <c r="A1053" t="s">
        <v>314</v>
      </c>
      <c r="B1053" t="s">
        <v>211</v>
      </c>
      <c r="C1053" t="s">
        <v>36</v>
      </c>
      <c r="D1053" t="s">
        <v>66</v>
      </c>
      <c r="E1053" t="s">
        <v>56</v>
      </c>
      <c r="F1053" s="7">
        <v>16270036</v>
      </c>
      <c r="G1053" t="s">
        <v>773</v>
      </c>
      <c r="H1053" s="5">
        <v>26801</v>
      </c>
      <c r="I1053" s="12">
        <v>46062</v>
      </c>
      <c r="J1053" s="15">
        <v>45</v>
      </c>
      <c r="K1053" s="15">
        <v>5</v>
      </c>
      <c r="L1053" s="9">
        <v>9.2200000000000004E-2</v>
      </c>
      <c r="M1053" s="9">
        <v>5.1499999999999997E-2</v>
      </c>
      <c r="N1053" s="15">
        <v>6</v>
      </c>
      <c r="O1053" t="s">
        <v>27</v>
      </c>
      <c r="P1053" t="s">
        <v>28</v>
      </c>
      <c r="Q1053" s="24">
        <v>0.65</v>
      </c>
      <c r="R1053" s="5">
        <f t="shared" si="96"/>
        <v>304.65027123287672</v>
      </c>
      <c r="S1053" s="5">
        <f t="shared" si="97"/>
        <v>22.689065753424654</v>
      </c>
      <c r="T1053" s="5">
        <f t="shared" si="98"/>
        <v>281.96120547945208</v>
      </c>
      <c r="U1053" s="15">
        <f t="shared" si="99"/>
        <v>39</v>
      </c>
      <c r="V1053" s="3">
        <f t="shared" si="100"/>
        <v>709.0204550000002</v>
      </c>
      <c r="W1053" s="3">
        <f t="shared" si="101"/>
        <v>1052</v>
      </c>
    </row>
    <row r="1054" spans="1:23" x14ac:dyDescent="0.2">
      <c r="A1054" t="s">
        <v>220</v>
      </c>
      <c r="B1054" t="s">
        <v>221</v>
      </c>
      <c r="C1054" t="s">
        <v>36</v>
      </c>
      <c r="D1054" t="s">
        <v>37</v>
      </c>
      <c r="E1054" t="s">
        <v>25</v>
      </c>
      <c r="F1054" s="7">
        <v>6280246</v>
      </c>
      <c r="G1054" t="s">
        <v>1631</v>
      </c>
      <c r="H1054" s="5">
        <v>54183</v>
      </c>
      <c r="I1054" s="12">
        <v>45850</v>
      </c>
      <c r="J1054" s="15">
        <v>60</v>
      </c>
      <c r="K1054" s="15">
        <v>5</v>
      </c>
      <c r="L1054" s="9">
        <v>0.1205</v>
      </c>
      <c r="M1054" s="9">
        <v>5.5300000000000002E-2</v>
      </c>
      <c r="N1054" s="15">
        <v>5</v>
      </c>
      <c r="O1054" t="s">
        <v>27</v>
      </c>
      <c r="P1054" t="s">
        <v>28</v>
      </c>
      <c r="Q1054" s="24">
        <v>0.2</v>
      </c>
      <c r="R1054" s="5">
        <f t="shared" si="96"/>
        <v>1073.2687397260272</v>
      </c>
      <c r="S1054" s="5">
        <f t="shared" si="97"/>
        <v>41.045478082191778</v>
      </c>
      <c r="T1054" s="5">
        <f t="shared" si="98"/>
        <v>1032.2232616438355</v>
      </c>
      <c r="U1054" s="15">
        <f t="shared" si="99"/>
        <v>55</v>
      </c>
      <c r="V1054" s="3">
        <f t="shared" si="100"/>
        <v>706.54631999999992</v>
      </c>
      <c r="W1054" s="3">
        <f t="shared" si="101"/>
        <v>1053</v>
      </c>
    </row>
    <row r="1055" spans="1:23" x14ac:dyDescent="0.2">
      <c r="A1055" t="s">
        <v>103</v>
      </c>
      <c r="B1055" t="s">
        <v>62</v>
      </c>
      <c r="C1055" t="s">
        <v>31</v>
      </c>
      <c r="D1055" t="s">
        <v>37</v>
      </c>
      <c r="E1055" t="s">
        <v>25</v>
      </c>
      <c r="F1055" s="7">
        <v>3948313</v>
      </c>
      <c r="G1055" t="s">
        <v>934</v>
      </c>
      <c r="H1055" s="5">
        <v>25937</v>
      </c>
      <c r="I1055" s="12">
        <v>46073</v>
      </c>
      <c r="J1055" s="15">
        <v>45</v>
      </c>
      <c r="K1055" s="15">
        <v>7</v>
      </c>
      <c r="L1055" s="9">
        <v>0.1154</v>
      </c>
      <c r="M1055" s="9">
        <v>6.0999999999999999E-2</v>
      </c>
      <c r="N1055" s="15">
        <v>6</v>
      </c>
      <c r="O1055" t="s">
        <v>28</v>
      </c>
      <c r="P1055" t="s">
        <v>28</v>
      </c>
      <c r="Q1055" s="24">
        <v>0.5</v>
      </c>
      <c r="R1055" s="5">
        <f t="shared" si="96"/>
        <v>369.01600273972605</v>
      </c>
      <c r="S1055" s="5">
        <f t="shared" si="97"/>
        <v>26.0080602739726</v>
      </c>
      <c r="T1055" s="5">
        <f t="shared" si="98"/>
        <v>343.00794246575344</v>
      </c>
      <c r="U1055" s="15">
        <f t="shared" si="99"/>
        <v>39</v>
      </c>
      <c r="V1055" s="3">
        <f t="shared" si="100"/>
        <v>705.4864</v>
      </c>
      <c r="W1055" s="3">
        <f t="shared" si="101"/>
        <v>1054</v>
      </c>
    </row>
    <row r="1056" spans="1:23" x14ac:dyDescent="0.2">
      <c r="A1056" t="s">
        <v>68</v>
      </c>
      <c r="B1056" t="s">
        <v>69</v>
      </c>
      <c r="C1056" t="s">
        <v>36</v>
      </c>
      <c r="D1056" t="s">
        <v>37</v>
      </c>
      <c r="E1056" t="s">
        <v>25</v>
      </c>
      <c r="F1056" s="7">
        <v>3469396</v>
      </c>
      <c r="G1056" t="s">
        <v>1414</v>
      </c>
      <c r="H1056" s="5">
        <v>24335</v>
      </c>
      <c r="I1056" s="12">
        <v>45703</v>
      </c>
      <c r="J1056" s="15">
        <v>60</v>
      </c>
      <c r="K1056" s="15">
        <v>3</v>
      </c>
      <c r="L1056" s="9">
        <v>0.1216</v>
      </c>
      <c r="M1056" s="9">
        <v>6.3700000000000007E-2</v>
      </c>
      <c r="N1056" s="15">
        <v>6</v>
      </c>
      <c r="O1056" t="s">
        <v>28</v>
      </c>
      <c r="P1056" t="s">
        <v>28</v>
      </c>
      <c r="Q1056" s="24">
        <v>0.5</v>
      </c>
      <c r="R1056" s="5">
        <f t="shared" si="96"/>
        <v>486.43331506849313</v>
      </c>
      <c r="S1056" s="5">
        <f t="shared" si="97"/>
        <v>25.481745205479452</v>
      </c>
      <c r="T1056" s="5">
        <f t="shared" si="98"/>
        <v>460.95156986301367</v>
      </c>
      <c r="U1056" s="15">
        <f t="shared" si="99"/>
        <v>54</v>
      </c>
      <c r="V1056" s="3">
        <f t="shared" si="100"/>
        <v>704.49824999999987</v>
      </c>
      <c r="W1056" s="3">
        <f t="shared" si="101"/>
        <v>1055</v>
      </c>
    </row>
    <row r="1057" spans="1:23" x14ac:dyDescent="0.2">
      <c r="A1057" t="s">
        <v>149</v>
      </c>
      <c r="B1057" t="s">
        <v>30</v>
      </c>
      <c r="C1057" t="s">
        <v>77</v>
      </c>
      <c r="D1057" t="s">
        <v>66</v>
      </c>
      <c r="E1057" t="s">
        <v>25</v>
      </c>
      <c r="F1057" s="7">
        <v>3553623</v>
      </c>
      <c r="G1057" t="s">
        <v>1157</v>
      </c>
      <c r="H1057" s="5">
        <v>82836</v>
      </c>
      <c r="I1057" s="12">
        <v>45658</v>
      </c>
      <c r="J1057" s="15">
        <v>90</v>
      </c>
      <c r="K1057" s="15">
        <v>3</v>
      </c>
      <c r="L1057" s="9">
        <v>9.8199999999999996E-2</v>
      </c>
      <c r="M1057" s="9">
        <v>5.5800000000000002E-2</v>
      </c>
      <c r="N1057" s="15">
        <v>8</v>
      </c>
      <c r="O1057" t="s">
        <v>27</v>
      </c>
      <c r="P1057" t="s">
        <v>28</v>
      </c>
      <c r="Q1057" s="24">
        <v>0.2</v>
      </c>
      <c r="R1057" s="5">
        <f t="shared" si="96"/>
        <v>2005.7659397260272</v>
      </c>
      <c r="S1057" s="5">
        <f t="shared" si="97"/>
        <v>101.30956273972603</v>
      </c>
      <c r="T1057" s="5">
        <f t="shared" si="98"/>
        <v>1904.4563769863012</v>
      </c>
      <c r="U1057" s="15">
        <f t="shared" si="99"/>
        <v>82</v>
      </c>
      <c r="V1057" s="3">
        <f t="shared" si="100"/>
        <v>702.44927999999993</v>
      </c>
      <c r="W1057" s="3">
        <f t="shared" si="101"/>
        <v>1056</v>
      </c>
    </row>
    <row r="1058" spans="1:23" x14ac:dyDescent="0.2">
      <c r="A1058" t="s">
        <v>457</v>
      </c>
      <c r="B1058" t="s">
        <v>184</v>
      </c>
      <c r="C1058" t="s">
        <v>36</v>
      </c>
      <c r="D1058" t="s">
        <v>66</v>
      </c>
      <c r="E1058" t="s">
        <v>49</v>
      </c>
      <c r="F1058" s="7">
        <v>1104797</v>
      </c>
      <c r="G1058" t="s">
        <v>570</v>
      </c>
      <c r="H1058" s="5">
        <v>48202</v>
      </c>
      <c r="I1058" s="12">
        <v>45870</v>
      </c>
      <c r="J1058" s="15">
        <v>60</v>
      </c>
      <c r="K1058" s="15">
        <v>2</v>
      </c>
      <c r="L1058" s="9">
        <v>0.13320000000000001</v>
      </c>
      <c r="M1058" s="9">
        <v>6.0699999999999997E-2</v>
      </c>
      <c r="N1058" s="15">
        <v>10</v>
      </c>
      <c r="O1058" t="s">
        <v>27</v>
      </c>
      <c r="P1058" t="s">
        <v>28</v>
      </c>
      <c r="Q1058" s="24">
        <v>0.2</v>
      </c>
      <c r="R1058" s="5">
        <f t="shared" si="96"/>
        <v>1055.4257095890412</v>
      </c>
      <c r="S1058" s="5">
        <f t="shared" si="97"/>
        <v>80.160586301369847</v>
      </c>
      <c r="T1058" s="5">
        <f t="shared" si="98"/>
        <v>975.26512328767126</v>
      </c>
      <c r="U1058" s="15">
        <f t="shared" si="99"/>
        <v>50</v>
      </c>
      <c r="V1058" s="3">
        <f t="shared" si="100"/>
        <v>698.92900000000009</v>
      </c>
      <c r="W1058" s="3">
        <f t="shared" si="101"/>
        <v>1057</v>
      </c>
    </row>
    <row r="1059" spans="1:23" x14ac:dyDescent="0.2">
      <c r="A1059" t="s">
        <v>79</v>
      </c>
      <c r="B1059" t="s">
        <v>80</v>
      </c>
      <c r="C1059" t="s">
        <v>31</v>
      </c>
      <c r="D1059" t="s">
        <v>32</v>
      </c>
      <c r="E1059" t="s">
        <v>25</v>
      </c>
      <c r="F1059" s="7">
        <v>1969242</v>
      </c>
      <c r="G1059" t="s">
        <v>1484</v>
      </c>
      <c r="H1059" s="5">
        <v>26444</v>
      </c>
      <c r="I1059" s="12">
        <v>45793</v>
      </c>
      <c r="J1059" s="15">
        <v>45</v>
      </c>
      <c r="K1059" s="15">
        <v>5</v>
      </c>
      <c r="L1059" s="9">
        <v>0.10150000000000001</v>
      </c>
      <c r="M1059" s="9">
        <v>4.87E-2</v>
      </c>
      <c r="N1059" s="15">
        <v>5</v>
      </c>
      <c r="O1059" t="s">
        <v>27</v>
      </c>
      <c r="P1059" t="s">
        <v>28</v>
      </c>
      <c r="Q1059" s="24">
        <v>0.5</v>
      </c>
      <c r="R1059" s="5">
        <f t="shared" si="96"/>
        <v>330.91224657534246</v>
      </c>
      <c r="S1059" s="5">
        <f t="shared" si="97"/>
        <v>17.641408219178079</v>
      </c>
      <c r="T1059" s="5">
        <f t="shared" si="98"/>
        <v>313.2708383561644</v>
      </c>
      <c r="U1059" s="15">
        <f t="shared" si="99"/>
        <v>40</v>
      </c>
      <c r="V1059" s="3">
        <f t="shared" si="100"/>
        <v>698.12160000000006</v>
      </c>
      <c r="W1059" s="3">
        <f t="shared" si="101"/>
        <v>1058</v>
      </c>
    </row>
    <row r="1060" spans="1:23" x14ac:dyDescent="0.2">
      <c r="A1060" t="s">
        <v>145</v>
      </c>
      <c r="B1060" t="s">
        <v>146</v>
      </c>
      <c r="C1060" t="s">
        <v>23</v>
      </c>
      <c r="D1060" t="s">
        <v>48</v>
      </c>
      <c r="E1060" t="s">
        <v>25</v>
      </c>
      <c r="F1060" s="7">
        <v>5790128</v>
      </c>
      <c r="G1060" t="s">
        <v>1476</v>
      </c>
      <c r="H1060" s="5">
        <v>61749</v>
      </c>
      <c r="I1060" s="12">
        <v>46043</v>
      </c>
      <c r="J1060" s="15">
        <v>45</v>
      </c>
      <c r="K1060" s="15">
        <v>3</v>
      </c>
      <c r="L1060" s="9">
        <v>9.5799999999999996E-2</v>
      </c>
      <c r="M1060" s="9">
        <v>6.3500000000000001E-2</v>
      </c>
      <c r="N1060" s="15">
        <v>10</v>
      </c>
      <c r="O1060" t="s">
        <v>27</v>
      </c>
      <c r="P1060" t="s">
        <v>28</v>
      </c>
      <c r="Q1060" s="24">
        <v>0.35</v>
      </c>
      <c r="R1060" s="5">
        <f t="shared" si="96"/>
        <v>729.31490136986292</v>
      </c>
      <c r="S1060" s="5">
        <f t="shared" si="97"/>
        <v>107.42634246575342</v>
      </c>
      <c r="T1060" s="5">
        <f t="shared" si="98"/>
        <v>621.88855890410946</v>
      </c>
      <c r="U1060" s="15">
        <f t="shared" si="99"/>
        <v>35</v>
      </c>
      <c r="V1060" s="3">
        <f t="shared" si="100"/>
        <v>698.07244499999979</v>
      </c>
      <c r="W1060" s="3">
        <f t="shared" si="101"/>
        <v>1059</v>
      </c>
    </row>
    <row r="1061" spans="1:23" x14ac:dyDescent="0.2">
      <c r="A1061" t="s">
        <v>559</v>
      </c>
      <c r="B1061" t="s">
        <v>560</v>
      </c>
      <c r="C1061" t="s">
        <v>41</v>
      </c>
      <c r="D1061" t="s">
        <v>32</v>
      </c>
      <c r="E1061" t="s">
        <v>25</v>
      </c>
      <c r="F1061" s="7">
        <v>5681664</v>
      </c>
      <c r="G1061" t="s">
        <v>1092</v>
      </c>
      <c r="H1061" s="5">
        <v>51375</v>
      </c>
      <c r="I1061" s="12">
        <v>45920</v>
      </c>
      <c r="J1061" s="15">
        <v>60</v>
      </c>
      <c r="K1061" s="15">
        <v>7</v>
      </c>
      <c r="L1061" s="9">
        <v>0.12130000000000001</v>
      </c>
      <c r="M1061" s="9">
        <v>5.3600000000000002E-2</v>
      </c>
      <c r="N1061" s="15">
        <v>10</v>
      </c>
      <c r="O1061" t="s">
        <v>28</v>
      </c>
      <c r="P1061" t="s">
        <v>28</v>
      </c>
      <c r="Q1061" s="24">
        <v>0.2</v>
      </c>
      <c r="R1061" s="5">
        <f t="shared" si="96"/>
        <v>1024.4034246575343</v>
      </c>
      <c r="S1061" s="5">
        <f t="shared" si="97"/>
        <v>75.443835616438363</v>
      </c>
      <c r="T1061" s="5">
        <f t="shared" si="98"/>
        <v>948.95958904109591</v>
      </c>
      <c r="U1061" s="15">
        <f t="shared" si="99"/>
        <v>50</v>
      </c>
      <c r="V1061" s="3">
        <f t="shared" si="100"/>
        <v>695.61750000000018</v>
      </c>
      <c r="W1061" s="3">
        <f t="shared" si="101"/>
        <v>1060</v>
      </c>
    </row>
    <row r="1062" spans="1:23" x14ac:dyDescent="0.2">
      <c r="A1062" t="s">
        <v>72</v>
      </c>
      <c r="B1062" t="s">
        <v>73</v>
      </c>
      <c r="C1062" t="s">
        <v>31</v>
      </c>
      <c r="D1062" t="s">
        <v>32</v>
      </c>
      <c r="E1062" t="s">
        <v>56</v>
      </c>
      <c r="F1062" s="7">
        <v>21625874</v>
      </c>
      <c r="G1062" t="s">
        <v>74</v>
      </c>
      <c r="H1062" s="5">
        <v>62940</v>
      </c>
      <c r="I1062" s="12">
        <v>45870</v>
      </c>
      <c r="J1062" s="15">
        <v>60</v>
      </c>
      <c r="K1062" s="15">
        <v>10</v>
      </c>
      <c r="L1062" s="9">
        <v>9.5399999999999999E-2</v>
      </c>
      <c r="M1062" s="9">
        <v>6.4000000000000001E-2</v>
      </c>
      <c r="N1062" s="15">
        <v>10</v>
      </c>
      <c r="O1062" t="s">
        <v>27</v>
      </c>
      <c r="P1062" t="s">
        <v>28</v>
      </c>
      <c r="Q1062" s="24">
        <v>0.35</v>
      </c>
      <c r="R1062" s="5">
        <f t="shared" si="96"/>
        <v>987.03715068493136</v>
      </c>
      <c r="S1062" s="5">
        <f t="shared" si="97"/>
        <v>110.36054794520548</v>
      </c>
      <c r="T1062" s="5">
        <f t="shared" si="98"/>
        <v>876.67660273972592</v>
      </c>
      <c r="U1062" s="15">
        <f t="shared" si="99"/>
        <v>50</v>
      </c>
      <c r="V1062" s="3">
        <f t="shared" si="100"/>
        <v>691.71059999999989</v>
      </c>
      <c r="W1062" s="3">
        <f t="shared" si="101"/>
        <v>1061</v>
      </c>
    </row>
    <row r="1063" spans="1:23" x14ac:dyDescent="0.2">
      <c r="A1063" t="s">
        <v>197</v>
      </c>
      <c r="B1063" t="s">
        <v>198</v>
      </c>
      <c r="C1063" t="s">
        <v>23</v>
      </c>
      <c r="D1063" t="s">
        <v>48</v>
      </c>
      <c r="E1063" t="s">
        <v>56</v>
      </c>
      <c r="F1063" s="7">
        <v>13513506</v>
      </c>
      <c r="G1063" t="s">
        <v>291</v>
      </c>
      <c r="H1063" s="5">
        <v>46664</v>
      </c>
      <c r="I1063" s="12">
        <v>45941</v>
      </c>
      <c r="J1063" s="15">
        <v>60</v>
      </c>
      <c r="K1063" s="15">
        <v>5</v>
      </c>
      <c r="L1063" s="9">
        <v>8.1799999999999998E-2</v>
      </c>
      <c r="M1063" s="9">
        <v>5.2299999999999999E-2</v>
      </c>
      <c r="N1063" s="15">
        <v>8</v>
      </c>
      <c r="O1063" t="s">
        <v>28</v>
      </c>
      <c r="P1063" t="s">
        <v>28</v>
      </c>
      <c r="Q1063" s="24">
        <v>0.5</v>
      </c>
      <c r="R1063" s="5">
        <f t="shared" si="96"/>
        <v>627.47099178082181</v>
      </c>
      <c r="S1063" s="5">
        <f t="shared" si="97"/>
        <v>53.491007123287673</v>
      </c>
      <c r="T1063" s="5">
        <f t="shared" si="98"/>
        <v>573.97998465753415</v>
      </c>
      <c r="U1063" s="15">
        <f t="shared" si="99"/>
        <v>52</v>
      </c>
      <c r="V1063" s="3">
        <f t="shared" si="100"/>
        <v>688.29399999999998</v>
      </c>
      <c r="W1063" s="3">
        <f t="shared" si="101"/>
        <v>1062</v>
      </c>
    </row>
    <row r="1064" spans="1:23" x14ac:dyDescent="0.2">
      <c r="A1064" t="s">
        <v>627</v>
      </c>
      <c r="B1064" t="s">
        <v>383</v>
      </c>
      <c r="C1064" t="s">
        <v>77</v>
      </c>
      <c r="D1064" t="s">
        <v>37</v>
      </c>
      <c r="E1064" t="s">
        <v>56</v>
      </c>
      <c r="F1064" s="7">
        <v>17195029</v>
      </c>
      <c r="G1064" t="s">
        <v>628</v>
      </c>
      <c r="H1064" s="5">
        <v>29125</v>
      </c>
      <c r="I1064" s="12">
        <v>45818</v>
      </c>
      <c r="J1064" s="15">
        <v>60</v>
      </c>
      <c r="K1064" s="15">
        <v>5</v>
      </c>
      <c r="L1064" s="9">
        <v>7.3400000000000007E-2</v>
      </c>
      <c r="M1064" s="9">
        <v>4.7300000000000002E-2</v>
      </c>
      <c r="N1064" s="15">
        <v>8</v>
      </c>
      <c r="O1064" t="s">
        <v>27</v>
      </c>
      <c r="P1064" t="s">
        <v>28</v>
      </c>
      <c r="Q1064" s="24">
        <v>0.9</v>
      </c>
      <c r="R1064" s="5">
        <f t="shared" si="96"/>
        <v>351.41506849315067</v>
      </c>
      <c r="S1064" s="5">
        <f t="shared" si="97"/>
        <v>30.194246575342465</v>
      </c>
      <c r="T1064" s="5">
        <f t="shared" si="98"/>
        <v>321.22082191780822</v>
      </c>
      <c r="U1064" s="15">
        <f t="shared" si="99"/>
        <v>52</v>
      </c>
      <c r="V1064" s="3">
        <f t="shared" si="100"/>
        <v>684.14625000000012</v>
      </c>
      <c r="W1064" s="3">
        <f t="shared" si="101"/>
        <v>1063</v>
      </c>
    </row>
    <row r="1065" spans="1:23" x14ac:dyDescent="0.2">
      <c r="A1065" t="s">
        <v>450</v>
      </c>
      <c r="B1065" t="s">
        <v>76</v>
      </c>
      <c r="C1065" t="s">
        <v>41</v>
      </c>
      <c r="D1065" t="s">
        <v>32</v>
      </c>
      <c r="E1065" t="s">
        <v>56</v>
      </c>
      <c r="F1065" s="7">
        <v>13637712</v>
      </c>
      <c r="G1065" t="s">
        <v>1371</v>
      </c>
      <c r="H1065" s="5">
        <v>45730</v>
      </c>
      <c r="I1065" s="12">
        <v>45762</v>
      </c>
      <c r="J1065" s="15">
        <v>90</v>
      </c>
      <c r="K1065" s="15">
        <v>10</v>
      </c>
      <c r="L1065" s="9">
        <v>8.6999999999999994E-2</v>
      </c>
      <c r="M1065" s="9">
        <v>5.7099999999999998E-2</v>
      </c>
      <c r="N1065" s="15">
        <v>6</v>
      </c>
      <c r="O1065" t="s">
        <v>27</v>
      </c>
      <c r="P1065" t="s">
        <v>28</v>
      </c>
      <c r="Q1065" s="24">
        <v>0.5</v>
      </c>
      <c r="R1065" s="5">
        <f t="shared" si="96"/>
        <v>981.00246575342453</v>
      </c>
      <c r="S1065" s="5">
        <f t="shared" si="97"/>
        <v>42.923556164383555</v>
      </c>
      <c r="T1065" s="5">
        <f t="shared" si="98"/>
        <v>938.07890958904102</v>
      </c>
      <c r="U1065" s="15">
        <f t="shared" si="99"/>
        <v>84</v>
      </c>
      <c r="V1065" s="3">
        <f t="shared" si="100"/>
        <v>683.66349999999989</v>
      </c>
      <c r="W1065" s="3">
        <f t="shared" si="101"/>
        <v>1064</v>
      </c>
    </row>
    <row r="1066" spans="1:23" x14ac:dyDescent="0.2">
      <c r="A1066" t="s">
        <v>518</v>
      </c>
      <c r="B1066" t="s">
        <v>519</v>
      </c>
      <c r="C1066" t="s">
        <v>41</v>
      </c>
      <c r="D1066" t="s">
        <v>48</v>
      </c>
      <c r="E1066" t="s">
        <v>25</v>
      </c>
      <c r="F1066" s="7">
        <v>6967315</v>
      </c>
      <c r="G1066" t="s">
        <v>1757</v>
      </c>
      <c r="H1066" s="5">
        <v>21697</v>
      </c>
      <c r="I1066" s="12">
        <v>45760</v>
      </c>
      <c r="J1066" s="15">
        <v>60</v>
      </c>
      <c r="K1066" s="15">
        <v>10</v>
      </c>
      <c r="L1066" s="9">
        <v>9.1999999999999998E-2</v>
      </c>
      <c r="M1066" s="9">
        <v>5.33E-2</v>
      </c>
      <c r="N1066" s="15">
        <v>6</v>
      </c>
      <c r="O1066" t="s">
        <v>27</v>
      </c>
      <c r="P1066" t="s">
        <v>28</v>
      </c>
      <c r="Q1066" s="24">
        <v>0.8</v>
      </c>
      <c r="R1066" s="5">
        <f t="shared" si="96"/>
        <v>328.12997260273971</v>
      </c>
      <c r="S1066" s="5">
        <f t="shared" si="97"/>
        <v>19.010138630136986</v>
      </c>
      <c r="T1066" s="5">
        <f t="shared" si="98"/>
        <v>309.11983397260275</v>
      </c>
      <c r="U1066" s="15">
        <f t="shared" si="99"/>
        <v>54</v>
      </c>
      <c r="V1066" s="3">
        <f t="shared" si="100"/>
        <v>671.73912000000007</v>
      </c>
      <c r="W1066" s="3">
        <f t="shared" si="101"/>
        <v>1065</v>
      </c>
    </row>
    <row r="1067" spans="1:23" x14ac:dyDescent="0.2">
      <c r="A1067" t="s">
        <v>837</v>
      </c>
      <c r="B1067" t="s">
        <v>838</v>
      </c>
      <c r="C1067" t="s">
        <v>77</v>
      </c>
      <c r="D1067" t="s">
        <v>32</v>
      </c>
      <c r="E1067" t="s">
        <v>25</v>
      </c>
      <c r="F1067" s="7">
        <v>6051605</v>
      </c>
      <c r="G1067" t="s">
        <v>873</v>
      </c>
      <c r="H1067" s="5">
        <v>49128</v>
      </c>
      <c r="I1067" s="12">
        <v>45724</v>
      </c>
      <c r="J1067" s="15">
        <v>60</v>
      </c>
      <c r="K1067" s="15">
        <v>3</v>
      </c>
      <c r="L1067" s="9">
        <v>0.11310000000000001</v>
      </c>
      <c r="M1067" s="9">
        <v>4.6399999999999997E-2</v>
      </c>
      <c r="N1067" s="15">
        <v>10</v>
      </c>
      <c r="O1067" t="s">
        <v>27</v>
      </c>
      <c r="P1067" t="s">
        <v>28</v>
      </c>
      <c r="Q1067" s="24">
        <v>0.2</v>
      </c>
      <c r="R1067" s="5">
        <f t="shared" si="96"/>
        <v>913.37700821917804</v>
      </c>
      <c r="S1067" s="5">
        <f t="shared" si="97"/>
        <v>62.453128767123275</v>
      </c>
      <c r="T1067" s="5">
        <f t="shared" si="98"/>
        <v>850.92387945205473</v>
      </c>
      <c r="U1067" s="15">
        <f t="shared" si="99"/>
        <v>50</v>
      </c>
      <c r="V1067" s="3">
        <f t="shared" si="100"/>
        <v>655.36752000000013</v>
      </c>
      <c r="W1067" s="3">
        <f t="shared" si="101"/>
        <v>1066</v>
      </c>
    </row>
    <row r="1068" spans="1:23" x14ac:dyDescent="0.2">
      <c r="A1068" t="s">
        <v>64</v>
      </c>
      <c r="B1068" t="s">
        <v>65</v>
      </c>
      <c r="C1068" t="s">
        <v>36</v>
      </c>
      <c r="D1068" t="s">
        <v>66</v>
      </c>
      <c r="E1068" t="s">
        <v>56</v>
      </c>
      <c r="F1068" s="7">
        <v>19529913</v>
      </c>
      <c r="G1068" t="s">
        <v>706</v>
      </c>
      <c r="H1068" s="5">
        <v>24807</v>
      </c>
      <c r="I1068" s="12">
        <v>45936</v>
      </c>
      <c r="J1068" s="15">
        <v>60</v>
      </c>
      <c r="K1068" s="15">
        <v>4</v>
      </c>
      <c r="L1068" s="9">
        <v>8.7499999999999994E-2</v>
      </c>
      <c r="M1068" s="9">
        <v>5.45E-2</v>
      </c>
      <c r="N1068" s="15">
        <v>6</v>
      </c>
      <c r="O1068" t="s">
        <v>27</v>
      </c>
      <c r="P1068" t="s">
        <v>28</v>
      </c>
      <c r="Q1068" s="24">
        <v>0.8</v>
      </c>
      <c r="R1068" s="5">
        <f t="shared" si="96"/>
        <v>356.81301369863007</v>
      </c>
      <c r="S1068" s="5">
        <f t="shared" si="97"/>
        <v>22.224353424657533</v>
      </c>
      <c r="T1068" s="5">
        <f t="shared" si="98"/>
        <v>334.58866027397255</v>
      </c>
      <c r="U1068" s="15">
        <f t="shared" si="99"/>
        <v>54</v>
      </c>
      <c r="V1068" s="3">
        <f t="shared" si="100"/>
        <v>654.90479999999991</v>
      </c>
      <c r="W1068" s="3">
        <f t="shared" si="101"/>
        <v>1067</v>
      </c>
    </row>
    <row r="1069" spans="1:23" x14ac:dyDescent="0.2">
      <c r="A1069" t="s">
        <v>64</v>
      </c>
      <c r="B1069" t="s">
        <v>65</v>
      </c>
      <c r="C1069" t="s">
        <v>36</v>
      </c>
      <c r="D1069" t="s">
        <v>66</v>
      </c>
      <c r="E1069" t="s">
        <v>56</v>
      </c>
      <c r="F1069" s="7">
        <v>19529913</v>
      </c>
      <c r="G1069" t="s">
        <v>509</v>
      </c>
      <c r="H1069" s="5">
        <v>23322</v>
      </c>
      <c r="I1069" s="12">
        <v>45782</v>
      </c>
      <c r="J1069" s="15">
        <v>60</v>
      </c>
      <c r="K1069" s="15">
        <v>2</v>
      </c>
      <c r="L1069" s="9">
        <v>8.7499999999999994E-2</v>
      </c>
      <c r="M1069" s="9">
        <v>5.2400000000000002E-2</v>
      </c>
      <c r="N1069" s="15">
        <v>7</v>
      </c>
      <c r="O1069" t="s">
        <v>27</v>
      </c>
      <c r="P1069" t="s">
        <v>28</v>
      </c>
      <c r="Q1069" s="24">
        <v>0.8</v>
      </c>
      <c r="R1069" s="5">
        <f t="shared" si="96"/>
        <v>335.45342465753424</v>
      </c>
      <c r="S1069" s="5">
        <f t="shared" si="97"/>
        <v>23.437012602739731</v>
      </c>
      <c r="T1069" s="5">
        <f t="shared" si="98"/>
        <v>312.0164120547945</v>
      </c>
      <c r="U1069" s="15">
        <f t="shared" si="99"/>
        <v>53</v>
      </c>
      <c r="V1069" s="3">
        <f t="shared" si="100"/>
        <v>654.88175999999987</v>
      </c>
      <c r="W1069" s="3">
        <f t="shared" si="101"/>
        <v>1068</v>
      </c>
    </row>
    <row r="1070" spans="1:23" x14ac:dyDescent="0.2">
      <c r="A1070" t="s">
        <v>201</v>
      </c>
      <c r="B1070" t="s">
        <v>76</v>
      </c>
      <c r="C1070" t="s">
        <v>23</v>
      </c>
      <c r="D1070" t="s">
        <v>37</v>
      </c>
      <c r="E1070" t="s">
        <v>56</v>
      </c>
      <c r="F1070" s="7">
        <v>21198154</v>
      </c>
      <c r="G1070" t="s">
        <v>1111</v>
      </c>
      <c r="H1070" s="5">
        <v>42765</v>
      </c>
      <c r="I1070" s="12">
        <v>45747</v>
      </c>
      <c r="J1070" s="15">
        <v>45</v>
      </c>
      <c r="K1070" s="15">
        <v>2</v>
      </c>
      <c r="L1070" s="9">
        <v>0.1086</v>
      </c>
      <c r="M1070" s="9">
        <v>6.5000000000000002E-2</v>
      </c>
      <c r="N1070" s="15">
        <v>7</v>
      </c>
      <c r="O1070" t="s">
        <v>27</v>
      </c>
      <c r="P1070" t="s">
        <v>28</v>
      </c>
      <c r="Q1070" s="24">
        <v>0.35</v>
      </c>
      <c r="R1070" s="5">
        <f t="shared" si="96"/>
        <v>572.58234246575341</v>
      </c>
      <c r="S1070" s="5">
        <f t="shared" si="97"/>
        <v>53.309794520547946</v>
      </c>
      <c r="T1070" s="5">
        <f t="shared" si="98"/>
        <v>519.27254794520547</v>
      </c>
      <c r="U1070" s="15">
        <f t="shared" si="99"/>
        <v>38</v>
      </c>
      <c r="V1070" s="3">
        <f t="shared" si="100"/>
        <v>652.59389999999996</v>
      </c>
      <c r="W1070" s="3">
        <f t="shared" si="101"/>
        <v>1069</v>
      </c>
    </row>
    <row r="1071" spans="1:23" x14ac:dyDescent="0.2">
      <c r="A1071" t="s">
        <v>142</v>
      </c>
      <c r="B1071" t="s">
        <v>143</v>
      </c>
      <c r="C1071" t="s">
        <v>36</v>
      </c>
      <c r="D1071" t="s">
        <v>66</v>
      </c>
      <c r="E1071" t="s">
        <v>49</v>
      </c>
      <c r="F1071" s="7">
        <v>735440</v>
      </c>
      <c r="G1071" t="s">
        <v>504</v>
      </c>
      <c r="H1071" s="5">
        <v>45438</v>
      </c>
      <c r="I1071" s="12">
        <v>45664</v>
      </c>
      <c r="J1071" s="15">
        <v>60</v>
      </c>
      <c r="K1071" s="15">
        <v>7</v>
      </c>
      <c r="L1071" s="9">
        <v>0.13020000000000001</v>
      </c>
      <c r="M1071" s="9">
        <v>5.8500000000000003E-2</v>
      </c>
      <c r="N1071" s="15">
        <v>5</v>
      </c>
      <c r="O1071" t="s">
        <v>28</v>
      </c>
      <c r="P1071" t="s">
        <v>28</v>
      </c>
      <c r="Q1071" s="24">
        <v>0.2</v>
      </c>
      <c r="R1071" s="5">
        <f t="shared" si="96"/>
        <v>972.49768767123282</v>
      </c>
      <c r="S1071" s="5">
        <f t="shared" si="97"/>
        <v>36.412643835616436</v>
      </c>
      <c r="T1071" s="5">
        <f t="shared" si="98"/>
        <v>936.08504383561637</v>
      </c>
      <c r="U1071" s="15">
        <f t="shared" si="99"/>
        <v>55</v>
      </c>
      <c r="V1071" s="3">
        <f t="shared" si="100"/>
        <v>651.58092000000022</v>
      </c>
      <c r="W1071" s="3">
        <f t="shared" si="101"/>
        <v>1070</v>
      </c>
    </row>
    <row r="1072" spans="1:23" x14ac:dyDescent="0.2">
      <c r="A1072" t="s">
        <v>34</v>
      </c>
      <c r="B1072" t="s">
        <v>35</v>
      </c>
      <c r="C1072" t="s">
        <v>36</v>
      </c>
      <c r="D1072" t="s">
        <v>37</v>
      </c>
      <c r="E1072" t="s">
        <v>25</v>
      </c>
      <c r="F1072" s="7">
        <v>3714458</v>
      </c>
      <c r="G1072" t="s">
        <v>938</v>
      </c>
      <c r="H1072" s="5">
        <v>61300</v>
      </c>
      <c r="I1072" s="12">
        <v>46019</v>
      </c>
      <c r="J1072" s="15">
        <v>60</v>
      </c>
      <c r="K1072" s="15">
        <v>2</v>
      </c>
      <c r="L1072" s="9">
        <v>0.1153</v>
      </c>
      <c r="M1072" s="9">
        <v>6.2600000000000003E-2</v>
      </c>
      <c r="N1072" s="15">
        <v>5</v>
      </c>
      <c r="O1072" t="s">
        <v>28</v>
      </c>
      <c r="P1072" t="s">
        <v>28</v>
      </c>
      <c r="Q1072" s="24">
        <v>0.2</v>
      </c>
      <c r="R1072" s="5">
        <f t="shared" si="96"/>
        <v>1161.8449315068492</v>
      </c>
      <c r="S1072" s="5">
        <f t="shared" si="97"/>
        <v>52.566849315068495</v>
      </c>
      <c r="T1072" s="5">
        <f t="shared" si="98"/>
        <v>1109.2780821917806</v>
      </c>
      <c r="U1072" s="15">
        <f t="shared" si="99"/>
        <v>55</v>
      </c>
      <c r="V1072" s="3">
        <f t="shared" si="100"/>
        <v>646.10200000000009</v>
      </c>
      <c r="W1072" s="3">
        <f t="shared" si="101"/>
        <v>1071</v>
      </c>
    </row>
    <row r="1073" spans="1:23" x14ac:dyDescent="0.2">
      <c r="A1073" t="s">
        <v>58</v>
      </c>
      <c r="B1073" t="s">
        <v>59</v>
      </c>
      <c r="C1073" t="s">
        <v>23</v>
      </c>
      <c r="D1073" t="s">
        <v>24</v>
      </c>
      <c r="E1073" t="s">
        <v>25</v>
      </c>
      <c r="F1073" s="7">
        <v>4269919</v>
      </c>
      <c r="G1073" t="s">
        <v>60</v>
      </c>
      <c r="H1073" s="5">
        <v>21869</v>
      </c>
      <c r="I1073" s="12">
        <v>45704</v>
      </c>
      <c r="J1073" s="15">
        <v>45</v>
      </c>
      <c r="K1073" s="15">
        <v>3</v>
      </c>
      <c r="L1073" s="9">
        <v>0.1212</v>
      </c>
      <c r="M1073" s="9">
        <v>6.2199999999999998E-2</v>
      </c>
      <c r="N1073" s="15">
        <v>8</v>
      </c>
      <c r="O1073" t="s">
        <v>27</v>
      </c>
      <c r="P1073" t="s">
        <v>28</v>
      </c>
      <c r="Q1073" s="24">
        <v>0.5</v>
      </c>
      <c r="R1073" s="5">
        <f t="shared" si="96"/>
        <v>326.77678356164387</v>
      </c>
      <c r="S1073" s="5">
        <f t="shared" si="97"/>
        <v>29.813738082191779</v>
      </c>
      <c r="T1073" s="5">
        <f t="shared" si="98"/>
        <v>296.96304547945209</v>
      </c>
      <c r="U1073" s="15">
        <f t="shared" si="99"/>
        <v>37</v>
      </c>
      <c r="V1073" s="3">
        <f t="shared" si="100"/>
        <v>645.13550000000009</v>
      </c>
      <c r="W1073" s="3">
        <f t="shared" si="101"/>
        <v>1072</v>
      </c>
    </row>
    <row r="1074" spans="1:23" x14ac:dyDescent="0.2">
      <c r="A1074" t="s">
        <v>117</v>
      </c>
      <c r="B1074" t="s">
        <v>118</v>
      </c>
      <c r="C1074" t="s">
        <v>77</v>
      </c>
      <c r="D1074" t="s">
        <v>32</v>
      </c>
      <c r="E1074" t="s">
        <v>25</v>
      </c>
      <c r="F1074" s="7">
        <v>6024640</v>
      </c>
      <c r="G1074" t="s">
        <v>1311</v>
      </c>
      <c r="H1074" s="5">
        <v>35680</v>
      </c>
      <c r="I1074" s="12">
        <v>45723</v>
      </c>
      <c r="J1074" s="15">
        <v>90</v>
      </c>
      <c r="K1074" s="15">
        <v>10</v>
      </c>
      <c r="L1074" s="9">
        <v>0.13769999999999999</v>
      </c>
      <c r="M1074" s="9">
        <v>4.8599999999999997E-2</v>
      </c>
      <c r="N1074" s="15">
        <v>10</v>
      </c>
      <c r="O1074" t="s">
        <v>27</v>
      </c>
      <c r="P1074" t="s">
        <v>28</v>
      </c>
      <c r="Q1074" s="24">
        <v>0.2</v>
      </c>
      <c r="R1074" s="5">
        <f t="shared" si="96"/>
        <v>1211.4581917808218</v>
      </c>
      <c r="S1074" s="5">
        <f t="shared" si="97"/>
        <v>47.508164383561642</v>
      </c>
      <c r="T1074" s="5">
        <f t="shared" si="98"/>
        <v>1163.9500273972601</v>
      </c>
      <c r="U1074" s="15">
        <f t="shared" si="99"/>
        <v>80</v>
      </c>
      <c r="V1074" s="3">
        <f t="shared" si="100"/>
        <v>635.81759999999997</v>
      </c>
      <c r="W1074" s="3">
        <f t="shared" si="101"/>
        <v>1073</v>
      </c>
    </row>
    <row r="1075" spans="1:23" x14ac:dyDescent="0.2">
      <c r="A1075" t="s">
        <v>239</v>
      </c>
      <c r="B1075" t="s">
        <v>240</v>
      </c>
      <c r="C1075" t="s">
        <v>31</v>
      </c>
      <c r="D1075" t="s">
        <v>32</v>
      </c>
      <c r="E1075" t="s">
        <v>49</v>
      </c>
      <c r="F1075" s="7">
        <v>1485779</v>
      </c>
      <c r="G1075" t="s">
        <v>759</v>
      </c>
      <c r="H1075" s="5">
        <v>23738</v>
      </c>
      <c r="I1075" s="12">
        <v>45834</v>
      </c>
      <c r="J1075" s="15">
        <v>60</v>
      </c>
      <c r="K1075" s="15">
        <v>4</v>
      </c>
      <c r="L1075" s="9">
        <v>0.1295</v>
      </c>
      <c r="M1075" s="9">
        <v>5.3199999999999997E-2</v>
      </c>
      <c r="N1075" s="15">
        <v>6</v>
      </c>
      <c r="O1075" t="s">
        <v>27</v>
      </c>
      <c r="P1075" t="s">
        <v>28</v>
      </c>
      <c r="Q1075" s="24">
        <v>0.35</v>
      </c>
      <c r="R1075" s="5">
        <f t="shared" si="96"/>
        <v>505.32673972602737</v>
      </c>
      <c r="S1075" s="5">
        <f t="shared" si="97"/>
        <v>20.759368767123284</v>
      </c>
      <c r="T1075" s="5">
        <f t="shared" si="98"/>
        <v>484.56737095890406</v>
      </c>
      <c r="U1075" s="15">
        <f t="shared" si="99"/>
        <v>54</v>
      </c>
      <c r="V1075" s="3">
        <f t="shared" si="100"/>
        <v>633.92328999999995</v>
      </c>
      <c r="W1075" s="3">
        <f t="shared" si="101"/>
        <v>1074</v>
      </c>
    </row>
    <row r="1076" spans="1:23" x14ac:dyDescent="0.2">
      <c r="A1076" t="s">
        <v>201</v>
      </c>
      <c r="B1076" t="s">
        <v>76</v>
      </c>
      <c r="C1076" t="s">
        <v>23</v>
      </c>
      <c r="D1076" t="s">
        <v>37</v>
      </c>
      <c r="E1076" t="s">
        <v>56</v>
      </c>
      <c r="F1076" s="7">
        <v>21198154</v>
      </c>
      <c r="G1076" t="s">
        <v>1208</v>
      </c>
      <c r="H1076" s="5">
        <v>21946</v>
      </c>
      <c r="I1076" s="12">
        <v>45774</v>
      </c>
      <c r="J1076" s="15">
        <v>60</v>
      </c>
      <c r="K1076" s="15">
        <v>2</v>
      </c>
      <c r="L1076" s="9">
        <v>0.1086</v>
      </c>
      <c r="M1076" s="9">
        <v>5.0900000000000001E-2</v>
      </c>
      <c r="N1076" s="15">
        <v>10</v>
      </c>
      <c r="O1076" t="s">
        <v>27</v>
      </c>
      <c r="P1076" t="s">
        <v>28</v>
      </c>
      <c r="Q1076" s="24">
        <v>0.5</v>
      </c>
      <c r="R1076" s="5">
        <f t="shared" si="96"/>
        <v>391.7811945205479</v>
      </c>
      <c r="S1076" s="5">
        <f t="shared" si="97"/>
        <v>30.604147945205479</v>
      </c>
      <c r="T1076" s="5">
        <f t="shared" si="98"/>
        <v>361.17704657534244</v>
      </c>
      <c r="U1076" s="15">
        <f t="shared" si="99"/>
        <v>50</v>
      </c>
      <c r="V1076" s="3">
        <f t="shared" si="100"/>
        <v>633.14210000000003</v>
      </c>
      <c r="W1076" s="3">
        <f t="shared" si="101"/>
        <v>1075</v>
      </c>
    </row>
    <row r="1077" spans="1:23" x14ac:dyDescent="0.2">
      <c r="A1077" t="s">
        <v>145</v>
      </c>
      <c r="B1077" t="s">
        <v>146</v>
      </c>
      <c r="C1077" t="s">
        <v>23</v>
      </c>
      <c r="D1077" t="s">
        <v>48</v>
      </c>
      <c r="E1077" t="s">
        <v>25</v>
      </c>
      <c r="F1077" s="7">
        <v>5790128</v>
      </c>
      <c r="G1077" t="s">
        <v>437</v>
      </c>
      <c r="H1077" s="5">
        <v>102496</v>
      </c>
      <c r="I1077" s="12">
        <v>45717</v>
      </c>
      <c r="J1077" s="15">
        <v>60</v>
      </c>
      <c r="K1077" s="15">
        <v>4</v>
      </c>
      <c r="L1077" s="9">
        <v>9.5799999999999996E-2</v>
      </c>
      <c r="M1077" s="9">
        <v>6.5000000000000002E-2</v>
      </c>
      <c r="N1077" s="15">
        <v>8</v>
      </c>
      <c r="O1077" t="s">
        <v>28</v>
      </c>
      <c r="P1077" t="s">
        <v>28</v>
      </c>
      <c r="Q1077" s="24">
        <v>0.2</v>
      </c>
      <c r="R1077" s="5">
        <f t="shared" si="96"/>
        <v>1614.1013917808218</v>
      </c>
      <c r="S1077" s="5">
        <f t="shared" si="97"/>
        <v>146.021698630137</v>
      </c>
      <c r="T1077" s="5">
        <f t="shared" si="98"/>
        <v>1468.0796931506848</v>
      </c>
      <c r="U1077" s="15">
        <f t="shared" si="99"/>
        <v>52</v>
      </c>
      <c r="V1077" s="3">
        <f t="shared" si="100"/>
        <v>631.37535999999989</v>
      </c>
      <c r="W1077" s="3">
        <f t="shared" si="101"/>
        <v>1076</v>
      </c>
    </row>
    <row r="1078" spans="1:23" x14ac:dyDescent="0.2">
      <c r="A1078" t="s">
        <v>366</v>
      </c>
      <c r="B1078" t="s">
        <v>367</v>
      </c>
      <c r="C1078" t="s">
        <v>41</v>
      </c>
      <c r="D1078" t="s">
        <v>37</v>
      </c>
      <c r="E1078" t="s">
        <v>56</v>
      </c>
      <c r="F1078" s="7">
        <v>13330124</v>
      </c>
      <c r="G1078" t="s">
        <v>762</v>
      </c>
      <c r="H1078" s="5">
        <v>63740</v>
      </c>
      <c r="I1078" s="12">
        <v>45874</v>
      </c>
      <c r="J1078" s="15">
        <v>45</v>
      </c>
      <c r="K1078" s="15">
        <v>10</v>
      </c>
      <c r="L1078" s="9">
        <v>0.10920000000000001</v>
      </c>
      <c r="M1078" s="9">
        <v>5.9700000000000003E-2</v>
      </c>
      <c r="N1078" s="15">
        <v>8</v>
      </c>
      <c r="O1078" t="s">
        <v>27</v>
      </c>
      <c r="P1078" t="s">
        <v>28</v>
      </c>
      <c r="Q1078" s="24">
        <v>0.2</v>
      </c>
      <c r="R1078" s="5">
        <f t="shared" si="96"/>
        <v>858.13249315068492</v>
      </c>
      <c r="S1078" s="5">
        <f t="shared" si="97"/>
        <v>83.403353424657539</v>
      </c>
      <c r="T1078" s="5">
        <f t="shared" si="98"/>
        <v>774.72913972602737</v>
      </c>
      <c r="U1078" s="15">
        <f t="shared" si="99"/>
        <v>37</v>
      </c>
      <c r="V1078" s="3">
        <f t="shared" si="100"/>
        <v>631.02600000000007</v>
      </c>
      <c r="W1078" s="3">
        <f t="shared" si="101"/>
        <v>1077</v>
      </c>
    </row>
    <row r="1079" spans="1:23" x14ac:dyDescent="0.2">
      <c r="A1079" t="s">
        <v>230</v>
      </c>
      <c r="B1079" t="s">
        <v>231</v>
      </c>
      <c r="C1079" t="s">
        <v>31</v>
      </c>
      <c r="D1079" t="s">
        <v>37</v>
      </c>
      <c r="E1079" t="s">
        <v>25</v>
      </c>
      <c r="F1079" s="7">
        <v>6782855</v>
      </c>
      <c r="G1079" t="s">
        <v>1671</v>
      </c>
      <c r="H1079" s="5">
        <v>14850</v>
      </c>
      <c r="I1079" s="12">
        <v>45782</v>
      </c>
      <c r="J1079" s="15">
        <v>60</v>
      </c>
      <c r="K1079" s="15">
        <v>7</v>
      </c>
      <c r="L1079" s="9">
        <v>0.1188</v>
      </c>
      <c r="M1079" s="9">
        <v>5.4100000000000002E-2</v>
      </c>
      <c r="N1079" s="15">
        <v>10</v>
      </c>
      <c r="O1079" t="s">
        <v>27</v>
      </c>
      <c r="P1079" t="s">
        <v>28</v>
      </c>
      <c r="Q1079" s="24">
        <v>0.65</v>
      </c>
      <c r="R1079" s="5">
        <f t="shared" si="96"/>
        <v>290.00219178082193</v>
      </c>
      <c r="S1079" s="5">
        <f t="shared" si="97"/>
        <v>22.010547945205477</v>
      </c>
      <c r="T1079" s="5">
        <f t="shared" si="98"/>
        <v>267.99164383561646</v>
      </c>
      <c r="U1079" s="15">
        <f t="shared" si="99"/>
        <v>50</v>
      </c>
      <c r="V1079" s="3">
        <f t="shared" si="100"/>
        <v>624.51675000000012</v>
      </c>
      <c r="W1079" s="3">
        <f t="shared" si="101"/>
        <v>1078</v>
      </c>
    </row>
    <row r="1080" spans="1:23" x14ac:dyDescent="0.2">
      <c r="A1080" t="s">
        <v>149</v>
      </c>
      <c r="B1080" t="s">
        <v>30</v>
      </c>
      <c r="C1080" t="s">
        <v>77</v>
      </c>
      <c r="D1080" t="s">
        <v>66</v>
      </c>
      <c r="E1080" t="s">
        <v>25</v>
      </c>
      <c r="F1080" s="7">
        <v>3553623</v>
      </c>
      <c r="G1080" t="s">
        <v>1100</v>
      </c>
      <c r="H1080" s="5">
        <v>15514</v>
      </c>
      <c r="I1080" s="12">
        <v>45755</v>
      </c>
      <c r="J1080" s="15">
        <v>45</v>
      </c>
      <c r="K1080" s="15">
        <v>10</v>
      </c>
      <c r="L1080" s="9">
        <v>9.8199999999999996E-2</v>
      </c>
      <c r="M1080" s="9">
        <v>4.7899999999999998E-2</v>
      </c>
      <c r="N1080" s="15">
        <v>6</v>
      </c>
      <c r="O1080" t="s">
        <v>27</v>
      </c>
      <c r="P1080" t="s">
        <v>28</v>
      </c>
      <c r="Q1080" s="24">
        <v>0.8</v>
      </c>
      <c r="R1080" s="5">
        <f t="shared" si="96"/>
        <v>187.82566027397257</v>
      </c>
      <c r="S1080" s="5">
        <f t="shared" si="97"/>
        <v>12.215681095890409</v>
      </c>
      <c r="T1080" s="5">
        <f t="shared" si="98"/>
        <v>175.60997917808217</v>
      </c>
      <c r="U1080" s="15">
        <f t="shared" si="99"/>
        <v>39</v>
      </c>
      <c r="V1080" s="3">
        <f t="shared" si="100"/>
        <v>624.28336000000002</v>
      </c>
      <c r="W1080" s="3">
        <f t="shared" si="101"/>
        <v>1079</v>
      </c>
    </row>
    <row r="1081" spans="1:23" x14ac:dyDescent="0.2">
      <c r="A1081" t="s">
        <v>136</v>
      </c>
      <c r="B1081" t="s">
        <v>137</v>
      </c>
      <c r="C1081" t="s">
        <v>31</v>
      </c>
      <c r="D1081" t="s">
        <v>37</v>
      </c>
      <c r="E1081" t="s">
        <v>56</v>
      </c>
      <c r="F1081" s="7">
        <v>17196352</v>
      </c>
      <c r="G1081" t="s">
        <v>1027</v>
      </c>
      <c r="H1081" s="5">
        <v>96945</v>
      </c>
      <c r="I1081" s="12">
        <v>45668</v>
      </c>
      <c r="J1081" s="15">
        <v>60</v>
      </c>
      <c r="K1081" s="15">
        <v>2</v>
      </c>
      <c r="L1081" s="9">
        <v>8.1500000000000003E-2</v>
      </c>
      <c r="M1081" s="9">
        <v>6.3200000000000006E-2</v>
      </c>
      <c r="N1081" s="15">
        <v>5</v>
      </c>
      <c r="O1081" t="s">
        <v>27</v>
      </c>
      <c r="P1081" t="s">
        <v>28</v>
      </c>
      <c r="Q1081" s="24">
        <v>0.35</v>
      </c>
      <c r="R1081" s="5">
        <f t="shared" si="96"/>
        <v>1298.7973972602738</v>
      </c>
      <c r="S1081" s="5">
        <f t="shared" si="97"/>
        <v>83.93046575342467</v>
      </c>
      <c r="T1081" s="5">
        <f t="shared" si="98"/>
        <v>1214.8669315068491</v>
      </c>
      <c r="U1081" s="15">
        <f t="shared" si="99"/>
        <v>55</v>
      </c>
      <c r="V1081" s="3">
        <f t="shared" si="100"/>
        <v>620.93272499999989</v>
      </c>
      <c r="W1081" s="3">
        <f t="shared" si="101"/>
        <v>1080</v>
      </c>
    </row>
    <row r="1082" spans="1:23" x14ac:dyDescent="0.2">
      <c r="A1082" t="s">
        <v>889</v>
      </c>
      <c r="B1082" t="s">
        <v>286</v>
      </c>
      <c r="C1082" t="s">
        <v>23</v>
      </c>
      <c r="D1082" t="s">
        <v>66</v>
      </c>
      <c r="E1082" t="s">
        <v>49</v>
      </c>
      <c r="F1082" s="7">
        <v>1374525</v>
      </c>
      <c r="G1082" t="s">
        <v>1575</v>
      </c>
      <c r="H1082" s="5">
        <v>15236</v>
      </c>
      <c r="I1082" s="12">
        <v>45976</v>
      </c>
      <c r="J1082" s="15">
        <v>60</v>
      </c>
      <c r="K1082" s="15">
        <v>4</v>
      </c>
      <c r="L1082" s="9">
        <v>0.13320000000000001</v>
      </c>
      <c r="M1082" s="9">
        <v>5.1700000000000003E-2</v>
      </c>
      <c r="N1082" s="15">
        <v>8</v>
      </c>
      <c r="O1082" t="s">
        <v>27</v>
      </c>
      <c r="P1082" t="s">
        <v>28</v>
      </c>
      <c r="Q1082" s="24">
        <v>0.5</v>
      </c>
      <c r="R1082" s="5">
        <f t="shared" si="96"/>
        <v>333.60578630136985</v>
      </c>
      <c r="S1082" s="5">
        <f t="shared" si="97"/>
        <v>17.264683835616442</v>
      </c>
      <c r="T1082" s="5">
        <f t="shared" si="98"/>
        <v>316.34110246575341</v>
      </c>
      <c r="U1082" s="15">
        <f t="shared" si="99"/>
        <v>52</v>
      </c>
      <c r="V1082" s="3">
        <f t="shared" si="100"/>
        <v>620.86700000000008</v>
      </c>
      <c r="W1082" s="3">
        <f t="shared" si="101"/>
        <v>1081</v>
      </c>
    </row>
    <row r="1083" spans="1:23" x14ac:dyDescent="0.2">
      <c r="A1083" t="s">
        <v>401</v>
      </c>
      <c r="B1083" t="s">
        <v>402</v>
      </c>
      <c r="C1083" t="s">
        <v>41</v>
      </c>
      <c r="D1083" t="s">
        <v>32</v>
      </c>
      <c r="E1083" t="s">
        <v>25</v>
      </c>
      <c r="F1083" s="7">
        <v>4153903</v>
      </c>
      <c r="G1083" t="s">
        <v>1053</v>
      </c>
      <c r="H1083" s="5">
        <v>16440</v>
      </c>
      <c r="I1083" s="12">
        <v>46025</v>
      </c>
      <c r="J1083" s="15">
        <v>45</v>
      </c>
      <c r="K1083" s="15">
        <v>2</v>
      </c>
      <c r="L1083" s="9">
        <v>0.13669999999999999</v>
      </c>
      <c r="M1083" s="9">
        <v>6.1499999999999999E-2</v>
      </c>
      <c r="N1083" s="15">
        <v>8</v>
      </c>
      <c r="O1083" t="s">
        <v>27</v>
      </c>
      <c r="P1083" t="s">
        <v>28</v>
      </c>
      <c r="Q1083" s="24">
        <v>0.5</v>
      </c>
      <c r="R1083" s="5">
        <f t="shared" si="96"/>
        <v>277.07030136986299</v>
      </c>
      <c r="S1083" s="5">
        <f t="shared" si="97"/>
        <v>22.16021917808219</v>
      </c>
      <c r="T1083" s="5">
        <f t="shared" si="98"/>
        <v>254.91008219178079</v>
      </c>
      <c r="U1083" s="15">
        <f t="shared" si="99"/>
        <v>37</v>
      </c>
      <c r="V1083" s="3">
        <f t="shared" si="100"/>
        <v>618.14399999999989</v>
      </c>
      <c r="W1083" s="3">
        <f t="shared" si="101"/>
        <v>1082</v>
      </c>
    </row>
    <row r="1084" spans="1:23" x14ac:dyDescent="0.2">
      <c r="A1084" t="s">
        <v>64</v>
      </c>
      <c r="B1084" t="s">
        <v>65</v>
      </c>
      <c r="C1084" t="s">
        <v>36</v>
      </c>
      <c r="D1084" t="s">
        <v>66</v>
      </c>
      <c r="E1084" t="s">
        <v>56</v>
      </c>
      <c r="F1084" s="7">
        <v>19529913</v>
      </c>
      <c r="G1084" t="s">
        <v>1662</v>
      </c>
      <c r="H1084" s="5">
        <v>52341</v>
      </c>
      <c r="I1084" s="12">
        <v>45685</v>
      </c>
      <c r="J1084" s="15">
        <v>60</v>
      </c>
      <c r="K1084" s="15">
        <v>10</v>
      </c>
      <c r="L1084" s="9">
        <v>8.7499999999999994E-2</v>
      </c>
      <c r="M1084" s="9">
        <v>6.3899999999999998E-2</v>
      </c>
      <c r="N1084" s="15">
        <v>6</v>
      </c>
      <c r="O1084" t="s">
        <v>27</v>
      </c>
      <c r="P1084" t="s">
        <v>28</v>
      </c>
      <c r="Q1084" s="24">
        <v>0.5</v>
      </c>
      <c r="R1084" s="5">
        <f t="shared" si="96"/>
        <v>752.84999999999991</v>
      </c>
      <c r="S1084" s="5">
        <f t="shared" si="97"/>
        <v>54.979559999999992</v>
      </c>
      <c r="T1084" s="5">
        <f t="shared" si="98"/>
        <v>697.87043999999992</v>
      </c>
      <c r="U1084" s="15">
        <f t="shared" si="99"/>
        <v>54</v>
      </c>
      <c r="V1084" s="3">
        <f t="shared" si="100"/>
        <v>617.62379999999985</v>
      </c>
      <c r="W1084" s="3">
        <f t="shared" si="101"/>
        <v>1083</v>
      </c>
    </row>
    <row r="1085" spans="1:23" x14ac:dyDescent="0.2">
      <c r="A1085" t="s">
        <v>654</v>
      </c>
      <c r="B1085" t="s">
        <v>110</v>
      </c>
      <c r="C1085" t="s">
        <v>23</v>
      </c>
      <c r="D1085" t="s">
        <v>66</v>
      </c>
      <c r="E1085" t="s">
        <v>25</v>
      </c>
      <c r="F1085" s="7">
        <v>6809493</v>
      </c>
      <c r="G1085" t="s">
        <v>1269</v>
      </c>
      <c r="H1085" s="5">
        <v>30705</v>
      </c>
      <c r="I1085" s="12">
        <v>46075</v>
      </c>
      <c r="J1085" s="15">
        <v>45</v>
      </c>
      <c r="K1085" s="15">
        <v>3</v>
      </c>
      <c r="L1085" s="9">
        <v>0.121</v>
      </c>
      <c r="M1085" s="9">
        <v>6.3600000000000004E-2</v>
      </c>
      <c r="N1085" s="15">
        <v>8</v>
      </c>
      <c r="O1085" t="s">
        <v>27</v>
      </c>
      <c r="P1085" t="s">
        <v>28</v>
      </c>
      <c r="Q1085" s="24">
        <v>0.35</v>
      </c>
      <c r="R1085" s="5">
        <f t="shared" si="96"/>
        <v>458.05130136986298</v>
      </c>
      <c r="S1085" s="5">
        <f t="shared" si="97"/>
        <v>42.801928767123293</v>
      </c>
      <c r="T1085" s="5">
        <f t="shared" si="98"/>
        <v>415.2493726027397</v>
      </c>
      <c r="U1085" s="15">
        <f t="shared" si="99"/>
        <v>37</v>
      </c>
      <c r="V1085" s="3">
        <f t="shared" si="100"/>
        <v>616.86344999999994</v>
      </c>
      <c r="W1085" s="3">
        <f t="shared" si="101"/>
        <v>1084</v>
      </c>
    </row>
    <row r="1086" spans="1:23" x14ac:dyDescent="0.2">
      <c r="A1086" t="s">
        <v>94</v>
      </c>
      <c r="B1086" t="s">
        <v>95</v>
      </c>
      <c r="C1086" t="s">
        <v>41</v>
      </c>
      <c r="D1086" t="s">
        <v>66</v>
      </c>
      <c r="E1086" t="s">
        <v>25</v>
      </c>
      <c r="F1086" s="7">
        <v>2406772</v>
      </c>
      <c r="G1086" t="s">
        <v>1195</v>
      </c>
      <c r="H1086" s="5">
        <v>37929</v>
      </c>
      <c r="I1086" s="12">
        <v>45758</v>
      </c>
      <c r="J1086" s="15">
        <v>45</v>
      </c>
      <c r="K1086" s="15">
        <v>3</v>
      </c>
      <c r="L1086" s="9">
        <v>0.1091</v>
      </c>
      <c r="M1086" s="9">
        <v>6.2700000000000006E-2</v>
      </c>
      <c r="N1086" s="15">
        <v>6</v>
      </c>
      <c r="O1086" t="s">
        <v>27</v>
      </c>
      <c r="P1086" t="s">
        <v>28</v>
      </c>
      <c r="Q1086" s="24">
        <v>0.35</v>
      </c>
      <c r="R1086" s="5">
        <f t="shared" si="96"/>
        <v>510.17102876712323</v>
      </c>
      <c r="S1086" s="5">
        <f t="shared" si="97"/>
        <v>39.092848767123286</v>
      </c>
      <c r="T1086" s="5">
        <f t="shared" si="98"/>
        <v>471.07817999999997</v>
      </c>
      <c r="U1086" s="15">
        <f t="shared" si="99"/>
        <v>39</v>
      </c>
      <c r="V1086" s="3">
        <f t="shared" si="100"/>
        <v>615.96695999999986</v>
      </c>
      <c r="W1086" s="3">
        <f t="shared" si="101"/>
        <v>1085</v>
      </c>
    </row>
    <row r="1087" spans="1:23" x14ac:dyDescent="0.2">
      <c r="A1087" t="s">
        <v>72</v>
      </c>
      <c r="B1087" t="s">
        <v>73</v>
      </c>
      <c r="C1087" t="s">
        <v>31</v>
      </c>
      <c r="D1087" t="s">
        <v>32</v>
      </c>
      <c r="E1087" t="s">
        <v>56</v>
      </c>
      <c r="F1087" s="7">
        <v>21625874</v>
      </c>
      <c r="G1087" t="s">
        <v>1171</v>
      </c>
      <c r="H1087" s="5">
        <v>20526</v>
      </c>
      <c r="I1087" s="12">
        <v>45669</v>
      </c>
      <c r="J1087" s="15">
        <v>45</v>
      </c>
      <c r="K1087" s="15">
        <v>7</v>
      </c>
      <c r="L1087" s="9">
        <v>9.5399999999999999E-2</v>
      </c>
      <c r="M1087" s="9">
        <v>6.2100000000000002E-2</v>
      </c>
      <c r="N1087" s="15">
        <v>10</v>
      </c>
      <c r="O1087" t="s">
        <v>27</v>
      </c>
      <c r="P1087" t="s">
        <v>28</v>
      </c>
      <c r="Q1087" s="24">
        <v>0.9</v>
      </c>
      <c r="R1087" s="5">
        <f t="shared" si="96"/>
        <v>241.41950136986299</v>
      </c>
      <c r="S1087" s="5">
        <f t="shared" si="97"/>
        <v>34.922317808219177</v>
      </c>
      <c r="T1087" s="5">
        <f t="shared" si="98"/>
        <v>206.49718356164379</v>
      </c>
      <c r="U1087" s="15">
        <f t="shared" si="99"/>
        <v>35</v>
      </c>
      <c r="V1087" s="3">
        <f t="shared" si="100"/>
        <v>615.16421999999989</v>
      </c>
      <c r="W1087" s="3">
        <f t="shared" si="101"/>
        <v>1086</v>
      </c>
    </row>
    <row r="1088" spans="1:23" x14ac:dyDescent="0.2">
      <c r="A1088" t="s">
        <v>54</v>
      </c>
      <c r="B1088" t="s">
        <v>55</v>
      </c>
      <c r="C1088" t="s">
        <v>31</v>
      </c>
      <c r="D1088" t="s">
        <v>24</v>
      </c>
      <c r="E1088" t="s">
        <v>56</v>
      </c>
      <c r="F1088" s="7">
        <v>15261617</v>
      </c>
      <c r="G1088" t="s">
        <v>1026</v>
      </c>
      <c r="H1088" s="5">
        <v>61882</v>
      </c>
      <c r="I1088" s="12">
        <v>45778</v>
      </c>
      <c r="J1088" s="15">
        <v>30</v>
      </c>
      <c r="K1088" s="15">
        <v>4</v>
      </c>
      <c r="L1088" s="9">
        <v>9.3200000000000005E-2</v>
      </c>
      <c r="M1088" s="9">
        <v>6.4799999999999996E-2</v>
      </c>
      <c r="N1088" s="15">
        <v>8</v>
      </c>
      <c r="O1088" t="s">
        <v>27</v>
      </c>
      <c r="P1088" t="s">
        <v>28</v>
      </c>
      <c r="Q1088" s="24">
        <v>0.35</v>
      </c>
      <c r="R1088" s="5">
        <f t="shared" si="96"/>
        <v>474.03307397260272</v>
      </c>
      <c r="S1088" s="5">
        <f t="shared" si="97"/>
        <v>87.889393972602733</v>
      </c>
      <c r="T1088" s="5">
        <f t="shared" si="98"/>
        <v>386.14368000000002</v>
      </c>
      <c r="U1088" s="15">
        <f t="shared" si="99"/>
        <v>22</v>
      </c>
      <c r="V1088" s="3">
        <f t="shared" si="100"/>
        <v>615.10708000000011</v>
      </c>
      <c r="W1088" s="3">
        <f t="shared" si="101"/>
        <v>1087</v>
      </c>
    </row>
    <row r="1089" spans="1:23" x14ac:dyDescent="0.2">
      <c r="A1089" t="s">
        <v>117</v>
      </c>
      <c r="B1089" t="s">
        <v>118</v>
      </c>
      <c r="C1089" t="s">
        <v>77</v>
      </c>
      <c r="D1089" t="s">
        <v>32</v>
      </c>
      <c r="E1089" t="s">
        <v>25</v>
      </c>
      <c r="F1089" s="7">
        <v>6024640</v>
      </c>
      <c r="G1089" t="s">
        <v>1220</v>
      </c>
      <c r="H1089" s="5">
        <v>34468</v>
      </c>
      <c r="I1089" s="12">
        <v>45855</v>
      </c>
      <c r="J1089" s="15">
        <v>45</v>
      </c>
      <c r="K1089" s="15">
        <v>7</v>
      </c>
      <c r="L1089" s="9">
        <v>0.13769999999999999</v>
      </c>
      <c r="M1089" s="9">
        <v>4.8599999999999997E-2</v>
      </c>
      <c r="N1089" s="15">
        <v>10</v>
      </c>
      <c r="O1089" t="s">
        <v>27</v>
      </c>
      <c r="P1089" t="s">
        <v>28</v>
      </c>
      <c r="Q1089" s="24">
        <v>0.2</v>
      </c>
      <c r="R1089" s="5">
        <f t="shared" si="96"/>
        <v>585.1533205479451</v>
      </c>
      <c r="S1089" s="5">
        <f t="shared" si="97"/>
        <v>45.894378082191771</v>
      </c>
      <c r="T1089" s="5">
        <f t="shared" si="98"/>
        <v>539.25894246575331</v>
      </c>
      <c r="U1089" s="15">
        <f t="shared" si="99"/>
        <v>35</v>
      </c>
      <c r="V1089" s="3">
        <f t="shared" si="100"/>
        <v>614.21975999999995</v>
      </c>
      <c r="W1089" s="3">
        <f t="shared" si="101"/>
        <v>1088</v>
      </c>
    </row>
    <row r="1090" spans="1:23" x14ac:dyDescent="0.2">
      <c r="A1090" t="s">
        <v>133</v>
      </c>
      <c r="B1090" t="s">
        <v>134</v>
      </c>
      <c r="C1090" t="s">
        <v>36</v>
      </c>
      <c r="D1090" t="s">
        <v>24</v>
      </c>
      <c r="E1090" t="s">
        <v>25</v>
      </c>
      <c r="F1090" s="7">
        <v>6056843</v>
      </c>
      <c r="G1090" t="s">
        <v>1457</v>
      </c>
      <c r="H1090" s="5">
        <v>40437</v>
      </c>
      <c r="I1090" s="12">
        <v>45836</v>
      </c>
      <c r="J1090" s="15">
        <v>30</v>
      </c>
      <c r="K1090" s="15">
        <v>3</v>
      </c>
      <c r="L1090" s="9">
        <v>0.12520000000000001</v>
      </c>
      <c r="M1090" s="9">
        <v>4.9399999999999999E-2</v>
      </c>
      <c r="N1090" s="15">
        <v>6</v>
      </c>
      <c r="O1090" t="s">
        <v>27</v>
      </c>
      <c r="P1090" t="s">
        <v>28</v>
      </c>
      <c r="Q1090" s="24">
        <v>0.2</v>
      </c>
      <c r="R1090" s="5">
        <f t="shared" ref="R1090:R1153" si="102">H1090*L1090*(J1090/365)</f>
        <v>416.11334794520548</v>
      </c>
      <c r="S1090" s="5">
        <f t="shared" ref="S1090:S1153" si="103">H1090*M1090*(N1090/365)</f>
        <v>32.837059726027391</v>
      </c>
      <c r="T1090" s="5">
        <f t="shared" ref="T1090:T1153" si="104">R1090-S1090</f>
        <v>383.27628821917807</v>
      </c>
      <c r="U1090" s="15">
        <f t="shared" ref="U1090:U1153" si="105">J1090-N1090</f>
        <v>24</v>
      </c>
      <c r="V1090" s="3">
        <f t="shared" ref="V1090:V1153" si="106">Q1090*(L1090-M1090)*H1090</f>
        <v>613.02492000000007</v>
      </c>
      <c r="W1090" s="3">
        <f t="shared" ref="W1090:W1153" si="107">RANK(V1090,$V$2:$V$1501)</f>
        <v>1089</v>
      </c>
    </row>
    <row r="1091" spans="1:23" x14ac:dyDescent="0.2">
      <c r="A1091" t="s">
        <v>596</v>
      </c>
      <c r="B1091" t="s">
        <v>439</v>
      </c>
      <c r="C1091" t="s">
        <v>77</v>
      </c>
      <c r="D1091" t="s">
        <v>24</v>
      </c>
      <c r="E1091" t="s">
        <v>56</v>
      </c>
      <c r="F1091" s="7">
        <v>9396117</v>
      </c>
      <c r="G1091" t="s">
        <v>1123</v>
      </c>
      <c r="H1091" s="5">
        <v>87308</v>
      </c>
      <c r="I1091" s="12">
        <v>46016</v>
      </c>
      <c r="J1091" s="15">
        <v>30</v>
      </c>
      <c r="K1091" s="15">
        <v>10</v>
      </c>
      <c r="L1091" s="9">
        <v>7.2400000000000006E-2</v>
      </c>
      <c r="M1091" s="9">
        <v>6.4600000000000005E-2</v>
      </c>
      <c r="N1091" s="15">
        <v>10</v>
      </c>
      <c r="O1091" t="s">
        <v>27</v>
      </c>
      <c r="P1091" t="s">
        <v>28</v>
      </c>
      <c r="Q1091" s="24">
        <v>0.9</v>
      </c>
      <c r="R1091" s="5">
        <f t="shared" si="102"/>
        <v>519.54240000000004</v>
      </c>
      <c r="S1091" s="5">
        <f t="shared" si="103"/>
        <v>154.5232</v>
      </c>
      <c r="T1091" s="5">
        <f t="shared" si="104"/>
        <v>365.01920000000007</v>
      </c>
      <c r="U1091" s="15">
        <f t="shared" si="105"/>
        <v>20</v>
      </c>
      <c r="V1091" s="3">
        <f t="shared" si="106"/>
        <v>612.90216000000009</v>
      </c>
      <c r="W1091" s="3">
        <f t="shared" si="107"/>
        <v>1090</v>
      </c>
    </row>
    <row r="1092" spans="1:23" x14ac:dyDescent="0.2">
      <c r="A1092" t="s">
        <v>438</v>
      </c>
      <c r="B1092" t="s">
        <v>439</v>
      </c>
      <c r="C1092" t="s">
        <v>41</v>
      </c>
      <c r="D1092" t="s">
        <v>48</v>
      </c>
      <c r="E1092" t="s">
        <v>25</v>
      </c>
      <c r="F1092" s="7">
        <v>2438415</v>
      </c>
      <c r="G1092" t="s">
        <v>601</v>
      </c>
      <c r="H1092" s="5">
        <v>21334</v>
      </c>
      <c r="I1092" s="12">
        <v>45728</v>
      </c>
      <c r="J1092" s="15">
        <v>60</v>
      </c>
      <c r="K1092" s="15">
        <v>3</v>
      </c>
      <c r="L1092" s="9">
        <v>0.13650000000000001</v>
      </c>
      <c r="M1092" s="9">
        <v>5.5E-2</v>
      </c>
      <c r="N1092" s="15">
        <v>8</v>
      </c>
      <c r="O1092" t="s">
        <v>27</v>
      </c>
      <c r="P1092" t="s">
        <v>28</v>
      </c>
      <c r="Q1092" s="24">
        <v>0.35</v>
      </c>
      <c r="R1092" s="5">
        <f t="shared" si="102"/>
        <v>478.69989041095891</v>
      </c>
      <c r="S1092" s="5">
        <f t="shared" si="103"/>
        <v>25.71769863013699</v>
      </c>
      <c r="T1092" s="5">
        <f t="shared" si="104"/>
        <v>452.98219178082195</v>
      </c>
      <c r="U1092" s="15">
        <f t="shared" si="105"/>
        <v>52</v>
      </c>
      <c r="V1092" s="3">
        <f t="shared" si="106"/>
        <v>608.55235000000016</v>
      </c>
      <c r="W1092" s="3">
        <f t="shared" si="107"/>
        <v>1091</v>
      </c>
    </row>
    <row r="1093" spans="1:23" x14ac:dyDescent="0.2">
      <c r="A1093" t="s">
        <v>39</v>
      </c>
      <c r="B1093" t="s">
        <v>40</v>
      </c>
      <c r="C1093" t="s">
        <v>41</v>
      </c>
      <c r="D1093" t="s">
        <v>32</v>
      </c>
      <c r="E1093" t="s">
        <v>25</v>
      </c>
      <c r="F1093" s="7">
        <v>6162123</v>
      </c>
      <c r="G1093" t="s">
        <v>665</v>
      </c>
      <c r="H1093" s="5">
        <v>17226</v>
      </c>
      <c r="I1093" s="12">
        <v>45670</v>
      </c>
      <c r="J1093" s="15">
        <v>60</v>
      </c>
      <c r="K1093" s="15">
        <v>4</v>
      </c>
      <c r="L1093" s="9">
        <v>0.1231</v>
      </c>
      <c r="M1093" s="9">
        <v>5.2600000000000001E-2</v>
      </c>
      <c r="N1093" s="15">
        <v>5</v>
      </c>
      <c r="O1093" t="s">
        <v>27</v>
      </c>
      <c r="P1093" t="s">
        <v>28</v>
      </c>
      <c r="Q1093" s="24">
        <v>0.5</v>
      </c>
      <c r="R1093" s="5">
        <f t="shared" si="102"/>
        <v>348.57872876712327</v>
      </c>
      <c r="S1093" s="5">
        <f t="shared" si="103"/>
        <v>12.412158904109589</v>
      </c>
      <c r="T1093" s="5">
        <f t="shared" si="104"/>
        <v>336.16656986301371</v>
      </c>
      <c r="U1093" s="15">
        <f t="shared" si="105"/>
        <v>55</v>
      </c>
      <c r="V1093" s="3">
        <f t="shared" si="106"/>
        <v>607.21650000000011</v>
      </c>
      <c r="W1093" s="3">
        <f t="shared" si="107"/>
        <v>1092</v>
      </c>
    </row>
    <row r="1094" spans="1:23" x14ac:dyDescent="0.2">
      <c r="A1094" t="s">
        <v>472</v>
      </c>
      <c r="B1094" t="s">
        <v>164</v>
      </c>
      <c r="C1094" t="s">
        <v>31</v>
      </c>
      <c r="D1094" t="s">
        <v>37</v>
      </c>
      <c r="E1094" t="s">
        <v>25</v>
      </c>
      <c r="F1094" s="7">
        <v>5598489</v>
      </c>
      <c r="G1094" t="s">
        <v>1763</v>
      </c>
      <c r="H1094" s="5">
        <v>14123</v>
      </c>
      <c r="I1094" s="12">
        <v>45828</v>
      </c>
      <c r="J1094" s="15">
        <v>60</v>
      </c>
      <c r="K1094" s="15">
        <v>2</v>
      </c>
      <c r="L1094" s="9">
        <v>0.1178</v>
      </c>
      <c r="M1094" s="9">
        <v>6.4199999999999993E-2</v>
      </c>
      <c r="N1094" s="15">
        <v>7</v>
      </c>
      <c r="O1094" t="s">
        <v>27</v>
      </c>
      <c r="P1094" t="s">
        <v>28</v>
      </c>
      <c r="Q1094" s="24">
        <v>0.8</v>
      </c>
      <c r="R1094" s="5">
        <f t="shared" si="102"/>
        <v>273.4831890410959</v>
      </c>
      <c r="S1094" s="5">
        <f t="shared" si="103"/>
        <v>17.388701917808216</v>
      </c>
      <c r="T1094" s="5">
        <f t="shared" si="104"/>
        <v>256.09448712328771</v>
      </c>
      <c r="U1094" s="15">
        <f t="shared" si="105"/>
        <v>53</v>
      </c>
      <c r="V1094" s="3">
        <f t="shared" si="106"/>
        <v>605.59424000000013</v>
      </c>
      <c r="W1094" s="3">
        <f t="shared" si="107"/>
        <v>1093</v>
      </c>
    </row>
    <row r="1095" spans="1:23" x14ac:dyDescent="0.2">
      <c r="A1095" t="s">
        <v>725</v>
      </c>
      <c r="B1095" t="s">
        <v>47</v>
      </c>
      <c r="C1095" t="s">
        <v>36</v>
      </c>
      <c r="D1095" t="s">
        <v>48</v>
      </c>
      <c r="E1095" t="s">
        <v>25</v>
      </c>
      <c r="F1095" s="7">
        <v>6127831</v>
      </c>
      <c r="G1095" t="s">
        <v>774</v>
      </c>
      <c r="H1095" s="5">
        <v>43862</v>
      </c>
      <c r="I1095" s="12">
        <v>45785</v>
      </c>
      <c r="J1095" s="15">
        <v>30</v>
      </c>
      <c r="K1095" s="15">
        <v>2</v>
      </c>
      <c r="L1095" s="9">
        <v>0.12529999999999999</v>
      </c>
      <c r="M1095" s="9">
        <v>5.6599999999999998E-2</v>
      </c>
      <c r="N1095" s="15">
        <v>8</v>
      </c>
      <c r="O1095" t="s">
        <v>27</v>
      </c>
      <c r="P1095" t="s">
        <v>28</v>
      </c>
      <c r="Q1095" s="24">
        <v>0.2</v>
      </c>
      <c r="R1095" s="5">
        <f t="shared" si="102"/>
        <v>451.7185150684931</v>
      </c>
      <c r="S1095" s="5">
        <f t="shared" si="103"/>
        <v>54.412913972602738</v>
      </c>
      <c r="T1095" s="5">
        <f t="shared" si="104"/>
        <v>397.30560109589038</v>
      </c>
      <c r="U1095" s="15">
        <f t="shared" si="105"/>
        <v>22</v>
      </c>
      <c r="V1095" s="3">
        <f t="shared" si="106"/>
        <v>602.66388000000006</v>
      </c>
      <c r="W1095" s="3">
        <f t="shared" si="107"/>
        <v>1094</v>
      </c>
    </row>
    <row r="1096" spans="1:23" x14ac:dyDescent="0.2">
      <c r="A1096" t="s">
        <v>43</v>
      </c>
      <c r="B1096" t="s">
        <v>44</v>
      </c>
      <c r="C1096" t="s">
        <v>23</v>
      </c>
      <c r="D1096" t="s">
        <v>24</v>
      </c>
      <c r="E1096" t="s">
        <v>25</v>
      </c>
      <c r="F1096" s="7">
        <v>2577026</v>
      </c>
      <c r="G1096" t="s">
        <v>1442</v>
      </c>
      <c r="H1096" s="5">
        <v>46668</v>
      </c>
      <c r="I1096" s="12">
        <v>45671</v>
      </c>
      <c r="J1096" s="15">
        <v>60</v>
      </c>
      <c r="K1096" s="15">
        <v>5</v>
      </c>
      <c r="L1096" s="9">
        <v>0.123</v>
      </c>
      <c r="M1096" s="9">
        <v>5.8500000000000003E-2</v>
      </c>
      <c r="N1096" s="15">
        <v>5</v>
      </c>
      <c r="O1096" t="s">
        <v>27</v>
      </c>
      <c r="P1096" t="s">
        <v>28</v>
      </c>
      <c r="Q1096" s="24">
        <v>0.2</v>
      </c>
      <c r="R1096" s="5">
        <f t="shared" si="102"/>
        <v>943.58860273972596</v>
      </c>
      <c r="S1096" s="5">
        <f t="shared" si="103"/>
        <v>37.398328767123289</v>
      </c>
      <c r="T1096" s="5">
        <f t="shared" si="104"/>
        <v>906.19027397260265</v>
      </c>
      <c r="U1096" s="15">
        <f t="shared" si="105"/>
        <v>55</v>
      </c>
      <c r="V1096" s="3">
        <f t="shared" si="106"/>
        <v>602.01720000000012</v>
      </c>
      <c r="W1096" s="3">
        <f t="shared" si="107"/>
        <v>1095</v>
      </c>
    </row>
    <row r="1097" spans="1:23" x14ac:dyDescent="0.2">
      <c r="A1097" t="s">
        <v>750</v>
      </c>
      <c r="B1097" t="s">
        <v>751</v>
      </c>
      <c r="C1097" t="s">
        <v>41</v>
      </c>
      <c r="D1097" t="s">
        <v>48</v>
      </c>
      <c r="E1097" t="s">
        <v>25</v>
      </c>
      <c r="F1097" s="7">
        <v>1709806</v>
      </c>
      <c r="G1097" t="s">
        <v>1260</v>
      </c>
      <c r="H1097" s="5">
        <v>13682</v>
      </c>
      <c r="I1097" s="12">
        <v>46038</v>
      </c>
      <c r="J1097" s="15">
        <v>90</v>
      </c>
      <c r="K1097" s="15">
        <v>10</v>
      </c>
      <c r="L1097" s="9">
        <v>0.12709999999999999</v>
      </c>
      <c r="M1097" s="9">
        <v>5.9499999999999997E-2</v>
      </c>
      <c r="N1097" s="15">
        <v>8</v>
      </c>
      <c r="O1097" t="s">
        <v>27</v>
      </c>
      <c r="P1097" t="s">
        <v>28</v>
      </c>
      <c r="Q1097" s="24">
        <v>0.65</v>
      </c>
      <c r="R1097" s="5">
        <f t="shared" si="102"/>
        <v>428.79013150684926</v>
      </c>
      <c r="S1097" s="5">
        <f t="shared" si="103"/>
        <v>17.842827397260272</v>
      </c>
      <c r="T1097" s="5">
        <f t="shared" si="104"/>
        <v>410.94730410958897</v>
      </c>
      <c r="U1097" s="15">
        <f t="shared" si="105"/>
        <v>82</v>
      </c>
      <c r="V1097" s="3">
        <f t="shared" si="106"/>
        <v>601.18708000000004</v>
      </c>
      <c r="W1097" s="3">
        <f t="shared" si="107"/>
        <v>1096</v>
      </c>
    </row>
    <row r="1098" spans="1:23" x14ac:dyDescent="0.2">
      <c r="A1098" t="s">
        <v>88</v>
      </c>
      <c r="B1098" t="s">
        <v>89</v>
      </c>
      <c r="C1098" t="s">
        <v>23</v>
      </c>
      <c r="D1098" t="s">
        <v>66</v>
      </c>
      <c r="E1098" t="s">
        <v>49</v>
      </c>
      <c r="F1098" s="7">
        <v>896464</v>
      </c>
      <c r="G1098" t="s">
        <v>1321</v>
      </c>
      <c r="H1098" s="5">
        <v>20645</v>
      </c>
      <c r="I1098" s="12">
        <v>45798</v>
      </c>
      <c r="J1098" s="15">
        <v>60</v>
      </c>
      <c r="K1098" s="15">
        <v>2</v>
      </c>
      <c r="L1098" s="9">
        <v>0.13550000000000001</v>
      </c>
      <c r="M1098" s="9">
        <v>5.2299999999999999E-2</v>
      </c>
      <c r="N1098" s="15">
        <v>7</v>
      </c>
      <c r="O1098" t="s">
        <v>27</v>
      </c>
      <c r="P1098" t="s">
        <v>28</v>
      </c>
      <c r="Q1098" s="24">
        <v>0.35</v>
      </c>
      <c r="R1098" s="5">
        <f t="shared" si="102"/>
        <v>459.84616438356164</v>
      </c>
      <c r="S1098" s="5">
        <f t="shared" si="103"/>
        <v>20.70721780821918</v>
      </c>
      <c r="T1098" s="5">
        <f t="shared" si="104"/>
        <v>439.13894657534246</v>
      </c>
      <c r="U1098" s="15">
        <f t="shared" si="105"/>
        <v>53</v>
      </c>
      <c r="V1098" s="3">
        <f t="shared" si="106"/>
        <v>601.18240000000003</v>
      </c>
      <c r="W1098" s="3">
        <f t="shared" si="107"/>
        <v>1097</v>
      </c>
    </row>
    <row r="1099" spans="1:23" x14ac:dyDescent="0.2">
      <c r="A1099" t="s">
        <v>156</v>
      </c>
      <c r="B1099" t="s">
        <v>157</v>
      </c>
      <c r="C1099" t="s">
        <v>23</v>
      </c>
      <c r="D1099" t="s">
        <v>66</v>
      </c>
      <c r="E1099" t="s">
        <v>49</v>
      </c>
      <c r="F1099" s="7">
        <v>981924</v>
      </c>
      <c r="G1099" t="s">
        <v>1380</v>
      </c>
      <c r="H1099" s="5">
        <v>14779</v>
      </c>
      <c r="I1099" s="12">
        <v>45658</v>
      </c>
      <c r="J1099" s="15">
        <v>60</v>
      </c>
      <c r="K1099" s="15">
        <v>2</v>
      </c>
      <c r="L1099" s="9">
        <v>0.17169999999999999</v>
      </c>
      <c r="M1099" s="9">
        <v>5.5899999999999998E-2</v>
      </c>
      <c r="N1099" s="15">
        <v>5</v>
      </c>
      <c r="O1099" t="s">
        <v>27</v>
      </c>
      <c r="P1099" t="s">
        <v>28</v>
      </c>
      <c r="Q1099" s="24">
        <v>0.35</v>
      </c>
      <c r="R1099" s="5">
        <f t="shared" si="102"/>
        <v>417.1322136986301</v>
      </c>
      <c r="S1099" s="5">
        <f t="shared" si="103"/>
        <v>11.317069863013698</v>
      </c>
      <c r="T1099" s="5">
        <f t="shared" si="104"/>
        <v>405.81514383561642</v>
      </c>
      <c r="U1099" s="15">
        <f t="shared" si="105"/>
        <v>55</v>
      </c>
      <c r="V1099" s="3">
        <f t="shared" si="106"/>
        <v>598.99286999999981</v>
      </c>
      <c r="W1099" s="3">
        <f t="shared" si="107"/>
        <v>1098</v>
      </c>
    </row>
    <row r="1100" spans="1:23" x14ac:dyDescent="0.2">
      <c r="A1100" t="s">
        <v>136</v>
      </c>
      <c r="B1100" t="s">
        <v>137</v>
      </c>
      <c r="C1100" t="s">
        <v>31</v>
      </c>
      <c r="D1100" t="s">
        <v>37</v>
      </c>
      <c r="E1100" t="s">
        <v>56</v>
      </c>
      <c r="F1100" s="7">
        <v>17196352</v>
      </c>
      <c r="G1100" t="s">
        <v>986</v>
      </c>
      <c r="H1100" s="5">
        <v>55963</v>
      </c>
      <c r="I1100" s="12">
        <v>45870</v>
      </c>
      <c r="J1100" s="15">
        <v>30</v>
      </c>
      <c r="K1100" s="15">
        <v>7</v>
      </c>
      <c r="L1100" s="9">
        <v>8.1500000000000003E-2</v>
      </c>
      <c r="M1100" s="9">
        <v>6.0100000000000001E-2</v>
      </c>
      <c r="N1100" s="15">
        <v>5</v>
      </c>
      <c r="O1100" t="s">
        <v>28</v>
      </c>
      <c r="P1100" t="s">
        <v>28</v>
      </c>
      <c r="Q1100" s="24">
        <v>0.5</v>
      </c>
      <c r="R1100" s="5">
        <f t="shared" si="102"/>
        <v>374.87543835616441</v>
      </c>
      <c r="S1100" s="5">
        <f t="shared" si="103"/>
        <v>46.073647945205472</v>
      </c>
      <c r="T1100" s="5">
        <f t="shared" si="104"/>
        <v>328.80179041095892</v>
      </c>
      <c r="U1100" s="15">
        <f t="shared" si="105"/>
        <v>25</v>
      </c>
      <c r="V1100" s="3">
        <f t="shared" si="106"/>
        <v>598.80410000000006</v>
      </c>
      <c r="W1100" s="3">
        <f t="shared" si="107"/>
        <v>1099</v>
      </c>
    </row>
    <row r="1101" spans="1:23" x14ac:dyDescent="0.2">
      <c r="A1101" t="s">
        <v>249</v>
      </c>
      <c r="B1101" t="s">
        <v>250</v>
      </c>
      <c r="C1101" t="s">
        <v>23</v>
      </c>
      <c r="D1101" t="s">
        <v>66</v>
      </c>
      <c r="E1101" t="s">
        <v>25</v>
      </c>
      <c r="F1101" s="7">
        <v>2803992</v>
      </c>
      <c r="G1101" t="s">
        <v>851</v>
      </c>
      <c r="H1101" s="5">
        <v>20869</v>
      </c>
      <c r="I1101" s="12">
        <v>45826</v>
      </c>
      <c r="J1101" s="15">
        <v>60</v>
      </c>
      <c r="K1101" s="15">
        <v>7</v>
      </c>
      <c r="L1101" s="9">
        <v>0.1036</v>
      </c>
      <c r="M1101" s="9">
        <v>4.6300000000000001E-2</v>
      </c>
      <c r="N1101" s="15">
        <v>8</v>
      </c>
      <c r="O1101" t="s">
        <v>28</v>
      </c>
      <c r="P1101" t="s">
        <v>28</v>
      </c>
      <c r="Q1101" s="24">
        <v>0.5</v>
      </c>
      <c r="R1101" s="5">
        <f t="shared" si="102"/>
        <v>355.40192876712331</v>
      </c>
      <c r="S1101" s="5">
        <f t="shared" si="103"/>
        <v>21.177746849315067</v>
      </c>
      <c r="T1101" s="5">
        <f t="shared" si="104"/>
        <v>334.22418191780827</v>
      </c>
      <c r="U1101" s="15">
        <f t="shared" si="105"/>
        <v>52</v>
      </c>
      <c r="V1101" s="3">
        <f t="shared" si="106"/>
        <v>597.89684999999997</v>
      </c>
      <c r="W1101" s="3">
        <f t="shared" si="107"/>
        <v>1100</v>
      </c>
    </row>
    <row r="1102" spans="1:23" x14ac:dyDescent="0.2">
      <c r="A1102" t="s">
        <v>571</v>
      </c>
      <c r="B1102" t="s">
        <v>214</v>
      </c>
      <c r="C1102" t="s">
        <v>31</v>
      </c>
      <c r="D1102" t="s">
        <v>48</v>
      </c>
      <c r="E1102" t="s">
        <v>25</v>
      </c>
      <c r="F1102" s="7">
        <v>4353599</v>
      </c>
      <c r="G1102" t="s">
        <v>961</v>
      </c>
      <c r="H1102" s="5">
        <v>93324</v>
      </c>
      <c r="I1102" s="12">
        <v>45714</v>
      </c>
      <c r="J1102" s="15">
        <v>90</v>
      </c>
      <c r="K1102" s="15">
        <v>10</v>
      </c>
      <c r="L1102" s="9">
        <v>9.5600000000000004E-2</v>
      </c>
      <c r="M1102" s="9">
        <v>6.3600000000000004E-2</v>
      </c>
      <c r="N1102" s="15">
        <v>10</v>
      </c>
      <c r="O1102" t="s">
        <v>27</v>
      </c>
      <c r="P1102" t="s">
        <v>28</v>
      </c>
      <c r="Q1102" s="24">
        <v>0.2</v>
      </c>
      <c r="R1102" s="5">
        <f t="shared" si="102"/>
        <v>2199.8895780821917</v>
      </c>
      <c r="S1102" s="5">
        <f t="shared" si="103"/>
        <v>162.61387397260276</v>
      </c>
      <c r="T1102" s="5">
        <f t="shared" si="104"/>
        <v>2037.275704109589</v>
      </c>
      <c r="U1102" s="15">
        <f t="shared" si="105"/>
        <v>80</v>
      </c>
      <c r="V1102" s="3">
        <f t="shared" si="106"/>
        <v>597.27359999999999</v>
      </c>
      <c r="W1102" s="3">
        <f t="shared" si="107"/>
        <v>1101</v>
      </c>
    </row>
    <row r="1103" spans="1:23" x14ac:dyDescent="0.2">
      <c r="A1103" t="s">
        <v>223</v>
      </c>
      <c r="B1103" t="s">
        <v>224</v>
      </c>
      <c r="C1103" t="s">
        <v>36</v>
      </c>
      <c r="D1103" t="s">
        <v>48</v>
      </c>
      <c r="E1103" t="s">
        <v>25</v>
      </c>
      <c r="F1103" s="7">
        <v>3916164</v>
      </c>
      <c r="G1103" t="s">
        <v>528</v>
      </c>
      <c r="H1103" s="5">
        <v>20450</v>
      </c>
      <c r="I1103" s="12">
        <v>45720</v>
      </c>
      <c r="J1103" s="15">
        <v>45</v>
      </c>
      <c r="K1103" s="15">
        <v>10</v>
      </c>
      <c r="L1103" s="9">
        <v>0.1119</v>
      </c>
      <c r="M1103" s="9">
        <v>5.3900000000000003E-2</v>
      </c>
      <c r="N1103" s="15">
        <v>6</v>
      </c>
      <c r="O1103" t="s">
        <v>28</v>
      </c>
      <c r="P1103" t="s">
        <v>28</v>
      </c>
      <c r="Q1103" s="24">
        <v>0.5</v>
      </c>
      <c r="R1103" s="5">
        <f t="shared" si="102"/>
        <v>282.12595890410955</v>
      </c>
      <c r="S1103" s="5">
        <f t="shared" si="103"/>
        <v>18.119260273972603</v>
      </c>
      <c r="T1103" s="5">
        <f t="shared" si="104"/>
        <v>264.00669863013695</v>
      </c>
      <c r="U1103" s="15">
        <f t="shared" si="105"/>
        <v>39</v>
      </c>
      <c r="V1103" s="3">
        <f t="shared" si="106"/>
        <v>593.04999999999995</v>
      </c>
      <c r="W1103" s="3">
        <f t="shared" si="107"/>
        <v>1102</v>
      </c>
    </row>
    <row r="1104" spans="1:23" x14ac:dyDescent="0.2">
      <c r="A1104" t="s">
        <v>142</v>
      </c>
      <c r="B1104" t="s">
        <v>143</v>
      </c>
      <c r="C1104" t="s">
        <v>36</v>
      </c>
      <c r="D1104" t="s">
        <v>66</v>
      </c>
      <c r="E1104" t="s">
        <v>49</v>
      </c>
      <c r="F1104" s="7">
        <v>735440</v>
      </c>
      <c r="G1104" t="s">
        <v>144</v>
      </c>
      <c r="H1104" s="5">
        <v>13007</v>
      </c>
      <c r="I1104" s="12">
        <v>46040</v>
      </c>
      <c r="J1104" s="15">
        <v>45</v>
      </c>
      <c r="K1104" s="15">
        <v>3</v>
      </c>
      <c r="L1104" s="9">
        <v>0.13020000000000001</v>
      </c>
      <c r="M1104" s="9">
        <v>6.0299999999999999E-2</v>
      </c>
      <c r="N1104" s="15">
        <v>7</v>
      </c>
      <c r="O1104" t="s">
        <v>27</v>
      </c>
      <c r="P1104" t="s">
        <v>28</v>
      </c>
      <c r="Q1104" s="24">
        <v>0.65</v>
      </c>
      <c r="R1104" s="5">
        <f t="shared" si="102"/>
        <v>208.78907671232878</v>
      </c>
      <c r="S1104" s="5">
        <f t="shared" si="103"/>
        <v>15.041793698630137</v>
      </c>
      <c r="T1104" s="5">
        <f t="shared" si="104"/>
        <v>193.74728301369865</v>
      </c>
      <c r="U1104" s="15">
        <f t="shared" si="105"/>
        <v>38</v>
      </c>
      <c r="V1104" s="3">
        <f t="shared" si="106"/>
        <v>590.97304500000018</v>
      </c>
      <c r="W1104" s="3">
        <f t="shared" si="107"/>
        <v>1103</v>
      </c>
    </row>
    <row r="1105" spans="1:23" x14ac:dyDescent="0.2">
      <c r="A1105" t="s">
        <v>311</v>
      </c>
      <c r="B1105" t="s">
        <v>312</v>
      </c>
      <c r="C1105" t="s">
        <v>23</v>
      </c>
      <c r="D1105" t="s">
        <v>32</v>
      </c>
      <c r="E1105" t="s">
        <v>25</v>
      </c>
      <c r="F1105" s="7">
        <v>3726894</v>
      </c>
      <c r="G1105" t="s">
        <v>801</v>
      </c>
      <c r="H1105" s="5">
        <v>41716</v>
      </c>
      <c r="I1105" s="12">
        <v>45934</v>
      </c>
      <c r="J1105" s="15">
        <v>60</v>
      </c>
      <c r="K1105" s="15">
        <v>7</v>
      </c>
      <c r="L1105" s="9">
        <v>9.1899999999999996E-2</v>
      </c>
      <c r="M1105" s="9">
        <v>6.3600000000000004E-2</v>
      </c>
      <c r="N1105" s="15">
        <v>8</v>
      </c>
      <c r="O1105" t="s">
        <v>28</v>
      </c>
      <c r="P1105" t="s">
        <v>28</v>
      </c>
      <c r="Q1105" s="24">
        <v>0.5</v>
      </c>
      <c r="R1105" s="5">
        <f t="shared" si="102"/>
        <v>630.19732602739714</v>
      </c>
      <c r="S1105" s="5">
        <f t="shared" si="103"/>
        <v>58.150961095890409</v>
      </c>
      <c r="T1105" s="5">
        <f t="shared" si="104"/>
        <v>572.04636493150679</v>
      </c>
      <c r="U1105" s="15">
        <f t="shared" si="105"/>
        <v>52</v>
      </c>
      <c r="V1105" s="3">
        <f t="shared" si="106"/>
        <v>590.28139999999985</v>
      </c>
      <c r="W1105" s="3">
        <f t="shared" si="107"/>
        <v>1104</v>
      </c>
    </row>
    <row r="1106" spans="1:23" x14ac:dyDescent="0.2">
      <c r="A1106" t="s">
        <v>174</v>
      </c>
      <c r="B1106" t="s">
        <v>175</v>
      </c>
      <c r="C1106" t="s">
        <v>41</v>
      </c>
      <c r="D1106" t="s">
        <v>37</v>
      </c>
      <c r="E1106" t="s">
        <v>49</v>
      </c>
      <c r="F1106" s="7">
        <v>1267987</v>
      </c>
      <c r="G1106" t="s">
        <v>970</v>
      </c>
      <c r="H1106" s="5">
        <v>14815</v>
      </c>
      <c r="I1106" s="12">
        <v>45868</v>
      </c>
      <c r="J1106" s="15">
        <v>45</v>
      </c>
      <c r="K1106" s="15">
        <v>2</v>
      </c>
      <c r="L1106" s="9">
        <v>0.125</v>
      </c>
      <c r="M1106" s="9">
        <v>4.5400000000000003E-2</v>
      </c>
      <c r="N1106" s="15">
        <v>6</v>
      </c>
      <c r="O1106" t="s">
        <v>27</v>
      </c>
      <c r="P1106" t="s">
        <v>28</v>
      </c>
      <c r="Q1106" s="24">
        <v>0.5</v>
      </c>
      <c r="R1106" s="5">
        <f t="shared" si="102"/>
        <v>228.31335616438355</v>
      </c>
      <c r="S1106" s="5">
        <f t="shared" si="103"/>
        <v>11.056454794520548</v>
      </c>
      <c r="T1106" s="5">
        <f t="shared" si="104"/>
        <v>217.25690136986299</v>
      </c>
      <c r="U1106" s="15">
        <f t="shared" si="105"/>
        <v>39</v>
      </c>
      <c r="V1106" s="3">
        <f t="shared" si="106"/>
        <v>589.63700000000006</v>
      </c>
      <c r="W1106" s="3">
        <f t="shared" si="107"/>
        <v>1105</v>
      </c>
    </row>
    <row r="1107" spans="1:23" x14ac:dyDescent="0.2">
      <c r="A1107" t="s">
        <v>325</v>
      </c>
      <c r="B1107" t="s">
        <v>326</v>
      </c>
      <c r="C1107" t="s">
        <v>36</v>
      </c>
      <c r="D1107" t="s">
        <v>48</v>
      </c>
      <c r="E1107" t="s">
        <v>49</v>
      </c>
      <c r="F1107" s="7">
        <v>467236</v>
      </c>
      <c r="G1107" t="s">
        <v>1541</v>
      </c>
      <c r="H1107" s="5">
        <v>14954</v>
      </c>
      <c r="I1107" s="12">
        <v>45805</v>
      </c>
      <c r="J1107" s="15">
        <v>45</v>
      </c>
      <c r="K1107" s="15">
        <v>4</v>
      </c>
      <c r="L1107" s="9">
        <v>0.1757</v>
      </c>
      <c r="M1107" s="9">
        <v>6.3399999999999998E-2</v>
      </c>
      <c r="N1107" s="15">
        <v>7</v>
      </c>
      <c r="O1107" t="s">
        <v>27</v>
      </c>
      <c r="P1107" t="s">
        <v>28</v>
      </c>
      <c r="Q1107" s="24">
        <v>0.35</v>
      </c>
      <c r="R1107" s="5">
        <f t="shared" si="102"/>
        <v>323.92822191780817</v>
      </c>
      <c r="S1107" s="5">
        <f t="shared" si="103"/>
        <v>18.182425205479451</v>
      </c>
      <c r="T1107" s="5">
        <f t="shared" si="104"/>
        <v>305.74579671232874</v>
      </c>
      <c r="U1107" s="15">
        <f t="shared" si="105"/>
        <v>38</v>
      </c>
      <c r="V1107" s="3">
        <f t="shared" si="106"/>
        <v>587.76697000000001</v>
      </c>
      <c r="W1107" s="3">
        <f t="shared" si="107"/>
        <v>1106</v>
      </c>
    </row>
    <row r="1108" spans="1:23" x14ac:dyDescent="0.2">
      <c r="A1108" t="s">
        <v>64</v>
      </c>
      <c r="B1108" t="s">
        <v>65</v>
      </c>
      <c r="C1108" t="s">
        <v>36</v>
      </c>
      <c r="D1108" t="s">
        <v>66</v>
      </c>
      <c r="E1108" t="s">
        <v>56</v>
      </c>
      <c r="F1108" s="7">
        <v>19529913</v>
      </c>
      <c r="G1108" t="s">
        <v>1335</v>
      </c>
      <c r="H1108" s="5">
        <v>18672</v>
      </c>
      <c r="I1108" s="12">
        <v>46050</v>
      </c>
      <c r="J1108" s="15">
        <v>60</v>
      </c>
      <c r="K1108" s="15">
        <v>5</v>
      </c>
      <c r="L1108" s="9">
        <v>8.7499999999999994E-2</v>
      </c>
      <c r="M1108" s="9">
        <v>4.8399999999999999E-2</v>
      </c>
      <c r="N1108" s="15">
        <v>5</v>
      </c>
      <c r="O1108" t="s">
        <v>27</v>
      </c>
      <c r="P1108" t="s">
        <v>28</v>
      </c>
      <c r="Q1108" s="24">
        <v>0.8</v>
      </c>
      <c r="R1108" s="5">
        <f t="shared" si="102"/>
        <v>268.56986301369858</v>
      </c>
      <c r="S1108" s="5">
        <f t="shared" si="103"/>
        <v>12.379791780821916</v>
      </c>
      <c r="T1108" s="5">
        <f t="shared" si="104"/>
        <v>256.19007123287668</v>
      </c>
      <c r="U1108" s="15">
        <f t="shared" si="105"/>
        <v>55</v>
      </c>
      <c r="V1108" s="3">
        <f t="shared" si="106"/>
        <v>584.06015999999988</v>
      </c>
      <c r="W1108" s="3">
        <f t="shared" si="107"/>
        <v>1107</v>
      </c>
    </row>
    <row r="1109" spans="1:23" x14ac:dyDescent="0.2">
      <c r="A1109" t="s">
        <v>491</v>
      </c>
      <c r="B1109" t="s">
        <v>131</v>
      </c>
      <c r="C1109" t="s">
        <v>31</v>
      </c>
      <c r="D1109" t="s">
        <v>32</v>
      </c>
      <c r="E1109" t="s">
        <v>56</v>
      </c>
      <c r="F1109" s="7">
        <v>21735545</v>
      </c>
      <c r="G1109" t="s">
        <v>944</v>
      </c>
      <c r="H1109" s="5">
        <v>77210</v>
      </c>
      <c r="I1109" s="12">
        <v>45786</v>
      </c>
      <c r="J1109" s="15">
        <v>45</v>
      </c>
      <c r="K1109" s="15">
        <v>10</v>
      </c>
      <c r="L1109" s="9">
        <v>7.4999999999999997E-2</v>
      </c>
      <c r="M1109" s="9">
        <v>6.3500000000000001E-2</v>
      </c>
      <c r="N1109" s="15">
        <v>5</v>
      </c>
      <c r="O1109" t="s">
        <v>27</v>
      </c>
      <c r="P1109" t="s">
        <v>28</v>
      </c>
      <c r="Q1109" s="24">
        <v>0.65</v>
      </c>
      <c r="R1109" s="5">
        <f t="shared" si="102"/>
        <v>713.92808219178073</v>
      </c>
      <c r="S1109" s="5">
        <f t="shared" si="103"/>
        <v>67.162123287671236</v>
      </c>
      <c r="T1109" s="5">
        <f t="shared" si="104"/>
        <v>646.76595890410954</v>
      </c>
      <c r="U1109" s="15">
        <f t="shared" si="105"/>
        <v>40</v>
      </c>
      <c r="V1109" s="3">
        <f t="shared" si="106"/>
        <v>577.14474999999982</v>
      </c>
      <c r="W1109" s="3">
        <f t="shared" si="107"/>
        <v>1108</v>
      </c>
    </row>
    <row r="1110" spans="1:23" x14ac:dyDescent="0.2">
      <c r="A1110" t="s">
        <v>596</v>
      </c>
      <c r="B1110" t="s">
        <v>439</v>
      </c>
      <c r="C1110" t="s">
        <v>77</v>
      </c>
      <c r="D1110" t="s">
        <v>24</v>
      </c>
      <c r="E1110" t="s">
        <v>56</v>
      </c>
      <c r="F1110" s="7">
        <v>9396117</v>
      </c>
      <c r="G1110" t="s">
        <v>1021</v>
      </c>
      <c r="H1110" s="5">
        <v>62283</v>
      </c>
      <c r="I1110" s="12">
        <v>46019</v>
      </c>
      <c r="J1110" s="15">
        <v>60</v>
      </c>
      <c r="K1110" s="15">
        <v>5</v>
      </c>
      <c r="L1110" s="9">
        <v>7.2400000000000006E-2</v>
      </c>
      <c r="M1110" s="9">
        <v>5.3900000000000003E-2</v>
      </c>
      <c r="N1110" s="15">
        <v>5</v>
      </c>
      <c r="O1110" t="s">
        <v>28</v>
      </c>
      <c r="P1110" t="s">
        <v>28</v>
      </c>
      <c r="Q1110" s="24">
        <v>0.5</v>
      </c>
      <c r="R1110" s="5">
        <f t="shared" si="102"/>
        <v>741.25301917808213</v>
      </c>
      <c r="S1110" s="5">
        <f t="shared" si="103"/>
        <v>45.987036986301369</v>
      </c>
      <c r="T1110" s="5">
        <f t="shared" si="104"/>
        <v>695.26598219178072</v>
      </c>
      <c r="U1110" s="15">
        <f t="shared" si="105"/>
        <v>55</v>
      </c>
      <c r="V1110" s="3">
        <f t="shared" si="106"/>
        <v>576.11775000000011</v>
      </c>
      <c r="W1110" s="3">
        <f t="shared" si="107"/>
        <v>1109</v>
      </c>
    </row>
    <row r="1111" spans="1:23" x14ac:dyDescent="0.2">
      <c r="A1111" t="s">
        <v>427</v>
      </c>
      <c r="B1111" t="s">
        <v>352</v>
      </c>
      <c r="C1111" t="s">
        <v>77</v>
      </c>
      <c r="D1111" t="s">
        <v>48</v>
      </c>
      <c r="E1111" t="s">
        <v>25</v>
      </c>
      <c r="F1111" s="7">
        <v>3836607</v>
      </c>
      <c r="G1111" t="s">
        <v>1070</v>
      </c>
      <c r="H1111" s="5">
        <v>58439</v>
      </c>
      <c r="I1111" s="12">
        <v>45787</v>
      </c>
      <c r="J1111" s="15">
        <v>90</v>
      </c>
      <c r="K1111" s="15">
        <v>10</v>
      </c>
      <c r="L1111" s="9">
        <v>0.11310000000000001</v>
      </c>
      <c r="M1111" s="9">
        <v>6.4299999999999996E-2</v>
      </c>
      <c r="N1111" s="15">
        <v>10</v>
      </c>
      <c r="O1111" t="s">
        <v>27</v>
      </c>
      <c r="P1111" t="s">
        <v>28</v>
      </c>
      <c r="Q1111" s="24">
        <v>0.2</v>
      </c>
      <c r="R1111" s="5">
        <f t="shared" si="102"/>
        <v>1629.7276191780823</v>
      </c>
      <c r="S1111" s="5">
        <f t="shared" si="103"/>
        <v>102.94870410958902</v>
      </c>
      <c r="T1111" s="5">
        <f t="shared" si="104"/>
        <v>1526.7789150684932</v>
      </c>
      <c r="U1111" s="15">
        <f t="shared" si="105"/>
        <v>80</v>
      </c>
      <c r="V1111" s="3">
        <f t="shared" si="106"/>
        <v>570.36464000000012</v>
      </c>
      <c r="W1111" s="3">
        <f t="shared" si="107"/>
        <v>1110</v>
      </c>
    </row>
    <row r="1112" spans="1:23" x14ac:dyDescent="0.2">
      <c r="A1112" t="s">
        <v>160</v>
      </c>
      <c r="B1112" t="s">
        <v>161</v>
      </c>
      <c r="C1112" t="s">
        <v>23</v>
      </c>
      <c r="D1112" t="s">
        <v>66</v>
      </c>
      <c r="E1112" t="s">
        <v>56</v>
      </c>
      <c r="F1112" s="7">
        <v>8479307</v>
      </c>
      <c r="G1112" t="s">
        <v>976</v>
      </c>
      <c r="H1112" s="5">
        <v>60878</v>
      </c>
      <c r="I1112" s="12">
        <v>46051</v>
      </c>
      <c r="J1112" s="15">
        <v>60</v>
      </c>
      <c r="K1112" s="15">
        <v>3</v>
      </c>
      <c r="L1112" s="9">
        <v>7.0099999999999996E-2</v>
      </c>
      <c r="M1112" s="9">
        <v>5.57E-2</v>
      </c>
      <c r="N1112" s="15">
        <v>5</v>
      </c>
      <c r="O1112" t="s">
        <v>27</v>
      </c>
      <c r="P1112" t="s">
        <v>28</v>
      </c>
      <c r="Q1112" s="24">
        <v>0.65</v>
      </c>
      <c r="R1112" s="5">
        <f t="shared" si="102"/>
        <v>701.51470684931496</v>
      </c>
      <c r="S1112" s="5">
        <f t="shared" si="103"/>
        <v>46.450747945205478</v>
      </c>
      <c r="T1112" s="5">
        <f t="shared" si="104"/>
        <v>655.06395890410954</v>
      </c>
      <c r="U1112" s="15">
        <f t="shared" si="105"/>
        <v>55</v>
      </c>
      <c r="V1112" s="3">
        <f t="shared" si="106"/>
        <v>569.8180799999999</v>
      </c>
      <c r="W1112" s="3">
        <f t="shared" si="107"/>
        <v>1111</v>
      </c>
    </row>
    <row r="1113" spans="1:23" x14ac:dyDescent="0.2">
      <c r="A1113" t="s">
        <v>1057</v>
      </c>
      <c r="B1113" t="s">
        <v>1058</v>
      </c>
      <c r="C1113" t="s">
        <v>23</v>
      </c>
      <c r="D1113" t="s">
        <v>37</v>
      </c>
      <c r="E1113" t="s">
        <v>56</v>
      </c>
      <c r="F1113" s="7">
        <v>13389097</v>
      </c>
      <c r="G1113" t="s">
        <v>1297</v>
      </c>
      <c r="H1113" s="5">
        <v>107341</v>
      </c>
      <c r="I1113" s="12">
        <v>45874</v>
      </c>
      <c r="J1113" s="15">
        <v>60</v>
      </c>
      <c r="K1113" s="15">
        <v>10</v>
      </c>
      <c r="L1113" s="9">
        <v>7.3800000000000004E-2</v>
      </c>
      <c r="M1113" s="9">
        <v>6.3200000000000006E-2</v>
      </c>
      <c r="N1113" s="15">
        <v>6</v>
      </c>
      <c r="O1113" t="s">
        <v>27</v>
      </c>
      <c r="P1113" t="s">
        <v>28</v>
      </c>
      <c r="Q1113" s="24">
        <v>0.5</v>
      </c>
      <c r="R1113" s="5">
        <f t="shared" si="102"/>
        <v>1302.2080767123286</v>
      </c>
      <c r="S1113" s="5">
        <f t="shared" si="103"/>
        <v>111.51700602739726</v>
      </c>
      <c r="T1113" s="5">
        <f t="shared" si="104"/>
        <v>1190.6910706849314</v>
      </c>
      <c r="U1113" s="15">
        <f t="shared" si="105"/>
        <v>54</v>
      </c>
      <c r="V1113" s="3">
        <f t="shared" si="106"/>
        <v>568.90729999999996</v>
      </c>
      <c r="W1113" s="3">
        <f t="shared" si="107"/>
        <v>1112</v>
      </c>
    </row>
    <row r="1114" spans="1:23" x14ac:dyDescent="0.2">
      <c r="A1114" t="s">
        <v>54</v>
      </c>
      <c r="B1114" t="s">
        <v>55</v>
      </c>
      <c r="C1114" t="s">
        <v>31</v>
      </c>
      <c r="D1114" t="s">
        <v>24</v>
      </c>
      <c r="E1114" t="s">
        <v>56</v>
      </c>
      <c r="F1114" s="7">
        <v>15261617</v>
      </c>
      <c r="G1114" t="s">
        <v>1580</v>
      </c>
      <c r="H1114" s="5">
        <v>18741</v>
      </c>
      <c r="I1114" s="12">
        <v>45808</v>
      </c>
      <c r="J1114" s="15">
        <v>60</v>
      </c>
      <c r="K1114" s="15">
        <v>10</v>
      </c>
      <c r="L1114" s="9">
        <v>9.3200000000000005E-2</v>
      </c>
      <c r="M1114" s="9">
        <v>5.5500000000000001E-2</v>
      </c>
      <c r="N1114" s="15">
        <v>8</v>
      </c>
      <c r="O1114" t="s">
        <v>27</v>
      </c>
      <c r="P1114" t="s">
        <v>28</v>
      </c>
      <c r="Q1114" s="24">
        <v>0.8</v>
      </c>
      <c r="R1114" s="5">
        <f t="shared" si="102"/>
        <v>287.12238904109586</v>
      </c>
      <c r="S1114" s="5">
        <f t="shared" si="103"/>
        <v>22.797271232876714</v>
      </c>
      <c r="T1114" s="5">
        <f t="shared" si="104"/>
        <v>264.32511780821915</v>
      </c>
      <c r="U1114" s="15">
        <f t="shared" si="105"/>
        <v>52</v>
      </c>
      <c r="V1114" s="3">
        <f t="shared" si="106"/>
        <v>565.22856000000013</v>
      </c>
      <c r="W1114" s="3">
        <f t="shared" si="107"/>
        <v>1113</v>
      </c>
    </row>
    <row r="1115" spans="1:23" x14ac:dyDescent="0.2">
      <c r="A1115" t="s">
        <v>371</v>
      </c>
      <c r="B1115" t="s">
        <v>372</v>
      </c>
      <c r="C1115" t="s">
        <v>41</v>
      </c>
      <c r="D1115" t="s">
        <v>48</v>
      </c>
      <c r="E1115" t="s">
        <v>49</v>
      </c>
      <c r="F1115" s="7">
        <v>1208247</v>
      </c>
      <c r="G1115" t="s">
        <v>373</v>
      </c>
      <c r="H1115" s="5">
        <v>17183</v>
      </c>
      <c r="I1115" s="12">
        <v>45764</v>
      </c>
      <c r="J1115" s="15">
        <v>90</v>
      </c>
      <c r="K1115" s="15">
        <v>3</v>
      </c>
      <c r="L1115" s="9">
        <v>0.1111</v>
      </c>
      <c r="M1115" s="9">
        <v>6.1100000000000002E-2</v>
      </c>
      <c r="N1115" s="15">
        <v>10</v>
      </c>
      <c r="O1115" t="s">
        <v>27</v>
      </c>
      <c r="P1115" t="s">
        <v>28</v>
      </c>
      <c r="Q1115" s="24">
        <v>0.65</v>
      </c>
      <c r="R1115" s="5">
        <f t="shared" si="102"/>
        <v>470.72004657534245</v>
      </c>
      <c r="S1115" s="5">
        <f t="shared" si="103"/>
        <v>28.76387123287671</v>
      </c>
      <c r="T1115" s="5">
        <f t="shared" si="104"/>
        <v>441.95617534246571</v>
      </c>
      <c r="U1115" s="15">
        <f t="shared" si="105"/>
        <v>80</v>
      </c>
      <c r="V1115" s="3">
        <f t="shared" si="106"/>
        <v>558.44749999999999</v>
      </c>
      <c r="W1115" s="3">
        <f t="shared" si="107"/>
        <v>1114</v>
      </c>
    </row>
    <row r="1116" spans="1:23" x14ac:dyDescent="0.2">
      <c r="A1116" t="s">
        <v>293</v>
      </c>
      <c r="B1116" t="s">
        <v>231</v>
      </c>
      <c r="C1116" t="s">
        <v>36</v>
      </c>
      <c r="D1116" t="s">
        <v>32</v>
      </c>
      <c r="E1116" t="s">
        <v>25</v>
      </c>
      <c r="F1116" s="7">
        <v>3723173</v>
      </c>
      <c r="G1116" t="s">
        <v>418</v>
      </c>
      <c r="H1116" s="5">
        <v>47180</v>
      </c>
      <c r="I1116" s="12">
        <v>45842</v>
      </c>
      <c r="J1116" s="15">
        <v>60</v>
      </c>
      <c r="K1116" s="15">
        <v>2</v>
      </c>
      <c r="L1116" s="9">
        <v>0.1069</v>
      </c>
      <c r="M1116" s="9">
        <v>4.8300000000000003E-2</v>
      </c>
      <c r="N1116" s="15">
        <v>7</v>
      </c>
      <c r="O1116" t="s">
        <v>27</v>
      </c>
      <c r="P1116" t="s">
        <v>28</v>
      </c>
      <c r="Q1116" s="24">
        <v>0.2</v>
      </c>
      <c r="R1116" s="5">
        <f t="shared" si="102"/>
        <v>829.0753972602738</v>
      </c>
      <c r="S1116" s="5">
        <f t="shared" si="103"/>
        <v>43.702898630136993</v>
      </c>
      <c r="T1116" s="5">
        <f t="shared" si="104"/>
        <v>785.37249863013676</v>
      </c>
      <c r="U1116" s="15">
        <f t="shared" si="105"/>
        <v>53</v>
      </c>
      <c r="V1116" s="3">
        <f t="shared" si="106"/>
        <v>552.94960000000003</v>
      </c>
      <c r="W1116" s="3">
        <f t="shared" si="107"/>
        <v>1115</v>
      </c>
    </row>
    <row r="1117" spans="1:23" x14ac:dyDescent="0.2">
      <c r="A1117" t="s">
        <v>179</v>
      </c>
      <c r="B1117" t="s">
        <v>180</v>
      </c>
      <c r="C1117" t="s">
        <v>36</v>
      </c>
      <c r="D1117" t="s">
        <v>48</v>
      </c>
      <c r="E1117" t="s">
        <v>25</v>
      </c>
      <c r="F1117" s="7">
        <v>6074867</v>
      </c>
      <c r="G1117" t="s">
        <v>1150</v>
      </c>
      <c r="H1117" s="5">
        <v>56558</v>
      </c>
      <c r="I1117" s="12">
        <v>45708</v>
      </c>
      <c r="J1117" s="15">
        <v>60</v>
      </c>
      <c r="K1117" s="15">
        <v>5</v>
      </c>
      <c r="L1117" s="9">
        <v>9.4299999999999995E-2</v>
      </c>
      <c r="M1117" s="9">
        <v>4.5499999999999999E-2</v>
      </c>
      <c r="N1117" s="15">
        <v>10</v>
      </c>
      <c r="O1117" t="s">
        <v>27</v>
      </c>
      <c r="P1117" t="s">
        <v>28</v>
      </c>
      <c r="Q1117" s="24">
        <v>0.2</v>
      </c>
      <c r="R1117" s="5">
        <f t="shared" si="102"/>
        <v>876.72647671232869</v>
      </c>
      <c r="S1117" s="5">
        <f t="shared" si="103"/>
        <v>70.503808219178083</v>
      </c>
      <c r="T1117" s="5">
        <f t="shared" si="104"/>
        <v>806.22266849315065</v>
      </c>
      <c r="U1117" s="15">
        <f t="shared" si="105"/>
        <v>50</v>
      </c>
      <c r="V1117" s="3">
        <f t="shared" si="106"/>
        <v>552.00608</v>
      </c>
      <c r="W1117" s="3">
        <f t="shared" si="107"/>
        <v>1116</v>
      </c>
    </row>
    <row r="1118" spans="1:23" x14ac:dyDescent="0.2">
      <c r="A1118" t="s">
        <v>252</v>
      </c>
      <c r="B1118" t="s">
        <v>89</v>
      </c>
      <c r="C1118" t="s">
        <v>31</v>
      </c>
      <c r="D1118" t="s">
        <v>24</v>
      </c>
      <c r="E1118" t="s">
        <v>49</v>
      </c>
      <c r="F1118" s="7">
        <v>971327</v>
      </c>
      <c r="G1118" t="s">
        <v>1547</v>
      </c>
      <c r="H1118" s="5">
        <v>16666</v>
      </c>
      <c r="I1118" s="12">
        <v>45668</v>
      </c>
      <c r="J1118" s="15">
        <v>60</v>
      </c>
      <c r="K1118" s="15">
        <v>3</v>
      </c>
      <c r="L1118" s="9">
        <v>0.15229999999999999</v>
      </c>
      <c r="M1118" s="9">
        <v>5.8000000000000003E-2</v>
      </c>
      <c r="N1118" s="15">
        <v>8</v>
      </c>
      <c r="O1118" t="s">
        <v>27</v>
      </c>
      <c r="P1118" t="s">
        <v>28</v>
      </c>
      <c r="Q1118" s="24">
        <v>0.35</v>
      </c>
      <c r="R1118" s="5">
        <f t="shared" si="102"/>
        <v>417.24358356164379</v>
      </c>
      <c r="S1118" s="5">
        <f t="shared" si="103"/>
        <v>21.186367123287674</v>
      </c>
      <c r="T1118" s="5">
        <f t="shared" si="104"/>
        <v>396.05721643835614</v>
      </c>
      <c r="U1118" s="15">
        <f t="shared" si="105"/>
        <v>52</v>
      </c>
      <c r="V1118" s="3">
        <f t="shared" si="106"/>
        <v>550.06132999999988</v>
      </c>
      <c r="W1118" s="3">
        <f t="shared" si="107"/>
        <v>1117</v>
      </c>
    </row>
    <row r="1119" spans="1:23" x14ac:dyDescent="0.2">
      <c r="A1119" t="s">
        <v>396</v>
      </c>
      <c r="B1119" t="s">
        <v>397</v>
      </c>
      <c r="C1119" t="s">
        <v>77</v>
      </c>
      <c r="D1119" t="s">
        <v>66</v>
      </c>
      <c r="E1119" t="s">
        <v>49</v>
      </c>
      <c r="F1119" s="7">
        <v>1043844</v>
      </c>
      <c r="G1119" t="s">
        <v>1651</v>
      </c>
      <c r="H1119" s="5">
        <v>52683</v>
      </c>
      <c r="I1119" s="12">
        <v>45989</v>
      </c>
      <c r="J1119" s="15">
        <v>60</v>
      </c>
      <c r="K1119" s="15">
        <v>4</v>
      </c>
      <c r="L1119" s="9">
        <v>0.11550000000000001</v>
      </c>
      <c r="M1119" s="9">
        <v>6.3299999999999995E-2</v>
      </c>
      <c r="N1119" s="15">
        <v>10</v>
      </c>
      <c r="O1119" t="s">
        <v>27</v>
      </c>
      <c r="P1119" t="s">
        <v>28</v>
      </c>
      <c r="Q1119" s="24">
        <v>0.2</v>
      </c>
      <c r="R1119" s="5">
        <f t="shared" si="102"/>
        <v>1000.2553150684931</v>
      </c>
      <c r="S1119" s="5">
        <f t="shared" si="103"/>
        <v>91.365312328767104</v>
      </c>
      <c r="T1119" s="5">
        <f t="shared" si="104"/>
        <v>908.89000273972601</v>
      </c>
      <c r="U1119" s="15">
        <f t="shared" si="105"/>
        <v>50</v>
      </c>
      <c r="V1119" s="3">
        <f t="shared" si="106"/>
        <v>550.01052000000016</v>
      </c>
      <c r="W1119" s="3">
        <f t="shared" si="107"/>
        <v>1118</v>
      </c>
    </row>
    <row r="1120" spans="1:23" x14ac:dyDescent="0.2">
      <c r="A1120" t="s">
        <v>319</v>
      </c>
      <c r="B1120" t="s">
        <v>320</v>
      </c>
      <c r="C1120" t="s">
        <v>41</v>
      </c>
      <c r="D1120" t="s">
        <v>37</v>
      </c>
      <c r="E1120" t="s">
        <v>56</v>
      </c>
      <c r="F1120" s="7">
        <v>23937545</v>
      </c>
      <c r="G1120" t="s">
        <v>921</v>
      </c>
      <c r="H1120" s="5">
        <v>68525</v>
      </c>
      <c r="I1120" s="12">
        <v>45694</v>
      </c>
      <c r="J1120" s="15">
        <v>45</v>
      </c>
      <c r="K1120" s="15">
        <v>10</v>
      </c>
      <c r="L1120" s="9">
        <v>8.7099999999999997E-2</v>
      </c>
      <c r="M1120" s="9">
        <v>4.7100000000000003E-2</v>
      </c>
      <c r="N1120" s="15">
        <v>8</v>
      </c>
      <c r="O1120" t="s">
        <v>27</v>
      </c>
      <c r="P1120" t="s">
        <v>28</v>
      </c>
      <c r="Q1120" s="24">
        <v>0.2</v>
      </c>
      <c r="R1120" s="5">
        <f t="shared" si="102"/>
        <v>735.84585616438358</v>
      </c>
      <c r="S1120" s="5">
        <f t="shared" si="103"/>
        <v>70.740328767123287</v>
      </c>
      <c r="T1120" s="5">
        <f t="shared" si="104"/>
        <v>665.10552739726029</v>
      </c>
      <c r="U1120" s="15">
        <f t="shared" si="105"/>
        <v>37</v>
      </c>
      <c r="V1120" s="3">
        <f t="shared" si="106"/>
        <v>548.19999999999993</v>
      </c>
      <c r="W1120" s="3">
        <f t="shared" si="107"/>
        <v>1119</v>
      </c>
    </row>
    <row r="1121" spans="1:23" x14ac:dyDescent="0.2">
      <c r="A1121" t="s">
        <v>411</v>
      </c>
      <c r="B1121" t="s">
        <v>412</v>
      </c>
      <c r="C1121" t="s">
        <v>31</v>
      </c>
      <c r="D1121" t="s">
        <v>66</v>
      </c>
      <c r="E1121" t="s">
        <v>25</v>
      </c>
      <c r="F1121" s="7">
        <v>2416616</v>
      </c>
      <c r="G1121" t="s">
        <v>413</v>
      </c>
      <c r="H1121" s="5">
        <v>23442</v>
      </c>
      <c r="I1121" s="12">
        <v>45941</v>
      </c>
      <c r="J1121" s="15">
        <v>45</v>
      </c>
      <c r="K1121" s="15">
        <v>5</v>
      </c>
      <c r="L1121" s="9">
        <v>0.1024</v>
      </c>
      <c r="M1121" s="9">
        <v>5.6099999999999997E-2</v>
      </c>
      <c r="N1121" s="15">
        <v>10</v>
      </c>
      <c r="O1121" t="s">
        <v>27</v>
      </c>
      <c r="P1121" t="s">
        <v>28</v>
      </c>
      <c r="Q1121" s="24">
        <v>0.5</v>
      </c>
      <c r="R1121" s="5">
        <f t="shared" si="102"/>
        <v>295.94722191780824</v>
      </c>
      <c r="S1121" s="5">
        <f t="shared" si="103"/>
        <v>36.030032876712326</v>
      </c>
      <c r="T1121" s="5">
        <f t="shared" si="104"/>
        <v>259.91718904109592</v>
      </c>
      <c r="U1121" s="15">
        <f t="shared" si="105"/>
        <v>35</v>
      </c>
      <c r="V1121" s="3">
        <f t="shared" si="106"/>
        <v>542.68230000000005</v>
      </c>
      <c r="W1121" s="3">
        <f t="shared" si="107"/>
        <v>1120</v>
      </c>
    </row>
    <row r="1122" spans="1:23" x14ac:dyDescent="0.2">
      <c r="A1122" t="s">
        <v>271</v>
      </c>
      <c r="B1122" t="s">
        <v>128</v>
      </c>
      <c r="C1122" t="s">
        <v>36</v>
      </c>
      <c r="D1122" t="s">
        <v>37</v>
      </c>
      <c r="E1122" t="s">
        <v>49</v>
      </c>
      <c r="F1122" s="7">
        <v>879139</v>
      </c>
      <c r="G1122" t="s">
        <v>994</v>
      </c>
      <c r="H1122" s="5">
        <v>18385</v>
      </c>
      <c r="I1122" s="12">
        <v>46049</v>
      </c>
      <c r="J1122" s="15">
        <v>45</v>
      </c>
      <c r="K1122" s="15">
        <v>7</v>
      </c>
      <c r="L1122" s="9">
        <v>0.14199999999999999</v>
      </c>
      <c r="M1122" s="9">
        <v>5.7799999999999997E-2</v>
      </c>
      <c r="N1122" s="15">
        <v>5</v>
      </c>
      <c r="O1122" t="s">
        <v>27</v>
      </c>
      <c r="P1122" t="s">
        <v>28</v>
      </c>
      <c r="Q1122" s="24">
        <v>0.35</v>
      </c>
      <c r="R1122" s="5">
        <f t="shared" si="102"/>
        <v>321.86342465753415</v>
      </c>
      <c r="S1122" s="5">
        <f t="shared" si="103"/>
        <v>14.556890410958903</v>
      </c>
      <c r="T1122" s="5">
        <f t="shared" si="104"/>
        <v>307.30653424657527</v>
      </c>
      <c r="U1122" s="15">
        <f t="shared" si="105"/>
        <v>40</v>
      </c>
      <c r="V1122" s="3">
        <f t="shared" si="106"/>
        <v>541.80594999999994</v>
      </c>
      <c r="W1122" s="3">
        <f t="shared" si="107"/>
        <v>1121</v>
      </c>
    </row>
    <row r="1123" spans="1:23" x14ac:dyDescent="0.2">
      <c r="A1123" t="s">
        <v>488</v>
      </c>
      <c r="B1123" t="s">
        <v>489</v>
      </c>
      <c r="C1123" t="s">
        <v>31</v>
      </c>
      <c r="D1123" t="s">
        <v>37</v>
      </c>
      <c r="E1123" t="s">
        <v>25</v>
      </c>
      <c r="F1123" s="7">
        <v>6687670</v>
      </c>
      <c r="G1123" t="s">
        <v>1515</v>
      </c>
      <c r="H1123" s="5">
        <v>12780</v>
      </c>
      <c r="I1123" s="12">
        <v>45712</v>
      </c>
      <c r="J1123" s="15">
        <v>60</v>
      </c>
      <c r="K1123" s="15">
        <v>7</v>
      </c>
      <c r="L1123" s="9">
        <v>0.1013</v>
      </c>
      <c r="M1123" s="9">
        <v>5.4199999999999998E-2</v>
      </c>
      <c r="N1123" s="15">
        <v>5</v>
      </c>
      <c r="O1123" t="s">
        <v>28</v>
      </c>
      <c r="P1123" t="s">
        <v>28</v>
      </c>
      <c r="Q1123" s="24">
        <v>0.9</v>
      </c>
      <c r="R1123" s="5">
        <f t="shared" si="102"/>
        <v>212.81326027397259</v>
      </c>
      <c r="S1123" s="5">
        <f t="shared" si="103"/>
        <v>9.4887123287671216</v>
      </c>
      <c r="T1123" s="5">
        <f t="shared" si="104"/>
        <v>203.32454794520547</v>
      </c>
      <c r="U1123" s="15">
        <f t="shared" si="105"/>
        <v>55</v>
      </c>
      <c r="V1123" s="3">
        <f t="shared" si="106"/>
        <v>541.74420000000009</v>
      </c>
      <c r="W1123" s="3">
        <f t="shared" si="107"/>
        <v>1122</v>
      </c>
    </row>
    <row r="1124" spans="1:23" x14ac:dyDescent="0.2">
      <c r="A1124" t="s">
        <v>1057</v>
      </c>
      <c r="B1124" t="s">
        <v>1058</v>
      </c>
      <c r="C1124" t="s">
        <v>23</v>
      </c>
      <c r="D1124" t="s">
        <v>37</v>
      </c>
      <c r="E1124" t="s">
        <v>56</v>
      </c>
      <c r="F1124" s="7">
        <v>13389097</v>
      </c>
      <c r="G1124" t="s">
        <v>1059</v>
      </c>
      <c r="H1124" s="5">
        <v>79681</v>
      </c>
      <c r="I1124" s="12">
        <v>45889</v>
      </c>
      <c r="J1124" s="15">
        <v>60</v>
      </c>
      <c r="K1124" s="15">
        <v>10</v>
      </c>
      <c r="L1124" s="9">
        <v>7.3800000000000004E-2</v>
      </c>
      <c r="M1124" s="9">
        <v>6.0299999999999999E-2</v>
      </c>
      <c r="N1124" s="15">
        <v>10</v>
      </c>
      <c r="O1124" t="s">
        <v>27</v>
      </c>
      <c r="P1124" t="s">
        <v>28</v>
      </c>
      <c r="Q1124" s="24">
        <v>0.5</v>
      </c>
      <c r="R1124" s="5">
        <f t="shared" si="102"/>
        <v>966.65059726027391</v>
      </c>
      <c r="S1124" s="5">
        <f t="shared" si="103"/>
        <v>131.63737808219176</v>
      </c>
      <c r="T1124" s="5">
        <f t="shared" si="104"/>
        <v>835.01321917808218</v>
      </c>
      <c r="U1124" s="15">
        <f t="shared" si="105"/>
        <v>50</v>
      </c>
      <c r="V1124" s="3">
        <f t="shared" si="106"/>
        <v>537.84675000000016</v>
      </c>
      <c r="W1124" s="3">
        <f t="shared" si="107"/>
        <v>1123</v>
      </c>
    </row>
    <row r="1125" spans="1:23" x14ac:dyDescent="0.2">
      <c r="A1125" t="s">
        <v>521</v>
      </c>
      <c r="B1125" t="s">
        <v>522</v>
      </c>
      <c r="C1125" t="s">
        <v>23</v>
      </c>
      <c r="D1125" t="s">
        <v>66</v>
      </c>
      <c r="E1125" t="s">
        <v>49</v>
      </c>
      <c r="F1125" s="7">
        <v>617401</v>
      </c>
      <c r="G1125" t="s">
        <v>874</v>
      </c>
      <c r="H1125" s="5">
        <v>15800</v>
      </c>
      <c r="I1125" s="12">
        <v>46018</v>
      </c>
      <c r="J1125" s="15">
        <v>60</v>
      </c>
      <c r="K1125" s="15">
        <v>10</v>
      </c>
      <c r="L1125" s="9">
        <v>0.1429</v>
      </c>
      <c r="M1125" s="9">
        <v>4.5999999999999999E-2</v>
      </c>
      <c r="N1125" s="15">
        <v>8</v>
      </c>
      <c r="O1125" t="s">
        <v>28</v>
      </c>
      <c r="P1125" t="s">
        <v>28</v>
      </c>
      <c r="Q1125" s="24">
        <v>0.35</v>
      </c>
      <c r="R1125" s="5">
        <f t="shared" si="102"/>
        <v>371.14849315068494</v>
      </c>
      <c r="S1125" s="5">
        <f t="shared" si="103"/>
        <v>15.929863013698629</v>
      </c>
      <c r="T1125" s="5">
        <f t="shared" si="104"/>
        <v>355.21863013698629</v>
      </c>
      <c r="U1125" s="15">
        <f t="shared" si="105"/>
        <v>52</v>
      </c>
      <c r="V1125" s="3">
        <f t="shared" si="106"/>
        <v>535.85699999999997</v>
      </c>
      <c r="W1125" s="3">
        <f t="shared" si="107"/>
        <v>1124</v>
      </c>
    </row>
    <row r="1126" spans="1:23" x14ac:dyDescent="0.2">
      <c r="A1126" t="s">
        <v>319</v>
      </c>
      <c r="B1126" t="s">
        <v>320</v>
      </c>
      <c r="C1126" t="s">
        <v>41</v>
      </c>
      <c r="D1126" t="s">
        <v>37</v>
      </c>
      <c r="E1126" t="s">
        <v>56</v>
      </c>
      <c r="F1126" s="7">
        <v>23937545</v>
      </c>
      <c r="G1126" t="s">
        <v>1282</v>
      </c>
      <c r="H1126" s="5">
        <v>68087</v>
      </c>
      <c r="I1126" s="12">
        <v>46022</v>
      </c>
      <c r="J1126" s="15">
        <v>90</v>
      </c>
      <c r="K1126" s="15">
        <v>5</v>
      </c>
      <c r="L1126" s="9">
        <v>8.7099999999999997E-2</v>
      </c>
      <c r="M1126" s="9">
        <v>6.4699999999999994E-2</v>
      </c>
      <c r="N1126" s="15">
        <v>5</v>
      </c>
      <c r="O1126" t="s">
        <v>27</v>
      </c>
      <c r="P1126" t="s">
        <v>28</v>
      </c>
      <c r="Q1126" s="24">
        <v>0.35</v>
      </c>
      <c r="R1126" s="5">
        <f t="shared" si="102"/>
        <v>1462.2849123287669</v>
      </c>
      <c r="S1126" s="5">
        <f t="shared" si="103"/>
        <v>60.345601369862997</v>
      </c>
      <c r="T1126" s="5">
        <f t="shared" si="104"/>
        <v>1401.9393109589039</v>
      </c>
      <c r="U1126" s="15">
        <f t="shared" si="105"/>
        <v>85</v>
      </c>
      <c r="V1126" s="3">
        <f t="shared" si="106"/>
        <v>533.80208000000005</v>
      </c>
      <c r="W1126" s="3">
        <f t="shared" si="107"/>
        <v>1125</v>
      </c>
    </row>
    <row r="1127" spans="1:23" x14ac:dyDescent="0.2">
      <c r="A1127" t="s">
        <v>120</v>
      </c>
      <c r="B1127" t="s">
        <v>121</v>
      </c>
      <c r="C1127" t="s">
        <v>31</v>
      </c>
      <c r="D1127" t="s">
        <v>48</v>
      </c>
      <c r="E1127" t="s">
        <v>56</v>
      </c>
      <c r="F1127" s="7">
        <v>14943587</v>
      </c>
      <c r="G1127" t="s">
        <v>651</v>
      </c>
      <c r="H1127" s="5">
        <v>25955</v>
      </c>
      <c r="I1127" s="12">
        <v>45804</v>
      </c>
      <c r="J1127" s="15">
        <v>30</v>
      </c>
      <c r="K1127" s="15">
        <v>3</v>
      </c>
      <c r="L1127" s="9">
        <v>0.1046</v>
      </c>
      <c r="M1127" s="9">
        <v>4.6100000000000002E-2</v>
      </c>
      <c r="N1127" s="15">
        <v>5</v>
      </c>
      <c r="O1127" t="s">
        <v>28</v>
      </c>
      <c r="P1127" t="s">
        <v>28</v>
      </c>
      <c r="Q1127" s="24">
        <v>0.35</v>
      </c>
      <c r="R1127" s="5">
        <f t="shared" si="102"/>
        <v>223.14189041095889</v>
      </c>
      <c r="S1127" s="5">
        <f t="shared" si="103"/>
        <v>16.390760273972603</v>
      </c>
      <c r="T1127" s="5">
        <f t="shared" si="104"/>
        <v>206.75113013698629</v>
      </c>
      <c r="U1127" s="15">
        <f t="shared" si="105"/>
        <v>25</v>
      </c>
      <c r="V1127" s="3">
        <f t="shared" si="106"/>
        <v>531.4286249999999</v>
      </c>
      <c r="W1127" s="3">
        <f t="shared" si="107"/>
        <v>1126</v>
      </c>
    </row>
    <row r="1128" spans="1:23" x14ac:dyDescent="0.2">
      <c r="A1128" t="s">
        <v>230</v>
      </c>
      <c r="B1128" t="s">
        <v>231</v>
      </c>
      <c r="C1128" t="s">
        <v>31</v>
      </c>
      <c r="D1128" t="s">
        <v>37</v>
      </c>
      <c r="E1128" t="s">
        <v>25</v>
      </c>
      <c r="F1128" s="7">
        <v>6782855</v>
      </c>
      <c r="G1128" t="s">
        <v>1639</v>
      </c>
      <c r="H1128" s="5">
        <v>24414</v>
      </c>
      <c r="I1128" s="12">
        <v>45834</v>
      </c>
      <c r="J1128" s="15">
        <v>30</v>
      </c>
      <c r="K1128" s="15">
        <v>5</v>
      </c>
      <c r="L1128" s="9">
        <v>0.1188</v>
      </c>
      <c r="M1128" s="9">
        <v>5.6899999999999999E-2</v>
      </c>
      <c r="N1128" s="15">
        <v>5</v>
      </c>
      <c r="O1128" t="s">
        <v>27</v>
      </c>
      <c r="P1128" t="s">
        <v>28</v>
      </c>
      <c r="Q1128" s="24">
        <v>0.35</v>
      </c>
      <c r="R1128" s="5">
        <f t="shared" si="102"/>
        <v>238.38766027397261</v>
      </c>
      <c r="S1128" s="5">
        <f t="shared" si="103"/>
        <v>19.029542465753423</v>
      </c>
      <c r="T1128" s="5">
        <f t="shared" si="104"/>
        <v>219.35811780821919</v>
      </c>
      <c r="U1128" s="15">
        <f t="shared" si="105"/>
        <v>25</v>
      </c>
      <c r="V1128" s="3">
        <f t="shared" si="106"/>
        <v>528.92930999999999</v>
      </c>
      <c r="W1128" s="3">
        <f t="shared" si="107"/>
        <v>1127</v>
      </c>
    </row>
    <row r="1129" spans="1:23" x14ac:dyDescent="0.2">
      <c r="A1129" t="s">
        <v>311</v>
      </c>
      <c r="B1129" t="s">
        <v>312</v>
      </c>
      <c r="C1129" t="s">
        <v>23</v>
      </c>
      <c r="D1129" t="s">
        <v>32</v>
      </c>
      <c r="E1129" t="s">
        <v>25</v>
      </c>
      <c r="F1129" s="7">
        <v>3726894</v>
      </c>
      <c r="G1129" t="s">
        <v>338</v>
      </c>
      <c r="H1129" s="5">
        <v>52760</v>
      </c>
      <c r="I1129" s="12">
        <v>45902</v>
      </c>
      <c r="J1129" s="15">
        <v>60</v>
      </c>
      <c r="K1129" s="15">
        <v>10</v>
      </c>
      <c r="L1129" s="9">
        <v>9.1899999999999996E-2</v>
      </c>
      <c r="M1129" s="9">
        <v>6.3299999999999995E-2</v>
      </c>
      <c r="N1129" s="15">
        <v>7</v>
      </c>
      <c r="O1129" t="s">
        <v>27</v>
      </c>
      <c r="P1129" t="s">
        <v>28</v>
      </c>
      <c r="Q1129" s="24">
        <v>0.35</v>
      </c>
      <c r="R1129" s="5">
        <f t="shared" si="102"/>
        <v>797.03736986301351</v>
      </c>
      <c r="S1129" s="5">
        <f t="shared" si="103"/>
        <v>64.049194520547942</v>
      </c>
      <c r="T1129" s="5">
        <f t="shared" si="104"/>
        <v>732.98817534246552</v>
      </c>
      <c r="U1129" s="15">
        <f t="shared" si="105"/>
        <v>53</v>
      </c>
      <c r="V1129" s="3">
        <f t="shared" si="106"/>
        <v>528.12760000000003</v>
      </c>
      <c r="W1129" s="3">
        <f t="shared" si="107"/>
        <v>1128</v>
      </c>
    </row>
    <row r="1130" spans="1:23" x14ac:dyDescent="0.2">
      <c r="A1130" t="s">
        <v>303</v>
      </c>
      <c r="B1130" t="s">
        <v>304</v>
      </c>
      <c r="C1130" t="s">
        <v>36</v>
      </c>
      <c r="D1130" t="s">
        <v>66</v>
      </c>
      <c r="E1130" t="s">
        <v>56</v>
      </c>
      <c r="F1130" s="7">
        <v>11641644</v>
      </c>
      <c r="G1130" t="s">
        <v>1494</v>
      </c>
      <c r="H1130" s="5">
        <v>58156</v>
      </c>
      <c r="I1130" s="12">
        <v>45948</v>
      </c>
      <c r="J1130" s="15">
        <v>90</v>
      </c>
      <c r="K1130" s="15">
        <v>7</v>
      </c>
      <c r="L1130" s="9">
        <v>9.0399999999999994E-2</v>
      </c>
      <c r="M1130" s="9">
        <v>4.4999999999999998E-2</v>
      </c>
      <c r="N1130" s="15">
        <v>6</v>
      </c>
      <c r="O1130" t="s">
        <v>27</v>
      </c>
      <c r="P1130" t="s">
        <v>28</v>
      </c>
      <c r="Q1130" s="24">
        <v>0.2</v>
      </c>
      <c r="R1130" s="5">
        <f t="shared" si="102"/>
        <v>1296.3211397260272</v>
      </c>
      <c r="S1130" s="5">
        <f t="shared" si="103"/>
        <v>43.019506849315064</v>
      </c>
      <c r="T1130" s="5">
        <f t="shared" si="104"/>
        <v>1253.3016328767121</v>
      </c>
      <c r="U1130" s="15">
        <f t="shared" si="105"/>
        <v>84</v>
      </c>
      <c r="V1130" s="3">
        <f t="shared" si="106"/>
        <v>528.05647999999997</v>
      </c>
      <c r="W1130" s="3">
        <f t="shared" si="107"/>
        <v>1129</v>
      </c>
    </row>
    <row r="1131" spans="1:23" x14ac:dyDescent="0.2">
      <c r="A1131" t="s">
        <v>120</v>
      </c>
      <c r="B1131" t="s">
        <v>121</v>
      </c>
      <c r="C1131" t="s">
        <v>31</v>
      </c>
      <c r="D1131" t="s">
        <v>48</v>
      </c>
      <c r="E1131" t="s">
        <v>56</v>
      </c>
      <c r="F1131" s="7">
        <v>14943587</v>
      </c>
      <c r="G1131" t="s">
        <v>1233</v>
      </c>
      <c r="H1131" s="5">
        <v>29888</v>
      </c>
      <c r="I1131" s="12">
        <v>46023</v>
      </c>
      <c r="J1131" s="15">
        <v>60</v>
      </c>
      <c r="K1131" s="15">
        <v>10</v>
      </c>
      <c r="L1131" s="9">
        <v>0.1046</v>
      </c>
      <c r="M1131" s="9">
        <v>5.4300000000000001E-2</v>
      </c>
      <c r="N1131" s="15">
        <v>8</v>
      </c>
      <c r="O1131" t="s">
        <v>28</v>
      </c>
      <c r="P1131" t="s">
        <v>28</v>
      </c>
      <c r="Q1131" s="24">
        <v>0.35</v>
      </c>
      <c r="R1131" s="5">
        <f t="shared" si="102"/>
        <v>513.90983013698622</v>
      </c>
      <c r="S1131" s="5">
        <f t="shared" si="103"/>
        <v>35.570814246575345</v>
      </c>
      <c r="T1131" s="5">
        <f t="shared" si="104"/>
        <v>478.33901589041085</v>
      </c>
      <c r="U1131" s="15">
        <f t="shared" si="105"/>
        <v>52</v>
      </c>
      <c r="V1131" s="3">
        <f t="shared" si="106"/>
        <v>526.17823999999996</v>
      </c>
      <c r="W1131" s="3">
        <f t="shared" si="107"/>
        <v>1130</v>
      </c>
    </row>
    <row r="1132" spans="1:23" x14ac:dyDescent="0.2">
      <c r="A1132" t="s">
        <v>136</v>
      </c>
      <c r="B1132" t="s">
        <v>137</v>
      </c>
      <c r="C1132" t="s">
        <v>31</v>
      </c>
      <c r="D1132" t="s">
        <v>37</v>
      </c>
      <c r="E1132" t="s">
        <v>56</v>
      </c>
      <c r="F1132" s="7">
        <v>17196352</v>
      </c>
      <c r="G1132" t="s">
        <v>1495</v>
      </c>
      <c r="H1132" s="5">
        <v>101135</v>
      </c>
      <c r="I1132" s="12">
        <v>45813</v>
      </c>
      <c r="J1132" s="15">
        <v>90</v>
      </c>
      <c r="K1132" s="15">
        <v>3</v>
      </c>
      <c r="L1132" s="9">
        <v>8.1500000000000003E-2</v>
      </c>
      <c r="M1132" s="9">
        <v>5.5500000000000001E-2</v>
      </c>
      <c r="N1132" s="15">
        <v>6</v>
      </c>
      <c r="O1132" t="s">
        <v>27</v>
      </c>
      <c r="P1132" t="s">
        <v>28</v>
      </c>
      <c r="Q1132" s="24">
        <v>0.2</v>
      </c>
      <c r="R1132" s="5">
        <f t="shared" si="102"/>
        <v>2032.3978767123288</v>
      </c>
      <c r="S1132" s="5">
        <f t="shared" si="103"/>
        <v>92.268369863013689</v>
      </c>
      <c r="T1132" s="5">
        <f t="shared" si="104"/>
        <v>1940.129506849315</v>
      </c>
      <c r="U1132" s="15">
        <f t="shared" si="105"/>
        <v>84</v>
      </c>
      <c r="V1132" s="3">
        <f t="shared" si="106"/>
        <v>525.90200000000004</v>
      </c>
      <c r="W1132" s="3">
        <f t="shared" si="107"/>
        <v>1131</v>
      </c>
    </row>
    <row r="1133" spans="1:23" x14ac:dyDescent="0.2">
      <c r="A1133" t="s">
        <v>314</v>
      </c>
      <c r="B1133" t="s">
        <v>211</v>
      </c>
      <c r="C1133" t="s">
        <v>36</v>
      </c>
      <c r="D1133" t="s">
        <v>66</v>
      </c>
      <c r="E1133" t="s">
        <v>56</v>
      </c>
      <c r="F1133" s="7">
        <v>16270036</v>
      </c>
      <c r="G1133" t="s">
        <v>675</v>
      </c>
      <c r="H1133" s="5">
        <v>32489</v>
      </c>
      <c r="I1133" s="12">
        <v>46004</v>
      </c>
      <c r="J1133" s="15">
        <v>60</v>
      </c>
      <c r="K1133" s="15">
        <v>3</v>
      </c>
      <c r="L1133" s="9">
        <v>9.2200000000000004E-2</v>
      </c>
      <c r="M1133" s="9">
        <v>5.9900000000000002E-2</v>
      </c>
      <c r="N1133" s="15">
        <v>10</v>
      </c>
      <c r="O1133" t="s">
        <v>27</v>
      </c>
      <c r="P1133" t="s">
        <v>28</v>
      </c>
      <c r="Q1133" s="24">
        <v>0.5</v>
      </c>
      <c r="R1133" s="5">
        <f t="shared" si="102"/>
        <v>492.40862465753423</v>
      </c>
      <c r="S1133" s="5">
        <f t="shared" si="103"/>
        <v>53.317564383561646</v>
      </c>
      <c r="T1133" s="5">
        <f t="shared" si="104"/>
        <v>439.09106027397257</v>
      </c>
      <c r="U1133" s="15">
        <f t="shared" si="105"/>
        <v>50</v>
      </c>
      <c r="V1133" s="3">
        <f t="shared" si="106"/>
        <v>524.69735000000003</v>
      </c>
      <c r="W1133" s="3">
        <f t="shared" si="107"/>
        <v>1132</v>
      </c>
    </row>
    <row r="1134" spans="1:23" x14ac:dyDescent="0.2">
      <c r="A1134" t="s">
        <v>91</v>
      </c>
      <c r="B1134" t="s">
        <v>92</v>
      </c>
      <c r="C1134" t="s">
        <v>36</v>
      </c>
      <c r="D1134" t="s">
        <v>24</v>
      </c>
      <c r="E1134" t="s">
        <v>56</v>
      </c>
      <c r="F1134" s="7">
        <v>15029491</v>
      </c>
      <c r="G1134" t="s">
        <v>93</v>
      </c>
      <c r="H1134" s="5">
        <v>29038</v>
      </c>
      <c r="I1134" s="12">
        <v>45959</v>
      </c>
      <c r="J1134" s="15">
        <v>60</v>
      </c>
      <c r="K1134" s="15">
        <v>3</v>
      </c>
      <c r="L1134" s="9">
        <v>9.8400000000000001E-2</v>
      </c>
      <c r="M1134" s="9">
        <v>4.7199999999999999E-2</v>
      </c>
      <c r="N1134" s="15">
        <v>5</v>
      </c>
      <c r="O1134" t="s">
        <v>28</v>
      </c>
      <c r="P1134" t="s">
        <v>28</v>
      </c>
      <c r="Q1134" s="24">
        <v>0.35</v>
      </c>
      <c r="R1134" s="5">
        <f t="shared" si="102"/>
        <v>469.69959452054792</v>
      </c>
      <c r="S1134" s="5">
        <f t="shared" si="103"/>
        <v>18.775254794520546</v>
      </c>
      <c r="T1134" s="5">
        <f t="shared" si="104"/>
        <v>450.92433972602737</v>
      </c>
      <c r="U1134" s="15">
        <f t="shared" si="105"/>
        <v>55</v>
      </c>
      <c r="V1134" s="3">
        <f t="shared" si="106"/>
        <v>520.36095999999998</v>
      </c>
      <c r="W1134" s="3">
        <f t="shared" si="107"/>
        <v>1133</v>
      </c>
    </row>
    <row r="1135" spans="1:23" x14ac:dyDescent="0.2">
      <c r="A1135" t="s">
        <v>64</v>
      </c>
      <c r="B1135" t="s">
        <v>65</v>
      </c>
      <c r="C1135" t="s">
        <v>36</v>
      </c>
      <c r="D1135" t="s">
        <v>66</v>
      </c>
      <c r="E1135" t="s">
        <v>56</v>
      </c>
      <c r="F1135" s="7">
        <v>19529913</v>
      </c>
      <c r="G1135" t="s">
        <v>322</v>
      </c>
      <c r="H1135" s="5">
        <v>88917</v>
      </c>
      <c r="I1135" s="12">
        <v>45869</v>
      </c>
      <c r="J1135" s="15">
        <v>45</v>
      </c>
      <c r="K1135" s="15">
        <v>2</v>
      </c>
      <c r="L1135" s="9">
        <v>8.7499999999999994E-2</v>
      </c>
      <c r="M1135" s="9">
        <v>5.8400000000000001E-2</v>
      </c>
      <c r="N1135" s="15">
        <v>10</v>
      </c>
      <c r="O1135" t="s">
        <v>28</v>
      </c>
      <c r="P1135" t="s">
        <v>28</v>
      </c>
      <c r="Q1135" s="24">
        <v>0.2</v>
      </c>
      <c r="R1135" s="5">
        <f t="shared" si="102"/>
        <v>959.20736301369845</v>
      </c>
      <c r="S1135" s="5">
        <f t="shared" si="103"/>
        <v>142.2672</v>
      </c>
      <c r="T1135" s="5">
        <f t="shared" si="104"/>
        <v>816.94016301369845</v>
      </c>
      <c r="U1135" s="15">
        <f t="shared" si="105"/>
        <v>35</v>
      </c>
      <c r="V1135" s="3">
        <f t="shared" si="106"/>
        <v>517.49693999999988</v>
      </c>
      <c r="W1135" s="3">
        <f t="shared" si="107"/>
        <v>1134</v>
      </c>
    </row>
    <row r="1136" spans="1:23" x14ac:dyDescent="0.2">
      <c r="A1136" t="s">
        <v>491</v>
      </c>
      <c r="B1136" t="s">
        <v>131</v>
      </c>
      <c r="C1136" t="s">
        <v>31</v>
      </c>
      <c r="D1136" t="s">
        <v>32</v>
      </c>
      <c r="E1136" t="s">
        <v>56</v>
      </c>
      <c r="F1136" s="7">
        <v>21735545</v>
      </c>
      <c r="G1136" t="s">
        <v>906</v>
      </c>
      <c r="H1136" s="5">
        <v>103851</v>
      </c>
      <c r="I1136" s="12">
        <v>45962</v>
      </c>
      <c r="J1136" s="15">
        <v>45</v>
      </c>
      <c r="K1136" s="15">
        <v>3</v>
      </c>
      <c r="L1136" s="9">
        <v>7.4999999999999997E-2</v>
      </c>
      <c r="M1136" s="9">
        <v>6.0999999999999999E-2</v>
      </c>
      <c r="N1136" s="15">
        <v>5</v>
      </c>
      <c r="O1136" t="s">
        <v>27</v>
      </c>
      <c r="P1136" t="s">
        <v>28</v>
      </c>
      <c r="Q1136" s="24">
        <v>0.35</v>
      </c>
      <c r="R1136" s="5">
        <f t="shared" si="102"/>
        <v>960.26609589041084</v>
      </c>
      <c r="S1136" s="5">
        <f t="shared" si="103"/>
        <v>86.77960273972603</v>
      </c>
      <c r="T1136" s="5">
        <f t="shared" si="104"/>
        <v>873.48649315068485</v>
      </c>
      <c r="U1136" s="15">
        <f t="shared" si="105"/>
        <v>40</v>
      </c>
      <c r="V1136" s="3">
        <f t="shared" si="106"/>
        <v>508.86989999999992</v>
      </c>
      <c r="W1136" s="3">
        <f t="shared" si="107"/>
        <v>1135</v>
      </c>
    </row>
    <row r="1137" spans="1:23" x14ac:dyDescent="0.2">
      <c r="A1137" t="s">
        <v>889</v>
      </c>
      <c r="B1137" t="s">
        <v>286</v>
      </c>
      <c r="C1137" t="s">
        <v>23</v>
      </c>
      <c r="D1137" t="s">
        <v>66</v>
      </c>
      <c r="E1137" t="s">
        <v>49</v>
      </c>
      <c r="F1137" s="7">
        <v>1374525</v>
      </c>
      <c r="G1137" t="s">
        <v>1177</v>
      </c>
      <c r="H1137" s="5">
        <v>33558</v>
      </c>
      <c r="I1137" s="12">
        <v>45961</v>
      </c>
      <c r="J1137" s="15">
        <v>60</v>
      </c>
      <c r="K1137" s="15">
        <v>2</v>
      </c>
      <c r="L1137" s="9">
        <v>0.13320000000000001</v>
      </c>
      <c r="M1137" s="9">
        <v>5.7500000000000002E-2</v>
      </c>
      <c r="N1137" s="15">
        <v>5</v>
      </c>
      <c r="O1137" t="s">
        <v>28</v>
      </c>
      <c r="P1137" t="s">
        <v>28</v>
      </c>
      <c r="Q1137" s="24">
        <v>0.2</v>
      </c>
      <c r="R1137" s="5">
        <f t="shared" si="102"/>
        <v>734.78229041095892</v>
      </c>
      <c r="S1137" s="5">
        <f t="shared" si="103"/>
        <v>26.432671232876711</v>
      </c>
      <c r="T1137" s="5">
        <f t="shared" si="104"/>
        <v>708.34961917808221</v>
      </c>
      <c r="U1137" s="15">
        <f t="shared" si="105"/>
        <v>55</v>
      </c>
      <c r="V1137" s="3">
        <f t="shared" si="106"/>
        <v>508.06812000000014</v>
      </c>
      <c r="W1137" s="3">
        <f t="shared" si="107"/>
        <v>1136</v>
      </c>
    </row>
    <row r="1138" spans="1:23" x14ac:dyDescent="0.2">
      <c r="A1138" t="s">
        <v>303</v>
      </c>
      <c r="B1138" t="s">
        <v>304</v>
      </c>
      <c r="C1138" t="s">
        <v>36</v>
      </c>
      <c r="D1138" t="s">
        <v>66</v>
      </c>
      <c r="E1138" t="s">
        <v>56</v>
      </c>
      <c r="F1138" s="7">
        <v>11641644</v>
      </c>
      <c r="G1138" t="s">
        <v>1437</v>
      </c>
      <c r="H1138" s="5">
        <v>95113</v>
      </c>
      <c r="I1138" s="12">
        <v>45703</v>
      </c>
      <c r="J1138" s="15">
        <v>45</v>
      </c>
      <c r="K1138" s="15">
        <v>7</v>
      </c>
      <c r="L1138" s="9">
        <v>9.0399999999999994E-2</v>
      </c>
      <c r="M1138" s="9">
        <v>6.3799999999999996E-2</v>
      </c>
      <c r="N1138" s="15">
        <v>5</v>
      </c>
      <c r="O1138" t="s">
        <v>27</v>
      </c>
      <c r="P1138" t="s">
        <v>28</v>
      </c>
      <c r="Q1138" s="24">
        <v>0.2</v>
      </c>
      <c r="R1138" s="5">
        <f t="shared" si="102"/>
        <v>1060.0539287671231</v>
      </c>
      <c r="S1138" s="5">
        <f t="shared" si="103"/>
        <v>83.126156164383559</v>
      </c>
      <c r="T1138" s="5">
        <f t="shared" si="104"/>
        <v>976.92777260273954</v>
      </c>
      <c r="U1138" s="15">
        <f t="shared" si="105"/>
        <v>40</v>
      </c>
      <c r="V1138" s="3">
        <f t="shared" si="106"/>
        <v>506.00116000000003</v>
      </c>
      <c r="W1138" s="3">
        <f t="shared" si="107"/>
        <v>1137</v>
      </c>
    </row>
    <row r="1139" spans="1:23" x14ac:dyDescent="0.2">
      <c r="A1139" t="s">
        <v>494</v>
      </c>
      <c r="B1139" t="s">
        <v>495</v>
      </c>
      <c r="C1139" t="s">
        <v>41</v>
      </c>
      <c r="D1139" t="s">
        <v>48</v>
      </c>
      <c r="E1139" t="s">
        <v>25</v>
      </c>
      <c r="F1139" s="7">
        <v>6247349</v>
      </c>
      <c r="G1139" t="s">
        <v>1738</v>
      </c>
      <c r="H1139" s="5">
        <v>39227</v>
      </c>
      <c r="I1139" s="12">
        <v>45821</v>
      </c>
      <c r="J1139" s="15">
        <v>45</v>
      </c>
      <c r="K1139" s="15">
        <v>7</v>
      </c>
      <c r="L1139" s="9">
        <v>0.1241</v>
      </c>
      <c r="M1139" s="9">
        <v>6.0199999999999997E-2</v>
      </c>
      <c r="N1139" s="15">
        <v>8</v>
      </c>
      <c r="O1139" t="s">
        <v>27</v>
      </c>
      <c r="P1139" t="s">
        <v>28</v>
      </c>
      <c r="Q1139" s="24">
        <v>0.2</v>
      </c>
      <c r="R1139" s="5">
        <f t="shared" si="102"/>
        <v>600.17309999999998</v>
      </c>
      <c r="S1139" s="5">
        <f t="shared" si="103"/>
        <v>51.758145753424657</v>
      </c>
      <c r="T1139" s="5">
        <f t="shared" si="104"/>
        <v>548.41495424657535</v>
      </c>
      <c r="U1139" s="15">
        <f t="shared" si="105"/>
        <v>37</v>
      </c>
      <c r="V1139" s="3">
        <f t="shared" si="106"/>
        <v>501.3210600000001</v>
      </c>
      <c r="W1139" s="3">
        <f t="shared" si="107"/>
        <v>1138</v>
      </c>
    </row>
    <row r="1140" spans="1:23" x14ac:dyDescent="0.2">
      <c r="A1140" t="s">
        <v>103</v>
      </c>
      <c r="B1140" t="s">
        <v>62</v>
      </c>
      <c r="C1140" t="s">
        <v>31</v>
      </c>
      <c r="D1140" t="s">
        <v>37</v>
      </c>
      <c r="E1140" t="s">
        <v>25</v>
      </c>
      <c r="F1140" s="7">
        <v>3948313</v>
      </c>
      <c r="G1140" t="s">
        <v>911</v>
      </c>
      <c r="H1140" s="5">
        <v>17376</v>
      </c>
      <c r="I1140" s="12">
        <v>45829</v>
      </c>
      <c r="J1140" s="15">
        <v>30</v>
      </c>
      <c r="K1140" s="15">
        <v>7</v>
      </c>
      <c r="L1140" s="9">
        <v>0.1154</v>
      </c>
      <c r="M1140" s="9">
        <v>5.7700000000000001E-2</v>
      </c>
      <c r="N1140" s="15">
        <v>8</v>
      </c>
      <c r="O1140" t="s">
        <v>27</v>
      </c>
      <c r="P1140" t="s">
        <v>28</v>
      </c>
      <c r="Q1140" s="24">
        <v>0.5</v>
      </c>
      <c r="R1140" s="5">
        <f t="shared" si="102"/>
        <v>164.8101698630137</v>
      </c>
      <c r="S1140" s="5">
        <f t="shared" si="103"/>
        <v>21.974689315068492</v>
      </c>
      <c r="T1140" s="5">
        <f t="shared" si="104"/>
        <v>142.8354805479452</v>
      </c>
      <c r="U1140" s="15">
        <f t="shared" si="105"/>
        <v>22</v>
      </c>
      <c r="V1140" s="3">
        <f t="shared" si="106"/>
        <v>501.29759999999999</v>
      </c>
      <c r="W1140" s="3">
        <f t="shared" si="107"/>
        <v>1139</v>
      </c>
    </row>
    <row r="1141" spans="1:23" x14ac:dyDescent="0.2">
      <c r="A1141" t="s">
        <v>97</v>
      </c>
      <c r="B1141" t="s">
        <v>98</v>
      </c>
      <c r="C1141" t="s">
        <v>41</v>
      </c>
      <c r="D1141" t="s">
        <v>32</v>
      </c>
      <c r="E1141" t="s">
        <v>56</v>
      </c>
      <c r="F1141" s="7">
        <v>19754920</v>
      </c>
      <c r="G1141" t="s">
        <v>1584</v>
      </c>
      <c r="H1141" s="5">
        <v>44105</v>
      </c>
      <c r="I1141" s="12">
        <v>45818</v>
      </c>
      <c r="J1141" s="15">
        <v>60</v>
      </c>
      <c r="K1141" s="15">
        <v>5</v>
      </c>
      <c r="L1141" s="9">
        <v>8.1100000000000005E-2</v>
      </c>
      <c r="M1141" s="9">
        <v>5.8500000000000003E-2</v>
      </c>
      <c r="N1141" s="15">
        <v>6</v>
      </c>
      <c r="O1141" t="s">
        <v>27</v>
      </c>
      <c r="P1141" t="s">
        <v>28</v>
      </c>
      <c r="Q1141" s="24">
        <v>0.5</v>
      </c>
      <c r="R1141" s="5">
        <f t="shared" si="102"/>
        <v>587.98610958904112</v>
      </c>
      <c r="S1141" s="5">
        <f t="shared" si="103"/>
        <v>42.413301369863007</v>
      </c>
      <c r="T1141" s="5">
        <f t="shared" si="104"/>
        <v>545.57280821917811</v>
      </c>
      <c r="U1141" s="15">
        <f t="shared" si="105"/>
        <v>54</v>
      </c>
      <c r="V1141" s="3">
        <f t="shared" si="106"/>
        <v>498.38650000000007</v>
      </c>
      <c r="W1141" s="3">
        <f t="shared" si="107"/>
        <v>1140</v>
      </c>
    </row>
    <row r="1142" spans="1:23" x14ac:dyDescent="0.2">
      <c r="A1142" t="s">
        <v>156</v>
      </c>
      <c r="B1142" t="s">
        <v>157</v>
      </c>
      <c r="C1142" t="s">
        <v>23</v>
      </c>
      <c r="D1142" t="s">
        <v>66</v>
      </c>
      <c r="E1142" t="s">
        <v>49</v>
      </c>
      <c r="F1142" s="7">
        <v>981924</v>
      </c>
      <c r="G1142" t="s">
        <v>1274</v>
      </c>
      <c r="H1142" s="5">
        <v>20423</v>
      </c>
      <c r="I1142" s="12">
        <v>45794</v>
      </c>
      <c r="J1142" s="15">
        <v>60</v>
      </c>
      <c r="K1142" s="15">
        <v>7</v>
      </c>
      <c r="L1142" s="9">
        <v>0.17169999999999999</v>
      </c>
      <c r="M1142" s="9">
        <v>4.9700000000000001E-2</v>
      </c>
      <c r="N1142" s="15">
        <v>8</v>
      </c>
      <c r="O1142" t="s">
        <v>27</v>
      </c>
      <c r="P1142" t="s">
        <v>28</v>
      </c>
      <c r="Q1142" s="24">
        <v>0.2</v>
      </c>
      <c r="R1142" s="5">
        <f t="shared" si="102"/>
        <v>576.43218082191777</v>
      </c>
      <c r="S1142" s="5">
        <f t="shared" si="103"/>
        <v>22.247081643835617</v>
      </c>
      <c r="T1142" s="5">
        <f t="shared" si="104"/>
        <v>554.18509917808217</v>
      </c>
      <c r="U1142" s="15">
        <f t="shared" si="105"/>
        <v>52</v>
      </c>
      <c r="V1142" s="3">
        <f t="shared" si="106"/>
        <v>498.32120000000003</v>
      </c>
      <c r="W1142" s="3">
        <f t="shared" si="107"/>
        <v>1141</v>
      </c>
    </row>
    <row r="1143" spans="1:23" x14ac:dyDescent="0.2">
      <c r="A1143" t="s">
        <v>297</v>
      </c>
      <c r="B1143" t="s">
        <v>298</v>
      </c>
      <c r="C1143" t="s">
        <v>36</v>
      </c>
      <c r="D1143" t="s">
        <v>24</v>
      </c>
      <c r="E1143" t="s">
        <v>49</v>
      </c>
      <c r="F1143" s="7">
        <v>1249897</v>
      </c>
      <c r="G1143" t="s">
        <v>1568</v>
      </c>
      <c r="H1143" s="5">
        <v>14263</v>
      </c>
      <c r="I1143" s="12">
        <v>45867</v>
      </c>
      <c r="J1143" s="15">
        <v>60</v>
      </c>
      <c r="K1143" s="15">
        <v>5</v>
      </c>
      <c r="L1143" s="9">
        <v>0.1452</v>
      </c>
      <c r="M1143" s="9">
        <v>4.5699999999999998E-2</v>
      </c>
      <c r="N1143" s="15">
        <v>7</v>
      </c>
      <c r="O1143" t="s">
        <v>27</v>
      </c>
      <c r="P1143" t="s">
        <v>28</v>
      </c>
      <c r="Q1143" s="24">
        <v>0.35</v>
      </c>
      <c r="R1143" s="5">
        <f t="shared" si="102"/>
        <v>340.43631780821914</v>
      </c>
      <c r="S1143" s="5">
        <f t="shared" si="103"/>
        <v>12.500640273972602</v>
      </c>
      <c r="T1143" s="5">
        <f t="shared" si="104"/>
        <v>327.93567753424657</v>
      </c>
      <c r="U1143" s="15">
        <f t="shared" si="105"/>
        <v>53</v>
      </c>
      <c r="V1143" s="3">
        <f t="shared" si="106"/>
        <v>496.70897500000001</v>
      </c>
      <c r="W1143" s="3">
        <f t="shared" si="107"/>
        <v>1142</v>
      </c>
    </row>
    <row r="1144" spans="1:23" x14ac:dyDescent="0.2">
      <c r="A1144" t="s">
        <v>139</v>
      </c>
      <c r="B1144" t="s">
        <v>140</v>
      </c>
      <c r="C1144" t="s">
        <v>77</v>
      </c>
      <c r="D1144" t="s">
        <v>24</v>
      </c>
      <c r="E1144" t="s">
        <v>56</v>
      </c>
      <c r="F1144" s="7">
        <v>22396514</v>
      </c>
      <c r="G1144" t="s">
        <v>1753</v>
      </c>
      <c r="H1144" s="5">
        <v>62122</v>
      </c>
      <c r="I1144" s="12">
        <v>45712</v>
      </c>
      <c r="J1144" s="15">
        <v>60</v>
      </c>
      <c r="K1144" s="15">
        <v>7</v>
      </c>
      <c r="L1144" s="9">
        <v>7.5700000000000003E-2</v>
      </c>
      <c r="M1144" s="9">
        <v>5.9799999999999999E-2</v>
      </c>
      <c r="N1144" s="15">
        <v>6</v>
      </c>
      <c r="O1144" t="s">
        <v>27</v>
      </c>
      <c r="P1144" t="s">
        <v>28</v>
      </c>
      <c r="Q1144" s="24">
        <v>0.5</v>
      </c>
      <c r="R1144" s="5">
        <f t="shared" si="102"/>
        <v>773.03595616438349</v>
      </c>
      <c r="S1144" s="5">
        <f t="shared" si="103"/>
        <v>61.066776986301363</v>
      </c>
      <c r="T1144" s="5">
        <f t="shared" si="104"/>
        <v>711.96917917808219</v>
      </c>
      <c r="U1144" s="15">
        <f t="shared" si="105"/>
        <v>54</v>
      </c>
      <c r="V1144" s="3">
        <f t="shared" si="106"/>
        <v>493.86990000000014</v>
      </c>
      <c r="W1144" s="3">
        <f t="shared" si="107"/>
        <v>1143</v>
      </c>
    </row>
    <row r="1145" spans="1:23" x14ac:dyDescent="0.2">
      <c r="A1145" t="s">
        <v>97</v>
      </c>
      <c r="B1145" t="s">
        <v>98</v>
      </c>
      <c r="C1145" t="s">
        <v>41</v>
      </c>
      <c r="D1145" t="s">
        <v>32</v>
      </c>
      <c r="E1145" t="s">
        <v>56</v>
      </c>
      <c r="F1145" s="7">
        <v>19754920</v>
      </c>
      <c r="G1145" t="s">
        <v>743</v>
      </c>
      <c r="H1145" s="5">
        <v>81990</v>
      </c>
      <c r="I1145" s="12">
        <v>46011</v>
      </c>
      <c r="J1145" s="15">
        <v>60</v>
      </c>
      <c r="K1145" s="15">
        <v>5</v>
      </c>
      <c r="L1145" s="9">
        <v>8.1100000000000005E-2</v>
      </c>
      <c r="M1145" s="9">
        <v>5.0999999999999997E-2</v>
      </c>
      <c r="N1145" s="15">
        <v>10</v>
      </c>
      <c r="O1145" t="s">
        <v>27</v>
      </c>
      <c r="P1145" t="s">
        <v>28</v>
      </c>
      <c r="Q1145" s="24">
        <v>0.2</v>
      </c>
      <c r="R1145" s="5">
        <f t="shared" si="102"/>
        <v>1093.0502465753425</v>
      </c>
      <c r="S1145" s="5">
        <f t="shared" si="103"/>
        <v>114.56136986301368</v>
      </c>
      <c r="T1145" s="5">
        <f t="shared" si="104"/>
        <v>978.48887671232887</v>
      </c>
      <c r="U1145" s="15">
        <f t="shared" si="105"/>
        <v>50</v>
      </c>
      <c r="V1145" s="3">
        <f t="shared" si="106"/>
        <v>493.57980000000015</v>
      </c>
      <c r="W1145" s="3">
        <f t="shared" si="107"/>
        <v>1144</v>
      </c>
    </row>
    <row r="1146" spans="1:23" x14ac:dyDescent="0.2">
      <c r="A1146" t="s">
        <v>1057</v>
      </c>
      <c r="B1146" t="s">
        <v>1058</v>
      </c>
      <c r="C1146" t="s">
        <v>23</v>
      </c>
      <c r="D1146" t="s">
        <v>37</v>
      </c>
      <c r="E1146" t="s">
        <v>56</v>
      </c>
      <c r="F1146" s="7">
        <v>13389097</v>
      </c>
      <c r="G1146" t="s">
        <v>1670</v>
      </c>
      <c r="H1146" s="5">
        <v>55871</v>
      </c>
      <c r="I1146" s="12">
        <v>46043</v>
      </c>
      <c r="J1146" s="15">
        <v>60</v>
      </c>
      <c r="K1146" s="15">
        <v>2</v>
      </c>
      <c r="L1146" s="9">
        <v>7.3800000000000004E-2</v>
      </c>
      <c r="M1146" s="9">
        <v>4.87E-2</v>
      </c>
      <c r="N1146" s="15">
        <v>7</v>
      </c>
      <c r="O1146" t="s">
        <v>27</v>
      </c>
      <c r="P1146" t="s">
        <v>28</v>
      </c>
      <c r="Q1146" s="24">
        <v>0.35</v>
      </c>
      <c r="R1146" s="5">
        <f t="shared" si="102"/>
        <v>677.79941917808219</v>
      </c>
      <c r="S1146" s="5">
        <f t="shared" si="103"/>
        <v>52.181983287671237</v>
      </c>
      <c r="T1146" s="5">
        <f t="shared" si="104"/>
        <v>625.617435890411</v>
      </c>
      <c r="U1146" s="15">
        <f t="shared" si="105"/>
        <v>53</v>
      </c>
      <c r="V1146" s="3">
        <f t="shared" si="106"/>
        <v>490.82673500000004</v>
      </c>
      <c r="W1146" s="3">
        <f t="shared" si="107"/>
        <v>1145</v>
      </c>
    </row>
    <row r="1147" spans="1:23" x14ac:dyDescent="0.2">
      <c r="A1147" t="s">
        <v>450</v>
      </c>
      <c r="B1147" t="s">
        <v>76</v>
      </c>
      <c r="C1147" t="s">
        <v>41</v>
      </c>
      <c r="D1147" t="s">
        <v>32</v>
      </c>
      <c r="E1147" t="s">
        <v>56</v>
      </c>
      <c r="F1147" s="7">
        <v>13637712</v>
      </c>
      <c r="G1147" t="s">
        <v>1029</v>
      </c>
      <c r="H1147" s="5">
        <v>14674</v>
      </c>
      <c r="I1147" s="12">
        <v>45708</v>
      </c>
      <c r="J1147" s="15">
        <v>60</v>
      </c>
      <c r="K1147" s="15">
        <v>7</v>
      </c>
      <c r="L1147" s="9">
        <v>8.6999999999999994E-2</v>
      </c>
      <c r="M1147" s="9">
        <v>4.5400000000000003E-2</v>
      </c>
      <c r="N1147" s="15">
        <v>7</v>
      </c>
      <c r="O1147" t="s">
        <v>27</v>
      </c>
      <c r="P1147" t="s">
        <v>28</v>
      </c>
      <c r="Q1147" s="24">
        <v>0.8</v>
      </c>
      <c r="R1147" s="5">
        <f t="shared" si="102"/>
        <v>209.858301369863</v>
      </c>
      <c r="S1147" s="5">
        <f t="shared" si="103"/>
        <v>12.776430684931508</v>
      </c>
      <c r="T1147" s="5">
        <f t="shared" si="104"/>
        <v>197.08187068493149</v>
      </c>
      <c r="U1147" s="15">
        <f t="shared" si="105"/>
        <v>53</v>
      </c>
      <c r="V1147" s="3">
        <f t="shared" si="106"/>
        <v>488.35071999999997</v>
      </c>
      <c r="W1147" s="3">
        <f t="shared" si="107"/>
        <v>1146</v>
      </c>
    </row>
    <row r="1148" spans="1:23" x14ac:dyDescent="0.2">
      <c r="A1148" t="s">
        <v>123</v>
      </c>
      <c r="B1148" t="s">
        <v>124</v>
      </c>
      <c r="C1148" t="s">
        <v>31</v>
      </c>
      <c r="D1148" t="s">
        <v>32</v>
      </c>
      <c r="E1148" t="s">
        <v>25</v>
      </c>
      <c r="F1148" s="7">
        <v>5642255</v>
      </c>
      <c r="G1148" t="s">
        <v>125</v>
      </c>
      <c r="H1148" s="5">
        <v>48512</v>
      </c>
      <c r="I1148" s="12">
        <v>45969</v>
      </c>
      <c r="J1148" s="15">
        <v>60</v>
      </c>
      <c r="K1148" s="15">
        <v>5</v>
      </c>
      <c r="L1148" s="9">
        <v>0.1119</v>
      </c>
      <c r="M1148" s="9">
        <v>6.1899999999999997E-2</v>
      </c>
      <c r="N1148" s="15">
        <v>10</v>
      </c>
      <c r="O1148" t="s">
        <v>27</v>
      </c>
      <c r="P1148" t="s">
        <v>28</v>
      </c>
      <c r="Q1148" s="24">
        <v>0.2</v>
      </c>
      <c r="R1148" s="5">
        <f t="shared" si="102"/>
        <v>892.35498082191771</v>
      </c>
      <c r="S1148" s="5">
        <f t="shared" si="103"/>
        <v>82.27103561643834</v>
      </c>
      <c r="T1148" s="5">
        <f t="shared" si="104"/>
        <v>810.08394520547938</v>
      </c>
      <c r="U1148" s="15">
        <f t="shared" si="105"/>
        <v>50</v>
      </c>
      <c r="V1148" s="3">
        <f t="shared" si="106"/>
        <v>485.12000000000012</v>
      </c>
      <c r="W1148" s="3">
        <f t="shared" si="107"/>
        <v>1147</v>
      </c>
    </row>
    <row r="1149" spans="1:23" x14ac:dyDescent="0.2">
      <c r="A1149" t="s">
        <v>213</v>
      </c>
      <c r="B1149" t="s">
        <v>214</v>
      </c>
      <c r="C1149" t="s">
        <v>77</v>
      </c>
      <c r="D1149" t="s">
        <v>32</v>
      </c>
      <c r="E1149" t="s">
        <v>56</v>
      </c>
      <c r="F1149" s="7">
        <v>22426293</v>
      </c>
      <c r="G1149" t="s">
        <v>853</v>
      </c>
      <c r="H1149" s="5">
        <v>23491</v>
      </c>
      <c r="I1149" s="12">
        <v>45927</v>
      </c>
      <c r="J1149" s="15">
        <v>60</v>
      </c>
      <c r="K1149" s="15">
        <v>10</v>
      </c>
      <c r="L1149" s="9">
        <v>9.8299999999999998E-2</v>
      </c>
      <c r="M1149" s="9">
        <v>5.7099999999999998E-2</v>
      </c>
      <c r="N1149" s="15">
        <v>7</v>
      </c>
      <c r="O1149" t="s">
        <v>27</v>
      </c>
      <c r="P1149" t="s">
        <v>28</v>
      </c>
      <c r="Q1149" s="24">
        <v>0.5</v>
      </c>
      <c r="R1149" s="5">
        <f t="shared" si="102"/>
        <v>379.58881643835616</v>
      </c>
      <c r="S1149" s="5">
        <f t="shared" si="103"/>
        <v>25.724253972602742</v>
      </c>
      <c r="T1149" s="5">
        <f t="shared" si="104"/>
        <v>353.86456246575341</v>
      </c>
      <c r="U1149" s="15">
        <f t="shared" si="105"/>
        <v>53</v>
      </c>
      <c r="V1149" s="3">
        <f t="shared" si="106"/>
        <v>483.91460000000001</v>
      </c>
      <c r="W1149" s="3">
        <f t="shared" si="107"/>
        <v>1148</v>
      </c>
    </row>
    <row r="1150" spans="1:23" x14ac:dyDescent="0.2">
      <c r="A1150" t="s">
        <v>91</v>
      </c>
      <c r="B1150" t="s">
        <v>92</v>
      </c>
      <c r="C1150" t="s">
        <v>36</v>
      </c>
      <c r="D1150" t="s">
        <v>24</v>
      </c>
      <c r="E1150" t="s">
        <v>56</v>
      </c>
      <c r="F1150" s="7">
        <v>15029491</v>
      </c>
      <c r="G1150" t="s">
        <v>1653</v>
      </c>
      <c r="H1150" s="5">
        <v>15988</v>
      </c>
      <c r="I1150" s="12">
        <v>46042</v>
      </c>
      <c r="J1150" s="15">
        <v>90</v>
      </c>
      <c r="K1150" s="15">
        <v>5</v>
      </c>
      <c r="L1150" s="9">
        <v>9.8400000000000001E-2</v>
      </c>
      <c r="M1150" s="9">
        <v>6.4899999999999999E-2</v>
      </c>
      <c r="N1150" s="15">
        <v>8</v>
      </c>
      <c r="O1150" t="s">
        <v>27</v>
      </c>
      <c r="P1150" t="s">
        <v>28</v>
      </c>
      <c r="Q1150" s="24">
        <v>0.9</v>
      </c>
      <c r="R1150" s="5">
        <f t="shared" si="102"/>
        <v>387.91706301369862</v>
      </c>
      <c r="S1150" s="5">
        <f t="shared" si="103"/>
        <v>22.742382465753426</v>
      </c>
      <c r="T1150" s="5">
        <f t="shared" si="104"/>
        <v>365.17468054794517</v>
      </c>
      <c r="U1150" s="15">
        <f t="shared" si="105"/>
        <v>82</v>
      </c>
      <c r="V1150" s="3">
        <f t="shared" si="106"/>
        <v>482.03820000000007</v>
      </c>
      <c r="W1150" s="3">
        <f t="shared" si="107"/>
        <v>1149</v>
      </c>
    </row>
    <row r="1151" spans="1:23" x14ac:dyDescent="0.2">
      <c r="A1151" t="s">
        <v>571</v>
      </c>
      <c r="B1151" t="s">
        <v>214</v>
      </c>
      <c r="C1151" t="s">
        <v>31</v>
      </c>
      <c r="D1151" t="s">
        <v>48</v>
      </c>
      <c r="E1151" t="s">
        <v>25</v>
      </c>
      <c r="F1151" s="7">
        <v>4353599</v>
      </c>
      <c r="G1151" t="s">
        <v>925</v>
      </c>
      <c r="H1151" s="5">
        <v>75185</v>
      </c>
      <c r="I1151" s="12">
        <v>45981</v>
      </c>
      <c r="J1151" s="15">
        <v>45</v>
      </c>
      <c r="K1151" s="15">
        <v>7</v>
      </c>
      <c r="L1151" s="9">
        <v>9.5600000000000004E-2</v>
      </c>
      <c r="M1151" s="9">
        <v>6.3700000000000007E-2</v>
      </c>
      <c r="N1151" s="15">
        <v>7</v>
      </c>
      <c r="O1151" t="s">
        <v>27</v>
      </c>
      <c r="P1151" t="s">
        <v>28</v>
      </c>
      <c r="Q1151" s="24">
        <v>0.2</v>
      </c>
      <c r="R1151" s="5">
        <f t="shared" si="102"/>
        <v>886.15306849315073</v>
      </c>
      <c r="S1151" s="5">
        <f t="shared" si="103"/>
        <v>91.849291780821929</v>
      </c>
      <c r="T1151" s="5">
        <f t="shared" si="104"/>
        <v>794.30377671232884</v>
      </c>
      <c r="U1151" s="15">
        <f t="shared" si="105"/>
        <v>38</v>
      </c>
      <c r="V1151" s="3">
        <f t="shared" si="106"/>
        <v>479.68030000000005</v>
      </c>
      <c r="W1151" s="3">
        <f t="shared" si="107"/>
        <v>1150</v>
      </c>
    </row>
    <row r="1152" spans="1:23" x14ac:dyDescent="0.2">
      <c r="A1152" t="s">
        <v>145</v>
      </c>
      <c r="B1152" t="s">
        <v>146</v>
      </c>
      <c r="C1152" t="s">
        <v>23</v>
      </c>
      <c r="D1152" t="s">
        <v>48</v>
      </c>
      <c r="E1152" t="s">
        <v>25</v>
      </c>
      <c r="F1152" s="7">
        <v>5790128</v>
      </c>
      <c r="G1152" t="s">
        <v>332</v>
      </c>
      <c r="H1152" s="5">
        <v>50669</v>
      </c>
      <c r="I1152" s="12">
        <v>45863</v>
      </c>
      <c r="J1152" s="15">
        <v>60</v>
      </c>
      <c r="K1152" s="15">
        <v>3</v>
      </c>
      <c r="L1152" s="9">
        <v>9.5799999999999996E-2</v>
      </c>
      <c r="M1152" s="9">
        <v>4.8500000000000001E-2</v>
      </c>
      <c r="N1152" s="15">
        <v>8</v>
      </c>
      <c r="O1152" t="s">
        <v>27</v>
      </c>
      <c r="P1152" t="s">
        <v>28</v>
      </c>
      <c r="Q1152" s="24">
        <v>0.2</v>
      </c>
      <c r="R1152" s="5">
        <f t="shared" si="102"/>
        <v>797.93263561643823</v>
      </c>
      <c r="S1152" s="5">
        <f t="shared" si="103"/>
        <v>53.861841095890412</v>
      </c>
      <c r="T1152" s="5">
        <f t="shared" si="104"/>
        <v>744.07079452054779</v>
      </c>
      <c r="U1152" s="15">
        <f t="shared" si="105"/>
        <v>52</v>
      </c>
      <c r="V1152" s="3">
        <f t="shared" si="106"/>
        <v>479.32873999999998</v>
      </c>
      <c r="W1152" s="3">
        <f t="shared" si="107"/>
        <v>1151</v>
      </c>
    </row>
    <row r="1153" spans="1:23" x14ac:dyDescent="0.2">
      <c r="A1153" t="s">
        <v>117</v>
      </c>
      <c r="B1153" t="s">
        <v>118</v>
      </c>
      <c r="C1153" t="s">
        <v>77</v>
      </c>
      <c r="D1153" t="s">
        <v>32</v>
      </c>
      <c r="E1153" t="s">
        <v>25</v>
      </c>
      <c r="F1153" s="7">
        <v>6024640</v>
      </c>
      <c r="G1153" t="s">
        <v>1316</v>
      </c>
      <c r="H1153" s="5">
        <v>29590</v>
      </c>
      <c r="I1153" s="12">
        <v>45939</v>
      </c>
      <c r="J1153" s="15">
        <v>60</v>
      </c>
      <c r="K1153" s="15">
        <v>3</v>
      </c>
      <c r="L1153" s="9">
        <v>0.13769999999999999</v>
      </c>
      <c r="M1153" s="9">
        <v>5.6800000000000003E-2</v>
      </c>
      <c r="N1153" s="15">
        <v>7</v>
      </c>
      <c r="O1153" t="s">
        <v>28</v>
      </c>
      <c r="P1153" t="s">
        <v>28</v>
      </c>
      <c r="Q1153" s="24">
        <v>0.2</v>
      </c>
      <c r="R1153" s="5">
        <f t="shared" si="102"/>
        <v>669.78789041095877</v>
      </c>
      <c r="S1153" s="5">
        <f t="shared" si="103"/>
        <v>32.23283287671233</v>
      </c>
      <c r="T1153" s="5">
        <f t="shared" si="104"/>
        <v>637.55505753424643</v>
      </c>
      <c r="U1153" s="15">
        <f t="shared" si="105"/>
        <v>53</v>
      </c>
      <c r="V1153" s="3">
        <f t="shared" si="106"/>
        <v>478.76619999999991</v>
      </c>
      <c r="W1153" s="3">
        <f t="shared" si="107"/>
        <v>1152</v>
      </c>
    </row>
    <row r="1154" spans="1:23" x14ac:dyDescent="0.2">
      <c r="A1154" t="s">
        <v>97</v>
      </c>
      <c r="B1154" t="s">
        <v>98</v>
      </c>
      <c r="C1154" t="s">
        <v>41</v>
      </c>
      <c r="D1154" t="s">
        <v>32</v>
      </c>
      <c r="E1154" t="s">
        <v>56</v>
      </c>
      <c r="F1154" s="7">
        <v>19754920</v>
      </c>
      <c r="G1154" t="s">
        <v>347</v>
      </c>
      <c r="H1154" s="5">
        <v>82931</v>
      </c>
      <c r="I1154" s="12">
        <v>46050</v>
      </c>
      <c r="J1154" s="15">
        <v>90</v>
      </c>
      <c r="K1154" s="15">
        <v>2</v>
      </c>
      <c r="L1154" s="9">
        <v>8.1100000000000005E-2</v>
      </c>
      <c r="M1154" s="9">
        <v>6.4699999999999994E-2</v>
      </c>
      <c r="N1154" s="15">
        <v>8</v>
      </c>
      <c r="O1154" t="s">
        <v>28</v>
      </c>
      <c r="P1154" t="s">
        <v>28</v>
      </c>
      <c r="Q1154" s="24">
        <v>0.35</v>
      </c>
      <c r="R1154" s="5">
        <f t="shared" ref="R1154:R1217" si="108">H1154*L1154*(J1154/365)</f>
        <v>1658.3927917808221</v>
      </c>
      <c r="S1154" s="5">
        <f t="shared" ref="S1154:S1217" si="109">H1154*M1154*(N1154/365)</f>
        <v>117.60297424657534</v>
      </c>
      <c r="T1154" s="5">
        <f t="shared" ref="T1154:T1217" si="110">R1154-S1154</f>
        <v>1540.7898175342468</v>
      </c>
      <c r="U1154" s="15">
        <f t="shared" ref="U1154:U1217" si="111">J1154-N1154</f>
        <v>82</v>
      </c>
      <c r="V1154" s="3">
        <f t="shared" ref="V1154:V1217" si="112">Q1154*(L1154-M1154)*H1154</f>
        <v>476.02394000000032</v>
      </c>
      <c r="W1154" s="3">
        <f t="shared" ref="W1154:W1217" si="113">RANK(V1154,$V$2:$V$1501)</f>
        <v>1153</v>
      </c>
    </row>
    <row r="1155" spans="1:23" x14ac:dyDescent="0.2">
      <c r="A1155" t="s">
        <v>34</v>
      </c>
      <c r="B1155" t="s">
        <v>35</v>
      </c>
      <c r="C1155" t="s">
        <v>36</v>
      </c>
      <c r="D1155" t="s">
        <v>37</v>
      </c>
      <c r="E1155" t="s">
        <v>25</v>
      </c>
      <c r="F1155" s="7">
        <v>3714458</v>
      </c>
      <c r="G1155" t="s">
        <v>931</v>
      </c>
      <c r="H1155" s="5">
        <v>39745</v>
      </c>
      <c r="I1155" s="12">
        <v>45676</v>
      </c>
      <c r="J1155" s="15">
        <v>60</v>
      </c>
      <c r="K1155" s="15">
        <v>10</v>
      </c>
      <c r="L1155" s="9">
        <v>0.1153</v>
      </c>
      <c r="M1155" s="9">
        <v>5.5500000000000001E-2</v>
      </c>
      <c r="N1155" s="15">
        <v>10</v>
      </c>
      <c r="O1155" t="s">
        <v>28</v>
      </c>
      <c r="P1155" t="s">
        <v>28</v>
      </c>
      <c r="Q1155" s="24">
        <v>0.2</v>
      </c>
      <c r="R1155" s="5">
        <f t="shared" si="108"/>
        <v>753.30386301369856</v>
      </c>
      <c r="S1155" s="5">
        <f t="shared" si="109"/>
        <v>60.434178082191771</v>
      </c>
      <c r="T1155" s="5">
        <f t="shared" si="110"/>
        <v>692.86968493150675</v>
      </c>
      <c r="U1155" s="15">
        <f t="shared" si="111"/>
        <v>50</v>
      </c>
      <c r="V1155" s="3">
        <f t="shared" si="112"/>
        <v>475.35020000000003</v>
      </c>
      <c r="W1155" s="3">
        <f t="shared" si="113"/>
        <v>1154</v>
      </c>
    </row>
    <row r="1156" spans="1:23" x14ac:dyDescent="0.2">
      <c r="A1156" t="s">
        <v>477</v>
      </c>
      <c r="B1156" t="s">
        <v>274</v>
      </c>
      <c r="C1156" t="s">
        <v>31</v>
      </c>
      <c r="D1156" t="s">
        <v>32</v>
      </c>
      <c r="E1156" t="s">
        <v>25</v>
      </c>
      <c r="F1156" s="7">
        <v>6247387</v>
      </c>
      <c r="G1156" t="s">
        <v>1744</v>
      </c>
      <c r="H1156" s="5">
        <v>35878</v>
      </c>
      <c r="I1156" s="12">
        <v>46047</v>
      </c>
      <c r="J1156" s="15">
        <v>60</v>
      </c>
      <c r="K1156" s="15">
        <v>4</v>
      </c>
      <c r="L1156" s="9">
        <v>0.12909999999999999</v>
      </c>
      <c r="M1156" s="9">
        <v>6.2899999999999998E-2</v>
      </c>
      <c r="N1156" s="15">
        <v>10</v>
      </c>
      <c r="O1156" t="s">
        <v>27</v>
      </c>
      <c r="P1156" t="s">
        <v>28</v>
      </c>
      <c r="Q1156" s="24">
        <v>0.2</v>
      </c>
      <c r="R1156" s="5">
        <f t="shared" si="108"/>
        <v>761.39996712328764</v>
      </c>
      <c r="S1156" s="5">
        <f t="shared" si="109"/>
        <v>61.828115068493148</v>
      </c>
      <c r="T1156" s="5">
        <f t="shared" si="110"/>
        <v>699.57185205479448</v>
      </c>
      <c r="U1156" s="15">
        <f t="shared" si="111"/>
        <v>50</v>
      </c>
      <c r="V1156" s="3">
        <f t="shared" si="112"/>
        <v>475.02472</v>
      </c>
      <c r="W1156" s="3">
        <f t="shared" si="113"/>
        <v>1155</v>
      </c>
    </row>
    <row r="1157" spans="1:23" x14ac:dyDescent="0.2">
      <c r="A1157" t="s">
        <v>429</v>
      </c>
      <c r="B1157" t="s">
        <v>430</v>
      </c>
      <c r="C1157" t="s">
        <v>41</v>
      </c>
      <c r="D1157" t="s">
        <v>48</v>
      </c>
      <c r="E1157" t="s">
        <v>56</v>
      </c>
      <c r="F1157" s="7">
        <v>22445214</v>
      </c>
      <c r="G1157" t="s">
        <v>557</v>
      </c>
      <c r="H1157" s="5">
        <v>65645</v>
      </c>
      <c r="I1157" s="12">
        <v>45707</v>
      </c>
      <c r="J1157" s="15">
        <v>60</v>
      </c>
      <c r="K1157" s="15">
        <v>10</v>
      </c>
      <c r="L1157" s="9">
        <v>8.4000000000000005E-2</v>
      </c>
      <c r="M1157" s="9">
        <v>6.3500000000000001E-2</v>
      </c>
      <c r="N1157" s="15">
        <v>10</v>
      </c>
      <c r="O1157" t="s">
        <v>27</v>
      </c>
      <c r="P1157" t="s">
        <v>28</v>
      </c>
      <c r="Q1157" s="24">
        <v>0.35</v>
      </c>
      <c r="R1157" s="5">
        <f t="shared" si="108"/>
        <v>906.44054794520548</v>
      </c>
      <c r="S1157" s="5">
        <f t="shared" si="109"/>
        <v>114.20431506849316</v>
      </c>
      <c r="T1157" s="5">
        <f t="shared" si="110"/>
        <v>792.23623287671228</v>
      </c>
      <c r="U1157" s="15">
        <f t="shared" si="111"/>
        <v>50</v>
      </c>
      <c r="V1157" s="3">
        <f t="shared" si="112"/>
        <v>471.00287500000007</v>
      </c>
      <c r="W1157" s="3">
        <f t="shared" si="113"/>
        <v>1156</v>
      </c>
    </row>
    <row r="1158" spans="1:23" x14ac:dyDescent="0.2">
      <c r="A1158" t="s">
        <v>392</v>
      </c>
      <c r="B1158" t="s">
        <v>393</v>
      </c>
      <c r="C1158" t="s">
        <v>23</v>
      </c>
      <c r="D1158" t="s">
        <v>32</v>
      </c>
      <c r="E1158" t="s">
        <v>56</v>
      </c>
      <c r="F1158" s="7">
        <v>13101534</v>
      </c>
      <c r="G1158" t="s">
        <v>529</v>
      </c>
      <c r="H1158" s="5">
        <v>17596</v>
      </c>
      <c r="I1158" s="12">
        <v>45673</v>
      </c>
      <c r="J1158" s="15">
        <v>90</v>
      </c>
      <c r="K1158" s="15">
        <v>2</v>
      </c>
      <c r="L1158" s="9">
        <v>8.9499999999999996E-2</v>
      </c>
      <c r="M1158" s="9">
        <v>4.8399999999999999E-2</v>
      </c>
      <c r="N1158" s="15">
        <v>10</v>
      </c>
      <c r="O1158" t="s">
        <v>27</v>
      </c>
      <c r="P1158" t="s">
        <v>28</v>
      </c>
      <c r="Q1158" s="24">
        <v>0.65</v>
      </c>
      <c r="R1158" s="5">
        <f t="shared" si="108"/>
        <v>388.31720547945201</v>
      </c>
      <c r="S1158" s="5">
        <f t="shared" si="109"/>
        <v>23.33277808219178</v>
      </c>
      <c r="T1158" s="5">
        <f t="shared" si="110"/>
        <v>364.98442739726022</v>
      </c>
      <c r="U1158" s="15">
        <f t="shared" si="111"/>
        <v>80</v>
      </c>
      <c r="V1158" s="3">
        <f t="shared" si="112"/>
        <v>470.07713999999999</v>
      </c>
      <c r="W1158" s="3">
        <f t="shared" si="113"/>
        <v>1157</v>
      </c>
    </row>
    <row r="1159" spans="1:23" x14ac:dyDescent="0.2">
      <c r="A1159" t="s">
        <v>174</v>
      </c>
      <c r="B1159" t="s">
        <v>175</v>
      </c>
      <c r="C1159" t="s">
        <v>41</v>
      </c>
      <c r="D1159" t="s">
        <v>37</v>
      </c>
      <c r="E1159" t="s">
        <v>49</v>
      </c>
      <c r="F1159" s="7">
        <v>1267987</v>
      </c>
      <c r="G1159" t="s">
        <v>1756</v>
      </c>
      <c r="H1159" s="5">
        <v>19355</v>
      </c>
      <c r="I1159" s="12">
        <v>46041</v>
      </c>
      <c r="J1159" s="15">
        <v>60</v>
      </c>
      <c r="K1159" s="15">
        <v>4</v>
      </c>
      <c r="L1159" s="9">
        <v>0.125</v>
      </c>
      <c r="M1159" s="9">
        <v>5.5800000000000002E-2</v>
      </c>
      <c r="N1159" s="15">
        <v>8</v>
      </c>
      <c r="O1159" t="s">
        <v>27</v>
      </c>
      <c r="P1159" t="s">
        <v>28</v>
      </c>
      <c r="Q1159" s="24">
        <v>0.35</v>
      </c>
      <c r="R1159" s="5">
        <f t="shared" si="108"/>
        <v>397.70547945205476</v>
      </c>
      <c r="S1159" s="5">
        <f t="shared" si="109"/>
        <v>23.671430136986302</v>
      </c>
      <c r="T1159" s="5">
        <f t="shared" si="110"/>
        <v>374.03404931506844</v>
      </c>
      <c r="U1159" s="15">
        <f t="shared" si="111"/>
        <v>52</v>
      </c>
      <c r="V1159" s="3">
        <f t="shared" si="112"/>
        <v>468.77809999999999</v>
      </c>
      <c r="W1159" s="3">
        <f t="shared" si="113"/>
        <v>1158</v>
      </c>
    </row>
    <row r="1160" spans="1:23" x14ac:dyDescent="0.2">
      <c r="A1160" t="s">
        <v>213</v>
      </c>
      <c r="B1160" t="s">
        <v>214</v>
      </c>
      <c r="C1160" t="s">
        <v>77</v>
      </c>
      <c r="D1160" t="s">
        <v>32</v>
      </c>
      <c r="E1160" t="s">
        <v>56</v>
      </c>
      <c r="F1160" s="7">
        <v>22426293</v>
      </c>
      <c r="G1160" t="s">
        <v>215</v>
      </c>
      <c r="H1160" s="5">
        <v>30191</v>
      </c>
      <c r="I1160" s="12">
        <v>45734</v>
      </c>
      <c r="J1160" s="15">
        <v>60</v>
      </c>
      <c r="K1160" s="15">
        <v>5</v>
      </c>
      <c r="L1160" s="9">
        <v>9.8299999999999998E-2</v>
      </c>
      <c r="M1160" s="9">
        <v>5.3999999999999999E-2</v>
      </c>
      <c r="N1160" s="15">
        <v>5</v>
      </c>
      <c r="O1160" t="s">
        <v>27</v>
      </c>
      <c r="P1160" t="s">
        <v>28</v>
      </c>
      <c r="Q1160" s="24">
        <v>0.35</v>
      </c>
      <c r="R1160" s="5">
        <f t="shared" si="108"/>
        <v>487.85347397260267</v>
      </c>
      <c r="S1160" s="5">
        <f t="shared" si="109"/>
        <v>22.333068493150684</v>
      </c>
      <c r="T1160" s="5">
        <f t="shared" si="110"/>
        <v>465.52040547945199</v>
      </c>
      <c r="U1160" s="15">
        <f t="shared" si="111"/>
        <v>55</v>
      </c>
      <c r="V1160" s="3">
        <f t="shared" si="112"/>
        <v>468.11145499999992</v>
      </c>
      <c r="W1160" s="3">
        <f t="shared" si="113"/>
        <v>1159</v>
      </c>
    </row>
    <row r="1161" spans="1:23" x14ac:dyDescent="0.2">
      <c r="A1161" t="s">
        <v>468</v>
      </c>
      <c r="B1161" t="s">
        <v>412</v>
      </c>
      <c r="C1161" t="s">
        <v>41</v>
      </c>
      <c r="D1161" t="s">
        <v>48</v>
      </c>
      <c r="E1161" t="s">
        <v>49</v>
      </c>
      <c r="F1161" s="7">
        <v>1406086</v>
      </c>
      <c r="G1161" t="s">
        <v>870</v>
      </c>
      <c r="H1161" s="5">
        <v>14946</v>
      </c>
      <c r="I1161" s="12">
        <v>45930</v>
      </c>
      <c r="J1161" s="15">
        <v>60</v>
      </c>
      <c r="K1161" s="15">
        <v>4</v>
      </c>
      <c r="L1161" s="9">
        <v>0.1201</v>
      </c>
      <c r="M1161" s="9">
        <v>5.7799999999999997E-2</v>
      </c>
      <c r="N1161" s="15">
        <v>6</v>
      </c>
      <c r="O1161" t="s">
        <v>27</v>
      </c>
      <c r="P1161" t="s">
        <v>28</v>
      </c>
      <c r="Q1161" s="24">
        <v>0.5</v>
      </c>
      <c r="R1161" s="5">
        <f t="shared" si="108"/>
        <v>295.07089315068492</v>
      </c>
      <c r="S1161" s="5">
        <f t="shared" si="109"/>
        <v>14.200747397260272</v>
      </c>
      <c r="T1161" s="5">
        <f t="shared" si="110"/>
        <v>280.87014575342465</v>
      </c>
      <c r="U1161" s="15">
        <f t="shared" si="111"/>
        <v>54</v>
      </c>
      <c r="V1161" s="3">
        <f t="shared" si="112"/>
        <v>465.56790000000001</v>
      </c>
      <c r="W1161" s="3">
        <f t="shared" si="113"/>
        <v>1160</v>
      </c>
    </row>
    <row r="1162" spans="1:23" x14ac:dyDescent="0.2">
      <c r="A1162" t="s">
        <v>325</v>
      </c>
      <c r="B1162" t="s">
        <v>326</v>
      </c>
      <c r="C1162" t="s">
        <v>36</v>
      </c>
      <c r="D1162" t="s">
        <v>48</v>
      </c>
      <c r="E1162" t="s">
        <v>49</v>
      </c>
      <c r="F1162" s="7">
        <v>467236</v>
      </c>
      <c r="G1162" t="s">
        <v>327</v>
      </c>
      <c r="H1162" s="5">
        <v>19754</v>
      </c>
      <c r="I1162" s="12">
        <v>45747</v>
      </c>
      <c r="J1162" s="15">
        <v>90</v>
      </c>
      <c r="K1162" s="15">
        <v>2</v>
      </c>
      <c r="L1162" s="9">
        <v>0.1757</v>
      </c>
      <c r="M1162" s="9">
        <v>5.8000000000000003E-2</v>
      </c>
      <c r="N1162" s="15">
        <v>6</v>
      </c>
      <c r="O1162" t="s">
        <v>27</v>
      </c>
      <c r="P1162" t="s">
        <v>28</v>
      </c>
      <c r="Q1162" s="24">
        <v>0.2</v>
      </c>
      <c r="R1162" s="5">
        <f t="shared" si="108"/>
        <v>855.8082246575342</v>
      </c>
      <c r="S1162" s="5">
        <f t="shared" si="109"/>
        <v>18.833950684931505</v>
      </c>
      <c r="T1162" s="5">
        <f t="shared" si="110"/>
        <v>836.97427397260265</v>
      </c>
      <c r="U1162" s="15">
        <f t="shared" si="111"/>
        <v>84</v>
      </c>
      <c r="V1162" s="3">
        <f t="shared" si="112"/>
        <v>465.00916000000007</v>
      </c>
      <c r="W1162" s="3">
        <f t="shared" si="113"/>
        <v>1161</v>
      </c>
    </row>
    <row r="1163" spans="1:23" x14ac:dyDescent="0.2">
      <c r="A1163" t="s">
        <v>58</v>
      </c>
      <c r="B1163" t="s">
        <v>59</v>
      </c>
      <c r="C1163" t="s">
        <v>23</v>
      </c>
      <c r="D1163" t="s">
        <v>24</v>
      </c>
      <c r="E1163" t="s">
        <v>25</v>
      </c>
      <c r="F1163" s="7">
        <v>4269919</v>
      </c>
      <c r="G1163" t="s">
        <v>349</v>
      </c>
      <c r="H1163" s="5">
        <v>22518</v>
      </c>
      <c r="I1163" s="12">
        <v>45933</v>
      </c>
      <c r="J1163" s="15">
        <v>60</v>
      </c>
      <c r="K1163" s="15">
        <v>10</v>
      </c>
      <c r="L1163" s="9">
        <v>0.1212</v>
      </c>
      <c r="M1163" s="9">
        <v>6.25E-2</v>
      </c>
      <c r="N1163" s="15">
        <v>6</v>
      </c>
      <c r="O1163" t="s">
        <v>27</v>
      </c>
      <c r="P1163" t="s">
        <v>28</v>
      </c>
      <c r="Q1163" s="24">
        <v>0.35</v>
      </c>
      <c r="R1163" s="5">
        <f t="shared" si="108"/>
        <v>448.63259178082188</v>
      </c>
      <c r="S1163" s="5">
        <f t="shared" si="109"/>
        <v>23.134931506849313</v>
      </c>
      <c r="T1163" s="5">
        <f t="shared" si="110"/>
        <v>425.49766027397254</v>
      </c>
      <c r="U1163" s="15">
        <f t="shared" si="111"/>
        <v>54</v>
      </c>
      <c r="V1163" s="3">
        <f t="shared" si="112"/>
        <v>462.63231000000002</v>
      </c>
      <c r="W1163" s="3">
        <f t="shared" si="113"/>
        <v>1162</v>
      </c>
    </row>
    <row r="1164" spans="1:23" x14ac:dyDescent="0.2">
      <c r="A1164" t="s">
        <v>319</v>
      </c>
      <c r="B1164" t="s">
        <v>320</v>
      </c>
      <c r="C1164" t="s">
        <v>41</v>
      </c>
      <c r="D1164" t="s">
        <v>37</v>
      </c>
      <c r="E1164" t="s">
        <v>56</v>
      </c>
      <c r="F1164" s="7">
        <v>23937545</v>
      </c>
      <c r="G1164" t="s">
        <v>945</v>
      </c>
      <c r="H1164" s="5">
        <v>55816</v>
      </c>
      <c r="I1164" s="12">
        <v>45906</v>
      </c>
      <c r="J1164" s="15">
        <v>60</v>
      </c>
      <c r="K1164" s="15">
        <v>5</v>
      </c>
      <c r="L1164" s="9">
        <v>8.7099999999999997E-2</v>
      </c>
      <c r="M1164" s="9">
        <v>4.5900000000000003E-2</v>
      </c>
      <c r="N1164" s="15">
        <v>5</v>
      </c>
      <c r="O1164" t="s">
        <v>27</v>
      </c>
      <c r="P1164" t="s">
        <v>28</v>
      </c>
      <c r="Q1164" s="24">
        <v>0.2</v>
      </c>
      <c r="R1164" s="5">
        <f t="shared" si="108"/>
        <v>799.16278356164378</v>
      </c>
      <c r="S1164" s="5">
        <f t="shared" si="109"/>
        <v>35.095265753424655</v>
      </c>
      <c r="T1164" s="5">
        <f t="shared" si="110"/>
        <v>764.06751780821912</v>
      </c>
      <c r="U1164" s="15">
        <f t="shared" si="111"/>
        <v>55</v>
      </c>
      <c r="V1164" s="3">
        <f t="shared" si="112"/>
        <v>459.92383999999993</v>
      </c>
      <c r="W1164" s="3">
        <f t="shared" si="113"/>
        <v>1163</v>
      </c>
    </row>
    <row r="1165" spans="1:23" x14ac:dyDescent="0.2">
      <c r="A1165" t="s">
        <v>513</v>
      </c>
      <c r="B1165" t="s">
        <v>245</v>
      </c>
      <c r="C1165" t="s">
        <v>36</v>
      </c>
      <c r="D1165" t="s">
        <v>66</v>
      </c>
      <c r="E1165" t="s">
        <v>25</v>
      </c>
      <c r="F1165" s="7">
        <v>1884403</v>
      </c>
      <c r="G1165" t="s">
        <v>999</v>
      </c>
      <c r="H1165" s="5">
        <v>22013</v>
      </c>
      <c r="I1165" s="12">
        <v>46076</v>
      </c>
      <c r="J1165" s="15">
        <v>45</v>
      </c>
      <c r="K1165" s="15">
        <v>3</v>
      </c>
      <c r="L1165" s="9">
        <v>0.1231</v>
      </c>
      <c r="M1165" s="9">
        <v>6.3500000000000001E-2</v>
      </c>
      <c r="N1165" s="15">
        <v>8</v>
      </c>
      <c r="O1165" t="s">
        <v>27</v>
      </c>
      <c r="P1165" t="s">
        <v>28</v>
      </c>
      <c r="Q1165" s="24">
        <v>0.35</v>
      </c>
      <c r="R1165" s="5">
        <f t="shared" si="108"/>
        <v>334.08496849315065</v>
      </c>
      <c r="S1165" s="5">
        <f t="shared" si="109"/>
        <v>30.63727123287671</v>
      </c>
      <c r="T1165" s="5">
        <f t="shared" si="110"/>
        <v>303.44769726027397</v>
      </c>
      <c r="U1165" s="15">
        <f t="shared" si="111"/>
        <v>37</v>
      </c>
      <c r="V1165" s="3">
        <f t="shared" si="112"/>
        <v>459.19117999999997</v>
      </c>
      <c r="W1165" s="3">
        <f t="shared" si="113"/>
        <v>1164</v>
      </c>
    </row>
    <row r="1166" spans="1:23" x14ac:dyDescent="0.2">
      <c r="A1166" t="s">
        <v>319</v>
      </c>
      <c r="B1166" t="s">
        <v>320</v>
      </c>
      <c r="C1166" t="s">
        <v>41</v>
      </c>
      <c r="D1166" t="s">
        <v>37</v>
      </c>
      <c r="E1166" t="s">
        <v>56</v>
      </c>
      <c r="F1166" s="7">
        <v>23937545</v>
      </c>
      <c r="G1166" t="s">
        <v>1480</v>
      </c>
      <c r="H1166" s="5">
        <v>39849</v>
      </c>
      <c r="I1166" s="12">
        <v>46074</v>
      </c>
      <c r="J1166" s="15">
        <v>30</v>
      </c>
      <c r="K1166" s="15">
        <v>3</v>
      </c>
      <c r="L1166" s="9">
        <v>8.7099999999999997E-2</v>
      </c>
      <c r="M1166" s="9">
        <v>5.4399999999999997E-2</v>
      </c>
      <c r="N1166" s="15">
        <v>8</v>
      </c>
      <c r="O1166" t="s">
        <v>28</v>
      </c>
      <c r="P1166" t="s">
        <v>28</v>
      </c>
      <c r="Q1166" s="24">
        <v>0.35</v>
      </c>
      <c r="R1166" s="5">
        <f t="shared" si="108"/>
        <v>285.27516986301367</v>
      </c>
      <c r="S1166" s="5">
        <f t="shared" si="109"/>
        <v>47.513109041095888</v>
      </c>
      <c r="T1166" s="5">
        <f t="shared" si="110"/>
        <v>237.76206082191777</v>
      </c>
      <c r="U1166" s="15">
        <f t="shared" si="111"/>
        <v>22</v>
      </c>
      <c r="V1166" s="3">
        <f t="shared" si="112"/>
        <v>456.07180499999993</v>
      </c>
      <c r="W1166" s="3">
        <f t="shared" si="113"/>
        <v>1165</v>
      </c>
    </row>
    <row r="1167" spans="1:23" x14ac:dyDescent="0.2">
      <c r="A1167" t="s">
        <v>193</v>
      </c>
      <c r="B1167" t="s">
        <v>194</v>
      </c>
      <c r="C1167" t="s">
        <v>31</v>
      </c>
      <c r="D1167" t="s">
        <v>66</v>
      </c>
      <c r="E1167" t="s">
        <v>49</v>
      </c>
      <c r="F1167" s="7">
        <v>764840</v>
      </c>
      <c r="G1167" t="s">
        <v>512</v>
      </c>
      <c r="H1167" s="5">
        <v>12191</v>
      </c>
      <c r="I1167" s="12">
        <v>45872</v>
      </c>
      <c r="J1167" s="15">
        <v>60</v>
      </c>
      <c r="K1167" s="15">
        <v>5</v>
      </c>
      <c r="L1167" s="9">
        <v>0.16819999999999999</v>
      </c>
      <c r="M1167" s="9">
        <v>6.2E-2</v>
      </c>
      <c r="N1167" s="15">
        <v>7</v>
      </c>
      <c r="O1167" t="s">
        <v>28</v>
      </c>
      <c r="P1167" t="s">
        <v>28</v>
      </c>
      <c r="Q1167" s="24">
        <v>0.35</v>
      </c>
      <c r="R1167" s="5">
        <f t="shared" si="108"/>
        <v>337.07279999999997</v>
      </c>
      <c r="S1167" s="5">
        <f t="shared" si="109"/>
        <v>14.4956</v>
      </c>
      <c r="T1167" s="5">
        <f t="shared" si="110"/>
        <v>322.57719999999995</v>
      </c>
      <c r="U1167" s="15">
        <f t="shared" si="111"/>
        <v>53</v>
      </c>
      <c r="V1167" s="3">
        <f t="shared" si="112"/>
        <v>453.13946999999996</v>
      </c>
      <c r="W1167" s="3">
        <f t="shared" si="113"/>
        <v>1166</v>
      </c>
    </row>
    <row r="1168" spans="1:23" x14ac:dyDescent="0.2">
      <c r="A1168" t="s">
        <v>142</v>
      </c>
      <c r="B1168" t="s">
        <v>143</v>
      </c>
      <c r="C1168" t="s">
        <v>36</v>
      </c>
      <c r="D1168" t="s">
        <v>66</v>
      </c>
      <c r="E1168" t="s">
        <v>49</v>
      </c>
      <c r="F1168" s="7">
        <v>735440</v>
      </c>
      <c r="G1168" t="s">
        <v>1017</v>
      </c>
      <c r="H1168" s="5">
        <v>28015</v>
      </c>
      <c r="I1168" s="12">
        <v>45913</v>
      </c>
      <c r="J1168" s="15">
        <v>45</v>
      </c>
      <c r="K1168" s="15">
        <v>5</v>
      </c>
      <c r="L1168" s="9">
        <v>0.13020000000000001</v>
      </c>
      <c r="M1168" s="9">
        <v>4.9599999999999998E-2</v>
      </c>
      <c r="N1168" s="15">
        <v>6</v>
      </c>
      <c r="O1168" t="s">
        <v>28</v>
      </c>
      <c r="P1168" t="s">
        <v>28</v>
      </c>
      <c r="Q1168" s="24">
        <v>0.2</v>
      </c>
      <c r="R1168" s="5">
        <f t="shared" si="108"/>
        <v>449.69831506849317</v>
      </c>
      <c r="S1168" s="5">
        <f t="shared" si="109"/>
        <v>22.841819178082186</v>
      </c>
      <c r="T1168" s="5">
        <f t="shared" si="110"/>
        <v>426.856495890411</v>
      </c>
      <c r="U1168" s="15">
        <f t="shared" si="111"/>
        <v>39</v>
      </c>
      <c r="V1168" s="3">
        <f t="shared" si="112"/>
        <v>451.60180000000008</v>
      </c>
      <c r="W1168" s="3">
        <f t="shared" si="113"/>
        <v>1167</v>
      </c>
    </row>
    <row r="1169" spans="1:23" x14ac:dyDescent="0.2">
      <c r="A1169" t="s">
        <v>139</v>
      </c>
      <c r="B1169" t="s">
        <v>140</v>
      </c>
      <c r="C1169" t="s">
        <v>77</v>
      </c>
      <c r="D1169" t="s">
        <v>24</v>
      </c>
      <c r="E1169" t="s">
        <v>56</v>
      </c>
      <c r="F1169" s="7">
        <v>22396514</v>
      </c>
      <c r="G1169" t="s">
        <v>1774</v>
      </c>
      <c r="H1169" s="5">
        <v>38952</v>
      </c>
      <c r="I1169" s="12">
        <v>46028</v>
      </c>
      <c r="J1169" s="15">
        <v>60</v>
      </c>
      <c r="K1169" s="15">
        <v>7</v>
      </c>
      <c r="L1169" s="9">
        <v>7.5700000000000003E-2</v>
      </c>
      <c r="M1169" s="9">
        <v>6.13E-2</v>
      </c>
      <c r="N1169" s="15">
        <v>5</v>
      </c>
      <c r="O1169" t="s">
        <v>27</v>
      </c>
      <c r="P1169" t="s">
        <v>28</v>
      </c>
      <c r="Q1169" s="24">
        <v>0.8</v>
      </c>
      <c r="R1169" s="5">
        <f t="shared" si="108"/>
        <v>484.71228493150682</v>
      </c>
      <c r="S1169" s="5">
        <f t="shared" si="109"/>
        <v>32.709008219178081</v>
      </c>
      <c r="T1169" s="5">
        <f t="shared" si="110"/>
        <v>452.00327671232873</v>
      </c>
      <c r="U1169" s="15">
        <f t="shared" si="111"/>
        <v>55</v>
      </c>
      <c r="V1169" s="3">
        <f t="shared" si="112"/>
        <v>448.7270400000001</v>
      </c>
      <c r="W1169" s="3">
        <f t="shared" si="113"/>
        <v>1168</v>
      </c>
    </row>
    <row r="1170" spans="1:23" x14ac:dyDescent="0.2">
      <c r="A1170" t="s">
        <v>203</v>
      </c>
      <c r="B1170" t="s">
        <v>204</v>
      </c>
      <c r="C1170" t="s">
        <v>23</v>
      </c>
      <c r="D1170" t="s">
        <v>24</v>
      </c>
      <c r="E1170" t="s">
        <v>25</v>
      </c>
      <c r="F1170" s="7">
        <v>1716971</v>
      </c>
      <c r="G1170" t="s">
        <v>1322</v>
      </c>
      <c r="H1170" s="5">
        <v>13292</v>
      </c>
      <c r="I1170" s="12">
        <v>46030</v>
      </c>
      <c r="J1170" s="15">
        <v>30</v>
      </c>
      <c r="K1170" s="15">
        <v>3</v>
      </c>
      <c r="L1170" s="9">
        <v>9.4600000000000004E-2</v>
      </c>
      <c r="M1170" s="9">
        <v>5.2600000000000001E-2</v>
      </c>
      <c r="N1170" s="15">
        <v>5</v>
      </c>
      <c r="O1170" t="s">
        <v>27</v>
      </c>
      <c r="P1170" t="s">
        <v>28</v>
      </c>
      <c r="Q1170" s="24">
        <v>0.8</v>
      </c>
      <c r="R1170" s="5">
        <f t="shared" si="108"/>
        <v>103.34985205479451</v>
      </c>
      <c r="S1170" s="5">
        <f t="shared" si="109"/>
        <v>9.5775232876712337</v>
      </c>
      <c r="T1170" s="5">
        <f t="shared" si="110"/>
        <v>93.77232876712327</v>
      </c>
      <c r="U1170" s="15">
        <f t="shared" si="111"/>
        <v>25</v>
      </c>
      <c r="V1170" s="3">
        <f t="shared" si="112"/>
        <v>446.61120000000005</v>
      </c>
      <c r="W1170" s="3">
        <f t="shared" si="113"/>
        <v>1169</v>
      </c>
    </row>
    <row r="1171" spans="1:23" x14ac:dyDescent="0.2">
      <c r="A1171" t="s">
        <v>139</v>
      </c>
      <c r="B1171" t="s">
        <v>140</v>
      </c>
      <c r="C1171" t="s">
        <v>77</v>
      </c>
      <c r="D1171" t="s">
        <v>24</v>
      </c>
      <c r="E1171" t="s">
        <v>56</v>
      </c>
      <c r="F1171" s="7">
        <v>22396514</v>
      </c>
      <c r="G1171" t="s">
        <v>875</v>
      </c>
      <c r="H1171" s="5">
        <v>90134</v>
      </c>
      <c r="I1171" s="12">
        <v>46023</v>
      </c>
      <c r="J1171" s="15">
        <v>90</v>
      </c>
      <c r="K1171" s="15">
        <v>10</v>
      </c>
      <c r="L1171" s="9">
        <v>7.5700000000000003E-2</v>
      </c>
      <c r="M1171" s="9">
        <v>6.1699999999999998E-2</v>
      </c>
      <c r="N1171" s="15">
        <v>8</v>
      </c>
      <c r="O1171" t="s">
        <v>27</v>
      </c>
      <c r="P1171" t="s">
        <v>28</v>
      </c>
      <c r="Q1171" s="24">
        <v>0.35</v>
      </c>
      <c r="R1171" s="5">
        <f t="shared" si="108"/>
        <v>1682.4190191780822</v>
      </c>
      <c r="S1171" s="5">
        <f t="shared" si="109"/>
        <v>121.89080109589041</v>
      </c>
      <c r="T1171" s="5">
        <f t="shared" si="110"/>
        <v>1560.5282180821919</v>
      </c>
      <c r="U1171" s="15">
        <f t="shared" si="111"/>
        <v>82</v>
      </c>
      <c r="V1171" s="3">
        <f t="shared" si="112"/>
        <v>441.65660000000014</v>
      </c>
      <c r="W1171" s="3">
        <f t="shared" si="113"/>
        <v>1170</v>
      </c>
    </row>
    <row r="1172" spans="1:23" x14ac:dyDescent="0.2">
      <c r="A1172" t="s">
        <v>120</v>
      </c>
      <c r="B1172" t="s">
        <v>121</v>
      </c>
      <c r="C1172" t="s">
        <v>31</v>
      </c>
      <c r="D1172" t="s">
        <v>48</v>
      </c>
      <c r="E1172" t="s">
        <v>56</v>
      </c>
      <c r="F1172" s="7">
        <v>14943587</v>
      </c>
      <c r="G1172" t="s">
        <v>122</v>
      </c>
      <c r="H1172" s="5">
        <v>39884</v>
      </c>
      <c r="I1172" s="12">
        <v>46048</v>
      </c>
      <c r="J1172" s="15">
        <v>45</v>
      </c>
      <c r="K1172" s="15">
        <v>5</v>
      </c>
      <c r="L1172" s="9">
        <v>0.1046</v>
      </c>
      <c r="M1172" s="9">
        <v>4.9500000000000002E-2</v>
      </c>
      <c r="N1172" s="15">
        <v>5</v>
      </c>
      <c r="O1172" t="s">
        <v>27</v>
      </c>
      <c r="P1172" t="s">
        <v>28</v>
      </c>
      <c r="Q1172" s="24">
        <v>0.2</v>
      </c>
      <c r="R1172" s="5">
        <f t="shared" si="108"/>
        <v>514.33969315068487</v>
      </c>
      <c r="S1172" s="5">
        <f t="shared" si="109"/>
        <v>27.044630136986299</v>
      </c>
      <c r="T1172" s="5">
        <f t="shared" si="110"/>
        <v>487.29506301369855</v>
      </c>
      <c r="U1172" s="15">
        <f t="shared" si="111"/>
        <v>40</v>
      </c>
      <c r="V1172" s="3">
        <f t="shared" si="112"/>
        <v>439.52168</v>
      </c>
      <c r="W1172" s="3">
        <f t="shared" si="113"/>
        <v>1171</v>
      </c>
    </row>
    <row r="1173" spans="1:23" x14ac:dyDescent="0.2">
      <c r="A1173" t="s">
        <v>91</v>
      </c>
      <c r="B1173" t="s">
        <v>92</v>
      </c>
      <c r="C1173" t="s">
        <v>36</v>
      </c>
      <c r="D1173" t="s">
        <v>24</v>
      </c>
      <c r="E1173" t="s">
        <v>56</v>
      </c>
      <c r="F1173" s="7">
        <v>15029491</v>
      </c>
      <c r="G1173" t="s">
        <v>1197</v>
      </c>
      <c r="H1173" s="5">
        <v>26544</v>
      </c>
      <c r="I1173" s="12">
        <v>45927</v>
      </c>
      <c r="J1173" s="15">
        <v>60</v>
      </c>
      <c r="K1173" s="15">
        <v>3</v>
      </c>
      <c r="L1173" s="9">
        <v>9.8400000000000001E-2</v>
      </c>
      <c r="M1173" s="9">
        <v>5.11E-2</v>
      </c>
      <c r="N1173" s="15">
        <v>6</v>
      </c>
      <c r="O1173" t="s">
        <v>27</v>
      </c>
      <c r="P1173" t="s">
        <v>28</v>
      </c>
      <c r="Q1173" s="24">
        <v>0.35</v>
      </c>
      <c r="R1173" s="5">
        <f t="shared" si="108"/>
        <v>429.35829041095889</v>
      </c>
      <c r="S1173" s="5">
        <f t="shared" si="109"/>
        <v>22.296959999999999</v>
      </c>
      <c r="T1173" s="5">
        <f t="shared" si="110"/>
        <v>407.06133041095887</v>
      </c>
      <c r="U1173" s="15">
        <f t="shared" si="111"/>
        <v>54</v>
      </c>
      <c r="V1173" s="3">
        <f t="shared" si="112"/>
        <v>439.43592000000001</v>
      </c>
      <c r="W1173" s="3">
        <f t="shared" si="113"/>
        <v>1172</v>
      </c>
    </row>
    <row r="1174" spans="1:23" x14ac:dyDescent="0.2">
      <c r="A1174" t="s">
        <v>314</v>
      </c>
      <c r="B1174" t="s">
        <v>211</v>
      </c>
      <c r="C1174" t="s">
        <v>36</v>
      </c>
      <c r="D1174" t="s">
        <v>66</v>
      </c>
      <c r="E1174" t="s">
        <v>56</v>
      </c>
      <c r="F1174" s="7">
        <v>16270036</v>
      </c>
      <c r="G1174" t="s">
        <v>1707</v>
      </c>
      <c r="H1174" s="5">
        <v>15068</v>
      </c>
      <c r="I1174" s="12">
        <v>45725</v>
      </c>
      <c r="J1174" s="15">
        <v>60</v>
      </c>
      <c r="K1174" s="15">
        <v>4</v>
      </c>
      <c r="L1174" s="9">
        <v>9.2200000000000004E-2</v>
      </c>
      <c r="M1174" s="9">
        <v>5.6099999999999997E-2</v>
      </c>
      <c r="N1174" s="15">
        <v>8</v>
      </c>
      <c r="O1174" t="s">
        <v>27</v>
      </c>
      <c r="P1174" t="s">
        <v>28</v>
      </c>
      <c r="Q1174" s="24">
        <v>0.8</v>
      </c>
      <c r="R1174" s="5">
        <f t="shared" si="108"/>
        <v>228.37308493150684</v>
      </c>
      <c r="S1174" s="5">
        <f t="shared" si="109"/>
        <v>18.527447671232878</v>
      </c>
      <c r="T1174" s="5">
        <f t="shared" si="110"/>
        <v>209.84563726027397</v>
      </c>
      <c r="U1174" s="15">
        <f t="shared" si="111"/>
        <v>52</v>
      </c>
      <c r="V1174" s="3">
        <f t="shared" si="112"/>
        <v>435.16384000000011</v>
      </c>
      <c r="W1174" s="3">
        <f t="shared" si="113"/>
        <v>1173</v>
      </c>
    </row>
    <row r="1175" spans="1:23" x14ac:dyDescent="0.2">
      <c r="A1175" t="s">
        <v>396</v>
      </c>
      <c r="B1175" t="s">
        <v>397</v>
      </c>
      <c r="C1175" t="s">
        <v>77</v>
      </c>
      <c r="D1175" t="s">
        <v>66</v>
      </c>
      <c r="E1175" t="s">
        <v>49</v>
      </c>
      <c r="F1175" s="7">
        <v>1043844</v>
      </c>
      <c r="G1175" t="s">
        <v>1698</v>
      </c>
      <c r="H1175" s="5">
        <v>37119</v>
      </c>
      <c r="I1175" s="12">
        <v>45849</v>
      </c>
      <c r="J1175" s="15">
        <v>60</v>
      </c>
      <c r="K1175" s="15">
        <v>4</v>
      </c>
      <c r="L1175" s="9">
        <v>0.11550000000000001</v>
      </c>
      <c r="M1175" s="9">
        <v>5.7299999999999997E-2</v>
      </c>
      <c r="N1175" s="15">
        <v>10</v>
      </c>
      <c r="O1175" t="s">
        <v>27</v>
      </c>
      <c r="P1175" t="s">
        <v>28</v>
      </c>
      <c r="Q1175" s="24">
        <v>0.2</v>
      </c>
      <c r="R1175" s="5">
        <f t="shared" si="108"/>
        <v>704.7525205479451</v>
      </c>
      <c r="S1175" s="5">
        <f t="shared" si="109"/>
        <v>58.271745205479441</v>
      </c>
      <c r="T1175" s="5">
        <f t="shared" si="110"/>
        <v>646.48077534246568</v>
      </c>
      <c r="U1175" s="15">
        <f t="shared" si="111"/>
        <v>50</v>
      </c>
      <c r="V1175" s="3">
        <f t="shared" si="112"/>
        <v>432.06516000000011</v>
      </c>
      <c r="W1175" s="3">
        <f t="shared" si="113"/>
        <v>1174</v>
      </c>
    </row>
    <row r="1176" spans="1:23" x14ac:dyDescent="0.2">
      <c r="A1176" t="s">
        <v>226</v>
      </c>
      <c r="B1176" t="s">
        <v>59</v>
      </c>
      <c r="C1176" t="s">
        <v>77</v>
      </c>
      <c r="D1176" t="s">
        <v>66</v>
      </c>
      <c r="E1176" t="s">
        <v>25</v>
      </c>
      <c r="F1176" s="7">
        <v>3501061</v>
      </c>
      <c r="G1176" t="s">
        <v>956</v>
      </c>
      <c r="H1176" s="5">
        <v>24844</v>
      </c>
      <c r="I1176" s="12">
        <v>45725</v>
      </c>
      <c r="J1176" s="15">
        <v>60</v>
      </c>
      <c r="K1176" s="15">
        <v>3</v>
      </c>
      <c r="L1176" s="9">
        <v>9.6299999999999997E-2</v>
      </c>
      <c r="M1176" s="9">
        <v>4.6699999999999998E-2</v>
      </c>
      <c r="N1176" s="15">
        <v>5</v>
      </c>
      <c r="O1176" t="s">
        <v>27</v>
      </c>
      <c r="P1176" t="s">
        <v>28</v>
      </c>
      <c r="Q1176" s="24">
        <v>0.35</v>
      </c>
      <c r="R1176" s="5">
        <f t="shared" si="108"/>
        <v>393.2839232876712</v>
      </c>
      <c r="S1176" s="5">
        <f t="shared" si="109"/>
        <v>15.893353424657533</v>
      </c>
      <c r="T1176" s="5">
        <f t="shared" si="110"/>
        <v>377.39056986301364</v>
      </c>
      <c r="U1176" s="15">
        <f t="shared" si="111"/>
        <v>55</v>
      </c>
      <c r="V1176" s="3">
        <f t="shared" si="112"/>
        <v>431.29183999999992</v>
      </c>
      <c r="W1176" s="3">
        <f t="shared" si="113"/>
        <v>1175</v>
      </c>
    </row>
    <row r="1177" spans="1:23" x14ac:dyDescent="0.2">
      <c r="A1177" t="s">
        <v>160</v>
      </c>
      <c r="B1177" t="s">
        <v>161</v>
      </c>
      <c r="C1177" t="s">
        <v>23</v>
      </c>
      <c r="D1177" t="s">
        <v>66</v>
      </c>
      <c r="E1177" t="s">
        <v>56</v>
      </c>
      <c r="F1177" s="7">
        <v>8479307</v>
      </c>
      <c r="G1177" t="s">
        <v>162</v>
      </c>
      <c r="H1177" s="5">
        <v>35218</v>
      </c>
      <c r="I1177" s="12">
        <v>45987</v>
      </c>
      <c r="J1177" s="15">
        <v>90</v>
      </c>
      <c r="K1177" s="15">
        <v>10</v>
      </c>
      <c r="L1177" s="9">
        <v>7.0099999999999996E-2</v>
      </c>
      <c r="M1177" s="9">
        <v>5.4899999999999997E-2</v>
      </c>
      <c r="N1177" s="15">
        <v>10</v>
      </c>
      <c r="O1177" t="s">
        <v>27</v>
      </c>
      <c r="P1177" t="s">
        <v>28</v>
      </c>
      <c r="Q1177" s="24">
        <v>0.8</v>
      </c>
      <c r="R1177" s="5">
        <f t="shared" si="108"/>
        <v>608.74071780821907</v>
      </c>
      <c r="S1177" s="5">
        <f t="shared" si="109"/>
        <v>52.971731506849309</v>
      </c>
      <c r="T1177" s="5">
        <f t="shared" si="110"/>
        <v>555.76898630136975</v>
      </c>
      <c r="U1177" s="15">
        <f t="shared" si="111"/>
        <v>80</v>
      </c>
      <c r="V1177" s="3">
        <f t="shared" si="112"/>
        <v>428.25087999999994</v>
      </c>
      <c r="W1177" s="3">
        <f t="shared" si="113"/>
        <v>1176</v>
      </c>
    </row>
    <row r="1178" spans="1:23" x14ac:dyDescent="0.2">
      <c r="A1178" t="s">
        <v>602</v>
      </c>
      <c r="B1178" t="s">
        <v>367</v>
      </c>
      <c r="C1178" t="s">
        <v>41</v>
      </c>
      <c r="D1178" t="s">
        <v>66</v>
      </c>
      <c r="E1178" t="s">
        <v>56</v>
      </c>
      <c r="F1178" s="7">
        <v>9703738</v>
      </c>
      <c r="G1178" t="s">
        <v>1003</v>
      </c>
      <c r="H1178" s="5">
        <v>98479</v>
      </c>
      <c r="I1178" s="12">
        <v>46044</v>
      </c>
      <c r="J1178" s="15">
        <v>60</v>
      </c>
      <c r="K1178" s="15">
        <v>2</v>
      </c>
      <c r="L1178" s="9">
        <v>7.5499999999999998E-2</v>
      </c>
      <c r="M1178" s="9">
        <v>5.4399999999999997E-2</v>
      </c>
      <c r="N1178" s="15">
        <v>7</v>
      </c>
      <c r="O1178" t="s">
        <v>28</v>
      </c>
      <c r="P1178" t="s">
        <v>28</v>
      </c>
      <c r="Q1178" s="24">
        <v>0.2</v>
      </c>
      <c r="R1178" s="5">
        <f t="shared" si="108"/>
        <v>1222.2188219178081</v>
      </c>
      <c r="S1178" s="5">
        <f t="shared" si="109"/>
        <v>102.74192657534248</v>
      </c>
      <c r="T1178" s="5">
        <f t="shared" si="110"/>
        <v>1119.4768953424657</v>
      </c>
      <c r="U1178" s="15">
        <f t="shared" si="111"/>
        <v>53</v>
      </c>
      <c r="V1178" s="3">
        <f t="shared" si="112"/>
        <v>415.58138000000008</v>
      </c>
      <c r="W1178" s="3">
        <f t="shared" si="113"/>
        <v>1177</v>
      </c>
    </row>
    <row r="1179" spans="1:23" x14ac:dyDescent="0.2">
      <c r="A1179" t="s">
        <v>386</v>
      </c>
      <c r="B1179" t="s">
        <v>387</v>
      </c>
      <c r="C1179" t="s">
        <v>31</v>
      </c>
      <c r="D1179" t="s">
        <v>37</v>
      </c>
      <c r="E1179" t="s">
        <v>25</v>
      </c>
      <c r="F1179" s="7">
        <v>5617789</v>
      </c>
      <c r="G1179" t="s">
        <v>1167</v>
      </c>
      <c r="H1179" s="5">
        <v>13227</v>
      </c>
      <c r="I1179" s="12">
        <v>45813</v>
      </c>
      <c r="J1179" s="15">
        <v>45</v>
      </c>
      <c r="K1179" s="15">
        <v>2</v>
      </c>
      <c r="L1179" s="9">
        <v>9.5100000000000004E-2</v>
      </c>
      <c r="M1179" s="9">
        <v>6.0199999999999997E-2</v>
      </c>
      <c r="N1179" s="15">
        <v>7</v>
      </c>
      <c r="O1179" t="s">
        <v>28</v>
      </c>
      <c r="P1179" t="s">
        <v>28</v>
      </c>
      <c r="Q1179" s="24">
        <v>0.9</v>
      </c>
      <c r="R1179" s="5">
        <f t="shared" si="108"/>
        <v>155.08204520547943</v>
      </c>
      <c r="S1179" s="5">
        <f t="shared" si="109"/>
        <v>15.270843287671234</v>
      </c>
      <c r="T1179" s="5">
        <f t="shared" si="110"/>
        <v>139.81120191780821</v>
      </c>
      <c r="U1179" s="15">
        <f t="shared" si="111"/>
        <v>38</v>
      </c>
      <c r="V1179" s="3">
        <f t="shared" si="112"/>
        <v>415.46007000000009</v>
      </c>
      <c r="W1179" s="3">
        <f t="shared" si="113"/>
        <v>1178</v>
      </c>
    </row>
    <row r="1180" spans="1:23" x14ac:dyDescent="0.2">
      <c r="A1180" t="s">
        <v>226</v>
      </c>
      <c r="B1180" t="s">
        <v>59</v>
      </c>
      <c r="C1180" t="s">
        <v>77</v>
      </c>
      <c r="D1180" t="s">
        <v>66</v>
      </c>
      <c r="E1180" t="s">
        <v>25</v>
      </c>
      <c r="F1180" s="7">
        <v>3501061</v>
      </c>
      <c r="G1180" t="s">
        <v>1743</v>
      </c>
      <c r="H1180" s="5">
        <v>46629</v>
      </c>
      <c r="I1180" s="12">
        <v>46045</v>
      </c>
      <c r="J1180" s="15">
        <v>90</v>
      </c>
      <c r="K1180" s="15">
        <v>3</v>
      </c>
      <c r="L1180" s="9">
        <v>9.6299999999999997E-2</v>
      </c>
      <c r="M1180" s="9">
        <v>5.1799999999999999E-2</v>
      </c>
      <c r="N1180" s="15">
        <v>10</v>
      </c>
      <c r="O1180" t="s">
        <v>27</v>
      </c>
      <c r="P1180" t="s">
        <v>28</v>
      </c>
      <c r="Q1180" s="24">
        <v>0.2</v>
      </c>
      <c r="R1180" s="5">
        <f t="shared" si="108"/>
        <v>1107.2151863013698</v>
      </c>
      <c r="S1180" s="5">
        <f t="shared" si="109"/>
        <v>66.174854794520542</v>
      </c>
      <c r="T1180" s="5">
        <f t="shared" si="110"/>
        <v>1041.0403315068493</v>
      </c>
      <c r="U1180" s="15">
        <f t="shared" si="111"/>
        <v>80</v>
      </c>
      <c r="V1180" s="3">
        <f t="shared" si="112"/>
        <v>414.99810000000002</v>
      </c>
      <c r="W1180" s="3">
        <f t="shared" si="113"/>
        <v>1179</v>
      </c>
    </row>
    <row r="1181" spans="1:23" x14ac:dyDescent="0.2">
      <c r="A1181" t="s">
        <v>450</v>
      </c>
      <c r="B1181" t="s">
        <v>76</v>
      </c>
      <c r="C1181" t="s">
        <v>41</v>
      </c>
      <c r="D1181" t="s">
        <v>32</v>
      </c>
      <c r="E1181" t="s">
        <v>56</v>
      </c>
      <c r="F1181" s="7">
        <v>13637712</v>
      </c>
      <c r="G1181" t="s">
        <v>1133</v>
      </c>
      <c r="H1181" s="5">
        <v>30346</v>
      </c>
      <c r="I1181" s="12">
        <v>45890</v>
      </c>
      <c r="J1181" s="15">
        <v>60</v>
      </c>
      <c r="K1181" s="15">
        <v>7</v>
      </c>
      <c r="L1181" s="9">
        <v>8.6999999999999994E-2</v>
      </c>
      <c r="M1181" s="9">
        <v>5.9799999999999999E-2</v>
      </c>
      <c r="N1181" s="15">
        <v>5</v>
      </c>
      <c r="O1181" t="s">
        <v>27</v>
      </c>
      <c r="P1181" t="s">
        <v>28</v>
      </c>
      <c r="Q1181" s="24">
        <v>0.5</v>
      </c>
      <c r="R1181" s="5">
        <f t="shared" si="108"/>
        <v>433.98936986301368</v>
      </c>
      <c r="S1181" s="5">
        <f t="shared" si="109"/>
        <v>24.85877808219178</v>
      </c>
      <c r="T1181" s="5">
        <f t="shared" si="110"/>
        <v>409.13059178082187</v>
      </c>
      <c r="U1181" s="15">
        <f t="shared" si="111"/>
        <v>55</v>
      </c>
      <c r="V1181" s="3">
        <f t="shared" si="112"/>
        <v>412.70559999999995</v>
      </c>
      <c r="W1181" s="3">
        <f t="shared" si="113"/>
        <v>1180</v>
      </c>
    </row>
    <row r="1182" spans="1:23" x14ac:dyDescent="0.2">
      <c r="A1182" t="s">
        <v>197</v>
      </c>
      <c r="B1182" t="s">
        <v>198</v>
      </c>
      <c r="C1182" t="s">
        <v>23</v>
      </c>
      <c r="D1182" t="s">
        <v>48</v>
      </c>
      <c r="E1182" t="s">
        <v>56</v>
      </c>
      <c r="F1182" s="7">
        <v>13513506</v>
      </c>
      <c r="G1182" t="s">
        <v>1626</v>
      </c>
      <c r="H1182" s="5">
        <v>71279</v>
      </c>
      <c r="I1182" s="12">
        <v>45987</v>
      </c>
      <c r="J1182" s="15">
        <v>45</v>
      </c>
      <c r="K1182" s="15">
        <v>2</v>
      </c>
      <c r="L1182" s="9">
        <v>8.1799999999999998E-2</v>
      </c>
      <c r="M1182" s="9">
        <v>5.2900000000000003E-2</v>
      </c>
      <c r="N1182" s="15">
        <v>6</v>
      </c>
      <c r="O1182" t="s">
        <v>27</v>
      </c>
      <c r="P1182" t="s">
        <v>28</v>
      </c>
      <c r="Q1182" s="24">
        <v>0.2</v>
      </c>
      <c r="R1182" s="5">
        <f t="shared" si="108"/>
        <v>718.84383287671221</v>
      </c>
      <c r="S1182" s="5">
        <f t="shared" si="109"/>
        <v>61.983437260273973</v>
      </c>
      <c r="T1182" s="5">
        <f t="shared" si="110"/>
        <v>656.86039561643827</v>
      </c>
      <c r="U1182" s="15">
        <f t="shared" si="111"/>
        <v>39</v>
      </c>
      <c r="V1182" s="3">
        <f t="shared" si="112"/>
        <v>411.99261999999999</v>
      </c>
      <c r="W1182" s="3">
        <f t="shared" si="113"/>
        <v>1181</v>
      </c>
    </row>
    <row r="1183" spans="1:23" x14ac:dyDescent="0.2">
      <c r="A1183" t="s">
        <v>123</v>
      </c>
      <c r="B1183" t="s">
        <v>124</v>
      </c>
      <c r="C1183" t="s">
        <v>31</v>
      </c>
      <c r="D1183" t="s">
        <v>32</v>
      </c>
      <c r="E1183" t="s">
        <v>25</v>
      </c>
      <c r="F1183" s="7">
        <v>5642255</v>
      </c>
      <c r="G1183" t="s">
        <v>686</v>
      </c>
      <c r="H1183" s="5">
        <v>16804</v>
      </c>
      <c r="I1183" s="12">
        <v>45858</v>
      </c>
      <c r="J1183" s="15">
        <v>60</v>
      </c>
      <c r="K1183" s="15">
        <v>7</v>
      </c>
      <c r="L1183" s="9">
        <v>0.1119</v>
      </c>
      <c r="M1183" s="9">
        <v>6.2899999999999998E-2</v>
      </c>
      <c r="N1183" s="15">
        <v>10</v>
      </c>
      <c r="O1183" t="s">
        <v>27</v>
      </c>
      <c r="P1183" t="s">
        <v>28</v>
      </c>
      <c r="Q1183" s="24">
        <v>0.5</v>
      </c>
      <c r="R1183" s="5">
        <f t="shared" si="108"/>
        <v>309.10152328767123</v>
      </c>
      <c r="S1183" s="5">
        <f t="shared" si="109"/>
        <v>28.958126027397256</v>
      </c>
      <c r="T1183" s="5">
        <f t="shared" si="110"/>
        <v>280.14339726027396</v>
      </c>
      <c r="U1183" s="15">
        <f t="shared" si="111"/>
        <v>50</v>
      </c>
      <c r="V1183" s="3">
        <f t="shared" si="112"/>
        <v>411.69800000000004</v>
      </c>
      <c r="W1183" s="3">
        <f t="shared" si="113"/>
        <v>1182</v>
      </c>
    </row>
    <row r="1184" spans="1:23" x14ac:dyDescent="0.2">
      <c r="A1184" t="s">
        <v>608</v>
      </c>
      <c r="B1184" t="s">
        <v>609</v>
      </c>
      <c r="C1184" t="s">
        <v>77</v>
      </c>
      <c r="D1184" t="s">
        <v>48</v>
      </c>
      <c r="E1184" t="s">
        <v>56</v>
      </c>
      <c r="F1184" s="7">
        <v>24905394</v>
      </c>
      <c r="G1184" t="s">
        <v>610</v>
      </c>
      <c r="H1184" s="5">
        <v>28899</v>
      </c>
      <c r="I1184" s="12">
        <v>45891</v>
      </c>
      <c r="J1184" s="15">
        <v>45</v>
      </c>
      <c r="K1184" s="15">
        <v>7</v>
      </c>
      <c r="L1184" s="9">
        <v>8.5199999999999998E-2</v>
      </c>
      <c r="M1184" s="9">
        <v>5.6800000000000003E-2</v>
      </c>
      <c r="N1184" s="15">
        <v>6</v>
      </c>
      <c r="O1184" t="s">
        <v>28</v>
      </c>
      <c r="P1184" t="s">
        <v>28</v>
      </c>
      <c r="Q1184" s="24">
        <v>0.5</v>
      </c>
      <c r="R1184" s="5">
        <f t="shared" si="108"/>
        <v>303.55826301369859</v>
      </c>
      <c r="S1184" s="5">
        <f t="shared" si="109"/>
        <v>26.982956712328768</v>
      </c>
      <c r="T1184" s="5">
        <f t="shared" si="110"/>
        <v>276.57530630136984</v>
      </c>
      <c r="U1184" s="15">
        <f t="shared" si="111"/>
        <v>39</v>
      </c>
      <c r="V1184" s="3">
        <f t="shared" si="112"/>
        <v>410.36579999999992</v>
      </c>
      <c r="W1184" s="3">
        <f t="shared" si="113"/>
        <v>1183</v>
      </c>
    </row>
    <row r="1185" spans="1:23" x14ac:dyDescent="0.2">
      <c r="A1185" t="s">
        <v>355</v>
      </c>
      <c r="B1185" t="s">
        <v>356</v>
      </c>
      <c r="C1185" t="s">
        <v>23</v>
      </c>
      <c r="D1185" t="s">
        <v>66</v>
      </c>
      <c r="E1185" t="s">
        <v>25</v>
      </c>
      <c r="F1185" s="7">
        <v>2561855</v>
      </c>
      <c r="G1185" t="s">
        <v>357</v>
      </c>
      <c r="H1185" s="5">
        <v>43544</v>
      </c>
      <c r="I1185" s="12">
        <v>45783</v>
      </c>
      <c r="J1185" s="15">
        <v>45</v>
      </c>
      <c r="K1185" s="15">
        <v>2</v>
      </c>
      <c r="L1185" s="9">
        <v>0.1037</v>
      </c>
      <c r="M1185" s="9">
        <v>5.6899999999999999E-2</v>
      </c>
      <c r="N1185" s="15">
        <v>8</v>
      </c>
      <c r="O1185" t="s">
        <v>27</v>
      </c>
      <c r="P1185" t="s">
        <v>28</v>
      </c>
      <c r="Q1185" s="24">
        <v>0.2</v>
      </c>
      <c r="R1185" s="5">
        <f t="shared" si="108"/>
        <v>556.70705753424659</v>
      </c>
      <c r="S1185" s="5">
        <f t="shared" si="109"/>
        <v>54.304736438356166</v>
      </c>
      <c r="T1185" s="5">
        <f t="shared" si="110"/>
        <v>502.40232109589044</v>
      </c>
      <c r="U1185" s="15">
        <f t="shared" si="111"/>
        <v>37</v>
      </c>
      <c r="V1185" s="3">
        <f t="shared" si="112"/>
        <v>407.57184000000001</v>
      </c>
      <c r="W1185" s="3">
        <f t="shared" si="113"/>
        <v>1184</v>
      </c>
    </row>
    <row r="1186" spans="1:23" x14ac:dyDescent="0.2">
      <c r="A1186" t="s">
        <v>85</v>
      </c>
      <c r="B1186" t="s">
        <v>86</v>
      </c>
      <c r="C1186" t="s">
        <v>36</v>
      </c>
      <c r="D1186" t="s">
        <v>37</v>
      </c>
      <c r="E1186" t="s">
        <v>25</v>
      </c>
      <c r="F1186" s="7">
        <v>1954421</v>
      </c>
      <c r="G1186" t="s">
        <v>1194</v>
      </c>
      <c r="H1186" s="5">
        <v>27098</v>
      </c>
      <c r="I1186" s="12">
        <v>45759</v>
      </c>
      <c r="J1186" s="15">
        <v>45</v>
      </c>
      <c r="K1186" s="15">
        <v>5</v>
      </c>
      <c r="L1186" s="9">
        <v>0.1237</v>
      </c>
      <c r="M1186" s="9">
        <v>4.8899999999999999E-2</v>
      </c>
      <c r="N1186" s="15">
        <v>10</v>
      </c>
      <c r="O1186" t="s">
        <v>27</v>
      </c>
      <c r="P1186" t="s">
        <v>28</v>
      </c>
      <c r="Q1186" s="24">
        <v>0.2</v>
      </c>
      <c r="R1186" s="5">
        <f t="shared" si="108"/>
        <v>413.2630602739726</v>
      </c>
      <c r="S1186" s="5">
        <f t="shared" si="109"/>
        <v>36.303895890410956</v>
      </c>
      <c r="T1186" s="5">
        <f t="shared" si="110"/>
        <v>376.95916438356164</v>
      </c>
      <c r="U1186" s="15">
        <f t="shared" si="111"/>
        <v>35</v>
      </c>
      <c r="V1186" s="3">
        <f t="shared" si="112"/>
        <v>405.38608000000005</v>
      </c>
      <c r="W1186" s="3">
        <f t="shared" si="113"/>
        <v>1185</v>
      </c>
    </row>
    <row r="1187" spans="1:23" x14ac:dyDescent="0.2">
      <c r="A1187" t="s">
        <v>450</v>
      </c>
      <c r="B1187" t="s">
        <v>76</v>
      </c>
      <c r="C1187" t="s">
        <v>41</v>
      </c>
      <c r="D1187" t="s">
        <v>32</v>
      </c>
      <c r="E1187" t="s">
        <v>56</v>
      </c>
      <c r="F1187" s="7">
        <v>13637712</v>
      </c>
      <c r="G1187" t="s">
        <v>451</v>
      </c>
      <c r="H1187" s="5">
        <v>30070</v>
      </c>
      <c r="I1187" s="12">
        <v>45942</v>
      </c>
      <c r="J1187" s="15">
        <v>60</v>
      </c>
      <c r="K1187" s="15">
        <v>5</v>
      </c>
      <c r="L1187" s="9">
        <v>8.6999999999999994E-2</v>
      </c>
      <c r="M1187" s="9">
        <v>4.87E-2</v>
      </c>
      <c r="N1187" s="15">
        <v>10</v>
      </c>
      <c r="O1187" t="s">
        <v>27</v>
      </c>
      <c r="P1187" t="s">
        <v>28</v>
      </c>
      <c r="Q1187" s="24">
        <v>0.35</v>
      </c>
      <c r="R1187" s="5">
        <f t="shared" si="108"/>
        <v>430.04219178082184</v>
      </c>
      <c r="S1187" s="5">
        <f t="shared" si="109"/>
        <v>40.120794520547946</v>
      </c>
      <c r="T1187" s="5">
        <f t="shared" si="110"/>
        <v>389.92139726027392</v>
      </c>
      <c r="U1187" s="15">
        <f t="shared" si="111"/>
        <v>50</v>
      </c>
      <c r="V1187" s="3">
        <f t="shared" si="112"/>
        <v>403.08834999999988</v>
      </c>
      <c r="W1187" s="3">
        <f t="shared" si="113"/>
        <v>1186</v>
      </c>
    </row>
    <row r="1188" spans="1:23" x14ac:dyDescent="0.2">
      <c r="A1188" t="s">
        <v>179</v>
      </c>
      <c r="B1188" t="s">
        <v>180</v>
      </c>
      <c r="C1188" t="s">
        <v>36</v>
      </c>
      <c r="D1188" t="s">
        <v>48</v>
      </c>
      <c r="E1188" t="s">
        <v>25</v>
      </c>
      <c r="F1188" s="7">
        <v>6074867</v>
      </c>
      <c r="G1188" t="s">
        <v>181</v>
      </c>
      <c r="H1188" s="5">
        <v>18863</v>
      </c>
      <c r="I1188" s="12">
        <v>45787</v>
      </c>
      <c r="J1188" s="15">
        <v>60</v>
      </c>
      <c r="K1188" s="15">
        <v>10</v>
      </c>
      <c r="L1188" s="9">
        <v>9.4299999999999995E-2</v>
      </c>
      <c r="M1188" s="9">
        <v>5.1700000000000003E-2</v>
      </c>
      <c r="N1188" s="15">
        <v>7</v>
      </c>
      <c r="O1188" t="s">
        <v>28</v>
      </c>
      <c r="P1188" t="s">
        <v>28</v>
      </c>
      <c r="Q1188" s="24">
        <v>0.5</v>
      </c>
      <c r="R1188" s="5">
        <f t="shared" si="108"/>
        <v>292.40233972602738</v>
      </c>
      <c r="S1188" s="5">
        <f t="shared" si="109"/>
        <v>18.702793698630138</v>
      </c>
      <c r="T1188" s="5">
        <f t="shared" si="110"/>
        <v>273.69954602739722</v>
      </c>
      <c r="U1188" s="15">
        <f t="shared" si="111"/>
        <v>53</v>
      </c>
      <c r="V1188" s="3">
        <f t="shared" si="112"/>
        <v>401.78189999999995</v>
      </c>
      <c r="W1188" s="3">
        <f t="shared" si="113"/>
        <v>1187</v>
      </c>
    </row>
    <row r="1189" spans="1:23" x14ac:dyDescent="0.2">
      <c r="A1189" t="s">
        <v>571</v>
      </c>
      <c r="B1189" t="s">
        <v>214</v>
      </c>
      <c r="C1189" t="s">
        <v>31</v>
      </c>
      <c r="D1189" t="s">
        <v>48</v>
      </c>
      <c r="E1189" t="s">
        <v>25</v>
      </c>
      <c r="F1189" s="7">
        <v>4353599</v>
      </c>
      <c r="G1189" t="s">
        <v>907</v>
      </c>
      <c r="H1189" s="5">
        <v>32204</v>
      </c>
      <c r="I1189" s="12">
        <v>45765</v>
      </c>
      <c r="J1189" s="15">
        <v>60</v>
      </c>
      <c r="K1189" s="15">
        <v>5</v>
      </c>
      <c r="L1189" s="9">
        <v>9.5600000000000004E-2</v>
      </c>
      <c r="M1189" s="9">
        <v>6.0400000000000002E-2</v>
      </c>
      <c r="N1189" s="15">
        <v>6</v>
      </c>
      <c r="O1189" t="s">
        <v>27</v>
      </c>
      <c r="P1189" t="s">
        <v>28</v>
      </c>
      <c r="Q1189" s="24">
        <v>0.35</v>
      </c>
      <c r="R1189" s="5">
        <f t="shared" si="108"/>
        <v>506.08806575342464</v>
      </c>
      <c r="S1189" s="5">
        <f t="shared" si="109"/>
        <v>31.974601643835616</v>
      </c>
      <c r="T1189" s="5">
        <f t="shared" si="110"/>
        <v>474.11346410958902</v>
      </c>
      <c r="U1189" s="15">
        <f t="shared" si="111"/>
        <v>54</v>
      </c>
      <c r="V1189" s="3">
        <f t="shared" si="112"/>
        <v>396.75327999999996</v>
      </c>
      <c r="W1189" s="3">
        <f t="shared" si="113"/>
        <v>1188</v>
      </c>
    </row>
    <row r="1190" spans="1:23" x14ac:dyDescent="0.2">
      <c r="A1190" t="s">
        <v>249</v>
      </c>
      <c r="B1190" t="s">
        <v>250</v>
      </c>
      <c r="C1190" t="s">
        <v>23</v>
      </c>
      <c r="D1190" t="s">
        <v>66</v>
      </c>
      <c r="E1190" t="s">
        <v>25</v>
      </c>
      <c r="F1190" s="7">
        <v>2803992</v>
      </c>
      <c r="G1190" t="s">
        <v>1445</v>
      </c>
      <c r="H1190" s="5">
        <v>28891</v>
      </c>
      <c r="I1190" s="12">
        <v>45881</v>
      </c>
      <c r="J1190" s="15">
        <v>90</v>
      </c>
      <c r="K1190" s="15">
        <v>5</v>
      </c>
      <c r="L1190" s="9">
        <v>0.1036</v>
      </c>
      <c r="M1190" s="9">
        <v>6.4500000000000002E-2</v>
      </c>
      <c r="N1190" s="15">
        <v>6</v>
      </c>
      <c r="O1190" t="s">
        <v>27</v>
      </c>
      <c r="P1190" t="s">
        <v>28</v>
      </c>
      <c r="Q1190" s="24">
        <v>0.35</v>
      </c>
      <c r="R1190" s="5">
        <f t="shared" si="108"/>
        <v>738.02653150684921</v>
      </c>
      <c r="S1190" s="5">
        <f t="shared" si="109"/>
        <v>30.632375342465753</v>
      </c>
      <c r="T1190" s="5">
        <f t="shared" si="110"/>
        <v>707.3941561643835</v>
      </c>
      <c r="U1190" s="15">
        <f t="shared" si="111"/>
        <v>84</v>
      </c>
      <c r="V1190" s="3">
        <f t="shared" si="112"/>
        <v>395.37333499999994</v>
      </c>
      <c r="W1190" s="3">
        <f t="shared" si="113"/>
        <v>1189</v>
      </c>
    </row>
    <row r="1191" spans="1:23" x14ac:dyDescent="0.2">
      <c r="A1191" t="s">
        <v>139</v>
      </c>
      <c r="B1191" t="s">
        <v>140</v>
      </c>
      <c r="C1191" t="s">
        <v>77</v>
      </c>
      <c r="D1191" t="s">
        <v>24</v>
      </c>
      <c r="E1191" t="s">
        <v>56</v>
      </c>
      <c r="F1191" s="7">
        <v>22396514</v>
      </c>
      <c r="G1191" t="s">
        <v>1361</v>
      </c>
      <c r="H1191" s="5">
        <v>75284</v>
      </c>
      <c r="I1191" s="12">
        <v>45806</v>
      </c>
      <c r="J1191" s="15">
        <v>60</v>
      </c>
      <c r="K1191" s="15">
        <v>7</v>
      </c>
      <c r="L1191" s="9">
        <v>7.5700000000000003E-2</v>
      </c>
      <c r="M1191" s="9">
        <v>6.08E-2</v>
      </c>
      <c r="N1191" s="15">
        <v>6</v>
      </c>
      <c r="O1191" t="s">
        <v>27</v>
      </c>
      <c r="P1191" t="s">
        <v>28</v>
      </c>
      <c r="Q1191" s="24">
        <v>0.35</v>
      </c>
      <c r="R1191" s="5">
        <f t="shared" si="108"/>
        <v>936.82172054794523</v>
      </c>
      <c r="S1191" s="5">
        <f t="shared" si="109"/>
        <v>75.242748493150685</v>
      </c>
      <c r="T1191" s="5">
        <f t="shared" si="110"/>
        <v>861.57897205479458</v>
      </c>
      <c r="U1191" s="15">
        <f t="shared" si="111"/>
        <v>54</v>
      </c>
      <c r="V1191" s="3">
        <f t="shared" si="112"/>
        <v>392.60606000000007</v>
      </c>
      <c r="W1191" s="3">
        <f t="shared" si="113"/>
        <v>1190</v>
      </c>
    </row>
    <row r="1192" spans="1:23" x14ac:dyDescent="0.2">
      <c r="A1192" t="s">
        <v>230</v>
      </c>
      <c r="B1192" t="s">
        <v>231</v>
      </c>
      <c r="C1192" t="s">
        <v>31</v>
      </c>
      <c r="D1192" t="s">
        <v>37</v>
      </c>
      <c r="E1192" t="s">
        <v>25</v>
      </c>
      <c r="F1192" s="7">
        <v>6782855</v>
      </c>
      <c r="G1192" t="s">
        <v>1645</v>
      </c>
      <c r="H1192" s="5">
        <v>29953</v>
      </c>
      <c r="I1192" s="12">
        <v>45781</v>
      </c>
      <c r="J1192" s="15">
        <v>60</v>
      </c>
      <c r="K1192" s="15">
        <v>5</v>
      </c>
      <c r="L1192" s="9">
        <v>0.1188</v>
      </c>
      <c r="M1192" s="9">
        <v>5.3499999999999999E-2</v>
      </c>
      <c r="N1192" s="15">
        <v>8</v>
      </c>
      <c r="O1192" t="s">
        <v>27</v>
      </c>
      <c r="P1192" t="s">
        <v>28</v>
      </c>
      <c r="Q1192" s="24">
        <v>0.2</v>
      </c>
      <c r="R1192" s="5">
        <f t="shared" si="108"/>
        <v>584.9451616438356</v>
      </c>
      <c r="S1192" s="5">
        <f t="shared" si="109"/>
        <v>35.122969863013701</v>
      </c>
      <c r="T1192" s="5">
        <f t="shared" si="110"/>
        <v>549.82219178082187</v>
      </c>
      <c r="U1192" s="15">
        <f t="shared" si="111"/>
        <v>52</v>
      </c>
      <c r="V1192" s="3">
        <f t="shared" si="112"/>
        <v>391.18618000000004</v>
      </c>
      <c r="W1192" s="3">
        <f t="shared" si="113"/>
        <v>1191</v>
      </c>
    </row>
    <row r="1193" spans="1:23" x14ac:dyDescent="0.2">
      <c r="A1193" t="s">
        <v>477</v>
      </c>
      <c r="B1193" t="s">
        <v>274</v>
      </c>
      <c r="C1193" t="s">
        <v>31</v>
      </c>
      <c r="D1193" t="s">
        <v>32</v>
      </c>
      <c r="E1193" t="s">
        <v>25</v>
      </c>
      <c r="F1193" s="7">
        <v>6247387</v>
      </c>
      <c r="G1193" t="s">
        <v>487</v>
      </c>
      <c r="H1193" s="5">
        <v>13581</v>
      </c>
      <c r="I1193" s="12">
        <v>46048</v>
      </c>
      <c r="J1193" s="15">
        <v>90</v>
      </c>
      <c r="K1193" s="15">
        <v>4</v>
      </c>
      <c r="L1193" s="9">
        <v>0.12909999999999999</v>
      </c>
      <c r="M1193" s="9">
        <v>4.7600000000000003E-2</v>
      </c>
      <c r="N1193" s="15">
        <v>10</v>
      </c>
      <c r="O1193" t="s">
        <v>27</v>
      </c>
      <c r="P1193" t="s">
        <v>28</v>
      </c>
      <c r="Q1193" s="24">
        <v>0.35</v>
      </c>
      <c r="R1193" s="5">
        <f t="shared" si="108"/>
        <v>432.32229863013697</v>
      </c>
      <c r="S1193" s="5">
        <f t="shared" si="109"/>
        <v>17.711112328767122</v>
      </c>
      <c r="T1193" s="5">
        <f t="shared" si="110"/>
        <v>414.61118630136986</v>
      </c>
      <c r="U1193" s="15">
        <f t="shared" si="111"/>
        <v>80</v>
      </c>
      <c r="V1193" s="3">
        <f t="shared" si="112"/>
        <v>387.3980249999999</v>
      </c>
      <c r="W1193" s="3">
        <f t="shared" si="113"/>
        <v>1192</v>
      </c>
    </row>
    <row r="1194" spans="1:23" x14ac:dyDescent="0.2">
      <c r="A1194" t="s">
        <v>64</v>
      </c>
      <c r="B1194" t="s">
        <v>65</v>
      </c>
      <c r="C1194" t="s">
        <v>36</v>
      </c>
      <c r="D1194" t="s">
        <v>66</v>
      </c>
      <c r="E1194" t="s">
        <v>56</v>
      </c>
      <c r="F1194" s="7">
        <v>19529913</v>
      </c>
      <c r="G1194" t="s">
        <v>659</v>
      </c>
      <c r="H1194" s="5">
        <v>61440</v>
      </c>
      <c r="I1194" s="12">
        <v>45827</v>
      </c>
      <c r="J1194" s="15">
        <v>30</v>
      </c>
      <c r="K1194" s="15">
        <v>4</v>
      </c>
      <c r="L1194" s="9">
        <v>8.7499999999999994E-2</v>
      </c>
      <c r="M1194" s="9">
        <v>5.6099999999999997E-2</v>
      </c>
      <c r="N1194" s="15">
        <v>6</v>
      </c>
      <c r="O1194" t="s">
        <v>28</v>
      </c>
      <c r="P1194" t="s">
        <v>28</v>
      </c>
      <c r="Q1194" s="24">
        <v>0.2</v>
      </c>
      <c r="R1194" s="5">
        <f t="shared" si="108"/>
        <v>441.86301369863008</v>
      </c>
      <c r="S1194" s="5">
        <f t="shared" si="109"/>
        <v>56.65946301369862</v>
      </c>
      <c r="T1194" s="5">
        <f t="shared" si="110"/>
        <v>385.20355068493149</v>
      </c>
      <c r="U1194" s="15">
        <f t="shared" si="111"/>
        <v>24</v>
      </c>
      <c r="V1194" s="3">
        <f t="shared" si="112"/>
        <v>385.84320000000002</v>
      </c>
      <c r="W1194" s="3">
        <f t="shared" si="113"/>
        <v>1193</v>
      </c>
    </row>
    <row r="1195" spans="1:23" x14ac:dyDescent="0.2">
      <c r="A1195" t="s">
        <v>518</v>
      </c>
      <c r="B1195" t="s">
        <v>519</v>
      </c>
      <c r="C1195" t="s">
        <v>41</v>
      </c>
      <c r="D1195" t="s">
        <v>48</v>
      </c>
      <c r="E1195" t="s">
        <v>25</v>
      </c>
      <c r="F1195" s="7">
        <v>6967315</v>
      </c>
      <c r="G1195" t="s">
        <v>1196</v>
      </c>
      <c r="H1195" s="5">
        <v>14817</v>
      </c>
      <c r="I1195" s="12">
        <v>46061</v>
      </c>
      <c r="J1195" s="15">
        <v>45</v>
      </c>
      <c r="K1195" s="15">
        <v>4</v>
      </c>
      <c r="L1195" s="9">
        <v>9.1999999999999998E-2</v>
      </c>
      <c r="M1195" s="9">
        <v>6.3200000000000006E-2</v>
      </c>
      <c r="N1195" s="15">
        <v>5</v>
      </c>
      <c r="O1195" t="s">
        <v>27</v>
      </c>
      <c r="P1195" t="s">
        <v>28</v>
      </c>
      <c r="Q1195" s="24">
        <v>0.9</v>
      </c>
      <c r="R1195" s="5">
        <f t="shared" si="108"/>
        <v>168.06131506849314</v>
      </c>
      <c r="S1195" s="5">
        <f t="shared" si="109"/>
        <v>12.827868493150685</v>
      </c>
      <c r="T1195" s="5">
        <f t="shared" si="110"/>
        <v>155.23344657534247</v>
      </c>
      <c r="U1195" s="15">
        <f t="shared" si="111"/>
        <v>40</v>
      </c>
      <c r="V1195" s="3">
        <f t="shared" si="112"/>
        <v>384.0566399999999</v>
      </c>
      <c r="W1195" s="3">
        <f t="shared" si="113"/>
        <v>1194</v>
      </c>
    </row>
    <row r="1196" spans="1:23" x14ac:dyDescent="0.2">
      <c r="A1196" t="s">
        <v>627</v>
      </c>
      <c r="B1196" t="s">
        <v>383</v>
      </c>
      <c r="C1196" t="s">
        <v>77</v>
      </c>
      <c r="D1196" t="s">
        <v>37</v>
      </c>
      <c r="E1196" t="s">
        <v>56</v>
      </c>
      <c r="F1196" s="7">
        <v>17195029</v>
      </c>
      <c r="G1196" t="s">
        <v>821</v>
      </c>
      <c r="H1196" s="5">
        <v>70873</v>
      </c>
      <c r="I1196" s="12">
        <v>45816</v>
      </c>
      <c r="J1196" s="15">
        <v>60</v>
      </c>
      <c r="K1196" s="15">
        <v>3</v>
      </c>
      <c r="L1196" s="9">
        <v>7.3400000000000007E-2</v>
      </c>
      <c r="M1196" s="9">
        <v>5.8000000000000003E-2</v>
      </c>
      <c r="N1196" s="15">
        <v>10</v>
      </c>
      <c r="O1196" t="s">
        <v>27</v>
      </c>
      <c r="P1196" t="s">
        <v>28</v>
      </c>
      <c r="Q1196" s="24">
        <v>0.35</v>
      </c>
      <c r="R1196" s="5">
        <f t="shared" si="108"/>
        <v>855.13614246575355</v>
      </c>
      <c r="S1196" s="5">
        <f t="shared" si="109"/>
        <v>112.62010958904109</v>
      </c>
      <c r="T1196" s="5">
        <f t="shared" si="110"/>
        <v>742.51603287671242</v>
      </c>
      <c r="U1196" s="15">
        <f t="shared" si="111"/>
        <v>50</v>
      </c>
      <c r="V1196" s="3">
        <f t="shared" si="112"/>
        <v>382.00547000000006</v>
      </c>
      <c r="W1196" s="3">
        <f t="shared" si="113"/>
        <v>1195</v>
      </c>
    </row>
    <row r="1197" spans="1:23" x14ac:dyDescent="0.2">
      <c r="A1197" t="s">
        <v>206</v>
      </c>
      <c r="B1197" t="s">
        <v>207</v>
      </c>
      <c r="C1197" t="s">
        <v>77</v>
      </c>
      <c r="D1197" t="s">
        <v>32</v>
      </c>
      <c r="E1197" t="s">
        <v>25</v>
      </c>
      <c r="F1197" s="7">
        <v>3819447</v>
      </c>
      <c r="G1197" t="s">
        <v>1004</v>
      </c>
      <c r="H1197" s="5">
        <v>24648</v>
      </c>
      <c r="I1197" s="12">
        <v>45732</v>
      </c>
      <c r="J1197" s="15">
        <v>60</v>
      </c>
      <c r="K1197" s="15">
        <v>7</v>
      </c>
      <c r="L1197" s="9">
        <v>0.12620000000000001</v>
      </c>
      <c r="M1197" s="9">
        <v>4.9099999999999998E-2</v>
      </c>
      <c r="N1197" s="15">
        <v>6</v>
      </c>
      <c r="O1197" t="s">
        <v>28</v>
      </c>
      <c r="P1197" t="s">
        <v>28</v>
      </c>
      <c r="Q1197" s="24">
        <v>0.2</v>
      </c>
      <c r="R1197" s="5">
        <f t="shared" si="108"/>
        <v>511.32782465753422</v>
      </c>
      <c r="S1197" s="5">
        <f t="shared" si="109"/>
        <v>19.893974794520545</v>
      </c>
      <c r="T1197" s="5">
        <f t="shared" si="110"/>
        <v>491.43384986301368</v>
      </c>
      <c r="U1197" s="15">
        <f t="shared" si="111"/>
        <v>54</v>
      </c>
      <c r="V1197" s="3">
        <f t="shared" si="112"/>
        <v>380.07216000000005</v>
      </c>
      <c r="W1197" s="3">
        <f t="shared" si="113"/>
        <v>1196</v>
      </c>
    </row>
    <row r="1198" spans="1:23" x14ac:dyDescent="0.2">
      <c r="A1198" t="s">
        <v>386</v>
      </c>
      <c r="B1198" t="s">
        <v>387</v>
      </c>
      <c r="C1198" t="s">
        <v>31</v>
      </c>
      <c r="D1198" t="s">
        <v>37</v>
      </c>
      <c r="E1198" t="s">
        <v>25</v>
      </c>
      <c r="F1198" s="7">
        <v>5617789</v>
      </c>
      <c r="G1198" t="s">
        <v>1464</v>
      </c>
      <c r="H1198" s="5">
        <v>40204</v>
      </c>
      <c r="I1198" s="12">
        <v>46025</v>
      </c>
      <c r="J1198" s="15">
        <v>60</v>
      </c>
      <c r="K1198" s="15">
        <v>4</v>
      </c>
      <c r="L1198" s="9">
        <v>9.5100000000000004E-2</v>
      </c>
      <c r="M1198" s="9">
        <v>4.7899999999999998E-2</v>
      </c>
      <c r="N1198" s="15">
        <v>7</v>
      </c>
      <c r="O1198" t="s">
        <v>28</v>
      </c>
      <c r="P1198" t="s">
        <v>28</v>
      </c>
      <c r="Q1198" s="24">
        <v>0.2</v>
      </c>
      <c r="R1198" s="5">
        <f t="shared" si="108"/>
        <v>628.50417534246571</v>
      </c>
      <c r="S1198" s="5">
        <f t="shared" si="109"/>
        <v>36.932606027397263</v>
      </c>
      <c r="T1198" s="5">
        <f t="shared" si="110"/>
        <v>591.57156931506847</v>
      </c>
      <c r="U1198" s="15">
        <f t="shared" si="111"/>
        <v>53</v>
      </c>
      <c r="V1198" s="3">
        <f t="shared" si="112"/>
        <v>379.5257600000001</v>
      </c>
      <c r="W1198" s="3">
        <f t="shared" si="113"/>
        <v>1197</v>
      </c>
    </row>
    <row r="1199" spans="1:23" x14ac:dyDescent="0.2">
      <c r="A1199" t="s">
        <v>314</v>
      </c>
      <c r="B1199" t="s">
        <v>211</v>
      </c>
      <c r="C1199" t="s">
        <v>36</v>
      </c>
      <c r="D1199" t="s">
        <v>66</v>
      </c>
      <c r="E1199" t="s">
        <v>56</v>
      </c>
      <c r="F1199" s="7">
        <v>16270036</v>
      </c>
      <c r="G1199" t="s">
        <v>1597</v>
      </c>
      <c r="H1199" s="5">
        <v>25909</v>
      </c>
      <c r="I1199" s="12">
        <v>45672</v>
      </c>
      <c r="J1199" s="15">
        <v>90</v>
      </c>
      <c r="K1199" s="15">
        <v>10</v>
      </c>
      <c r="L1199" s="9">
        <v>9.2200000000000004E-2</v>
      </c>
      <c r="M1199" s="9">
        <v>5.0599999999999999E-2</v>
      </c>
      <c r="N1199" s="15">
        <v>5</v>
      </c>
      <c r="O1199" t="s">
        <v>28</v>
      </c>
      <c r="P1199" t="s">
        <v>28</v>
      </c>
      <c r="Q1199" s="24">
        <v>0.35</v>
      </c>
      <c r="R1199" s="5">
        <f t="shared" si="108"/>
        <v>589.02159452054786</v>
      </c>
      <c r="S1199" s="5">
        <f t="shared" si="109"/>
        <v>17.95884109589041</v>
      </c>
      <c r="T1199" s="5">
        <f t="shared" si="110"/>
        <v>571.06275342465744</v>
      </c>
      <c r="U1199" s="15">
        <f t="shared" si="111"/>
        <v>85</v>
      </c>
      <c r="V1199" s="3">
        <f t="shared" si="112"/>
        <v>377.23504000000003</v>
      </c>
      <c r="W1199" s="3">
        <f t="shared" si="113"/>
        <v>1198</v>
      </c>
    </row>
    <row r="1200" spans="1:23" x14ac:dyDescent="0.2">
      <c r="A1200" t="s">
        <v>281</v>
      </c>
      <c r="B1200" t="s">
        <v>47</v>
      </c>
      <c r="C1200" t="s">
        <v>23</v>
      </c>
      <c r="D1200" t="s">
        <v>66</v>
      </c>
      <c r="E1200" t="s">
        <v>56</v>
      </c>
      <c r="F1200" s="7">
        <v>22780879</v>
      </c>
      <c r="G1200" t="s">
        <v>1467</v>
      </c>
      <c r="H1200" s="5">
        <v>87228</v>
      </c>
      <c r="I1200" s="12">
        <v>45683</v>
      </c>
      <c r="J1200" s="15">
        <v>90</v>
      </c>
      <c r="K1200" s="15">
        <v>5</v>
      </c>
      <c r="L1200" s="9">
        <v>7.0800000000000002E-2</v>
      </c>
      <c r="M1200" s="9">
        <v>5.8599999999999999E-2</v>
      </c>
      <c r="N1200" s="15">
        <v>8</v>
      </c>
      <c r="O1200" t="s">
        <v>27</v>
      </c>
      <c r="P1200" t="s">
        <v>28</v>
      </c>
      <c r="Q1200" s="24">
        <v>0.35</v>
      </c>
      <c r="R1200" s="5">
        <f t="shared" si="108"/>
        <v>1522.785797260274</v>
      </c>
      <c r="S1200" s="5">
        <f t="shared" si="109"/>
        <v>112.03420931506849</v>
      </c>
      <c r="T1200" s="5">
        <f t="shared" si="110"/>
        <v>1410.7515879452055</v>
      </c>
      <c r="U1200" s="15">
        <f t="shared" si="111"/>
        <v>82</v>
      </c>
      <c r="V1200" s="3">
        <f t="shared" si="112"/>
        <v>372.46356000000003</v>
      </c>
      <c r="W1200" s="3">
        <f t="shared" si="113"/>
        <v>1199</v>
      </c>
    </row>
    <row r="1201" spans="1:23" x14ac:dyDescent="0.2">
      <c r="A1201" t="s">
        <v>54</v>
      </c>
      <c r="B1201" t="s">
        <v>55</v>
      </c>
      <c r="C1201" t="s">
        <v>31</v>
      </c>
      <c r="D1201" t="s">
        <v>24</v>
      </c>
      <c r="E1201" t="s">
        <v>56</v>
      </c>
      <c r="F1201" s="7">
        <v>15261617</v>
      </c>
      <c r="G1201" t="s">
        <v>562</v>
      </c>
      <c r="H1201" s="5">
        <v>27139</v>
      </c>
      <c r="I1201" s="12">
        <v>45847</v>
      </c>
      <c r="J1201" s="15">
        <v>60</v>
      </c>
      <c r="K1201" s="15">
        <v>5</v>
      </c>
      <c r="L1201" s="9">
        <v>9.3200000000000005E-2</v>
      </c>
      <c r="M1201" s="9">
        <v>5.4399999999999997E-2</v>
      </c>
      <c r="N1201" s="15">
        <v>7</v>
      </c>
      <c r="O1201" t="s">
        <v>28</v>
      </c>
      <c r="P1201" t="s">
        <v>28</v>
      </c>
      <c r="Q1201" s="24">
        <v>0.35</v>
      </c>
      <c r="R1201" s="5">
        <f t="shared" si="108"/>
        <v>415.7843506849315</v>
      </c>
      <c r="S1201" s="5">
        <f t="shared" si="109"/>
        <v>28.31378410958904</v>
      </c>
      <c r="T1201" s="5">
        <f t="shared" si="110"/>
        <v>387.47056657534245</v>
      </c>
      <c r="U1201" s="15">
        <f t="shared" si="111"/>
        <v>53</v>
      </c>
      <c r="V1201" s="3">
        <f t="shared" si="112"/>
        <v>368.54762000000005</v>
      </c>
      <c r="W1201" s="3">
        <f t="shared" si="113"/>
        <v>1200</v>
      </c>
    </row>
    <row r="1202" spans="1:23" x14ac:dyDescent="0.2">
      <c r="A1202" t="s">
        <v>308</v>
      </c>
      <c r="B1202" t="s">
        <v>309</v>
      </c>
      <c r="C1202" t="s">
        <v>31</v>
      </c>
      <c r="D1202" t="s">
        <v>24</v>
      </c>
      <c r="E1202" t="s">
        <v>49</v>
      </c>
      <c r="F1202" s="7">
        <v>1224427</v>
      </c>
      <c r="G1202" t="s">
        <v>1549</v>
      </c>
      <c r="H1202" s="5">
        <v>18834</v>
      </c>
      <c r="I1202" s="12">
        <v>45882</v>
      </c>
      <c r="J1202" s="15">
        <v>60</v>
      </c>
      <c r="K1202" s="15">
        <v>5</v>
      </c>
      <c r="L1202" s="9">
        <v>0.15670000000000001</v>
      </c>
      <c r="M1202" s="9">
        <v>5.8900000000000001E-2</v>
      </c>
      <c r="N1202" s="15">
        <v>8</v>
      </c>
      <c r="O1202" t="s">
        <v>27</v>
      </c>
      <c r="P1202" t="s">
        <v>28</v>
      </c>
      <c r="Q1202" s="24">
        <v>0.2</v>
      </c>
      <c r="R1202" s="5">
        <f t="shared" si="108"/>
        <v>485.14319999999998</v>
      </c>
      <c r="S1202" s="5">
        <f t="shared" si="109"/>
        <v>24.31392</v>
      </c>
      <c r="T1202" s="5">
        <f t="shared" si="110"/>
        <v>460.82927999999998</v>
      </c>
      <c r="U1202" s="15">
        <f t="shared" si="111"/>
        <v>52</v>
      </c>
      <c r="V1202" s="3">
        <f t="shared" si="112"/>
        <v>368.39304000000004</v>
      </c>
      <c r="W1202" s="3">
        <f t="shared" si="113"/>
        <v>1201</v>
      </c>
    </row>
    <row r="1203" spans="1:23" x14ac:dyDescent="0.2">
      <c r="A1203" t="s">
        <v>117</v>
      </c>
      <c r="B1203" t="s">
        <v>118</v>
      </c>
      <c r="C1203" t="s">
        <v>77</v>
      </c>
      <c r="D1203" t="s">
        <v>32</v>
      </c>
      <c r="E1203" t="s">
        <v>25</v>
      </c>
      <c r="F1203" s="7">
        <v>6024640</v>
      </c>
      <c r="G1203" t="s">
        <v>414</v>
      </c>
      <c r="H1203" s="5">
        <v>24198</v>
      </c>
      <c r="I1203" s="12">
        <v>46029</v>
      </c>
      <c r="J1203" s="15">
        <v>60</v>
      </c>
      <c r="K1203" s="15">
        <v>4</v>
      </c>
      <c r="L1203" s="9">
        <v>0.13769999999999999</v>
      </c>
      <c r="M1203" s="9">
        <v>6.2300000000000001E-2</v>
      </c>
      <c r="N1203" s="15">
        <v>5</v>
      </c>
      <c r="O1203" t="s">
        <v>27</v>
      </c>
      <c r="P1203" t="s">
        <v>28</v>
      </c>
      <c r="Q1203" s="24">
        <v>0.2</v>
      </c>
      <c r="R1203" s="5">
        <f t="shared" si="108"/>
        <v>547.73664657534243</v>
      </c>
      <c r="S1203" s="5">
        <f t="shared" si="109"/>
        <v>20.651169863013696</v>
      </c>
      <c r="T1203" s="5">
        <f t="shared" si="110"/>
        <v>527.08547671232873</v>
      </c>
      <c r="U1203" s="15">
        <f t="shared" si="111"/>
        <v>55</v>
      </c>
      <c r="V1203" s="3">
        <f t="shared" si="112"/>
        <v>364.90584000000001</v>
      </c>
      <c r="W1203" s="3">
        <f t="shared" si="113"/>
        <v>1202</v>
      </c>
    </row>
    <row r="1204" spans="1:23" x14ac:dyDescent="0.2">
      <c r="A1204" t="s">
        <v>203</v>
      </c>
      <c r="B1204" t="s">
        <v>204</v>
      </c>
      <c r="C1204" t="s">
        <v>23</v>
      </c>
      <c r="D1204" t="s">
        <v>24</v>
      </c>
      <c r="E1204" t="s">
        <v>25</v>
      </c>
      <c r="F1204" s="7">
        <v>1716971</v>
      </c>
      <c r="G1204" t="s">
        <v>1650</v>
      </c>
      <c r="H1204" s="5">
        <v>61047</v>
      </c>
      <c r="I1204" s="12">
        <v>45958</v>
      </c>
      <c r="J1204" s="15">
        <v>45</v>
      </c>
      <c r="K1204" s="15">
        <v>10</v>
      </c>
      <c r="L1204" s="9">
        <v>9.4600000000000004E-2</v>
      </c>
      <c r="M1204" s="9">
        <v>6.4899999999999999E-2</v>
      </c>
      <c r="N1204" s="15">
        <v>6</v>
      </c>
      <c r="O1204" t="s">
        <v>27</v>
      </c>
      <c r="P1204" t="s">
        <v>28</v>
      </c>
      <c r="Q1204" s="24">
        <v>0.2</v>
      </c>
      <c r="R1204" s="5">
        <f t="shared" si="108"/>
        <v>711.99199726027393</v>
      </c>
      <c r="S1204" s="5">
        <f t="shared" si="109"/>
        <v>65.1279501369863</v>
      </c>
      <c r="T1204" s="5">
        <f t="shared" si="110"/>
        <v>646.86404712328761</v>
      </c>
      <c r="U1204" s="15">
        <f t="shared" si="111"/>
        <v>39</v>
      </c>
      <c r="V1204" s="3">
        <f t="shared" si="112"/>
        <v>362.61918000000003</v>
      </c>
      <c r="W1204" s="3">
        <f t="shared" si="113"/>
        <v>1203</v>
      </c>
    </row>
    <row r="1205" spans="1:23" x14ac:dyDescent="0.2">
      <c r="A1205" t="s">
        <v>169</v>
      </c>
      <c r="B1205" t="s">
        <v>170</v>
      </c>
      <c r="C1205" t="s">
        <v>31</v>
      </c>
      <c r="D1205" t="s">
        <v>37</v>
      </c>
      <c r="E1205" t="s">
        <v>25</v>
      </c>
      <c r="F1205" s="7">
        <v>4193232</v>
      </c>
      <c r="G1205" t="s">
        <v>1644</v>
      </c>
      <c r="H1205" s="5">
        <v>23971</v>
      </c>
      <c r="I1205" s="12">
        <v>45684</v>
      </c>
      <c r="J1205" s="15">
        <v>90</v>
      </c>
      <c r="K1205" s="15">
        <v>7</v>
      </c>
      <c r="L1205" s="9">
        <v>0.1235</v>
      </c>
      <c r="M1205" s="9">
        <v>4.7899999999999998E-2</v>
      </c>
      <c r="N1205" s="15">
        <v>6</v>
      </c>
      <c r="O1205" t="s">
        <v>27</v>
      </c>
      <c r="P1205" t="s">
        <v>28</v>
      </c>
      <c r="Q1205" s="24">
        <v>0.2</v>
      </c>
      <c r="R1205" s="5">
        <f t="shared" si="108"/>
        <v>729.9662054794519</v>
      </c>
      <c r="S1205" s="5">
        <f t="shared" si="109"/>
        <v>18.874699726027394</v>
      </c>
      <c r="T1205" s="5">
        <f t="shared" si="110"/>
        <v>711.09150575342449</v>
      </c>
      <c r="U1205" s="15">
        <f t="shared" si="111"/>
        <v>84</v>
      </c>
      <c r="V1205" s="3">
        <f t="shared" si="112"/>
        <v>362.44152000000003</v>
      </c>
      <c r="W1205" s="3">
        <f t="shared" si="113"/>
        <v>1204</v>
      </c>
    </row>
    <row r="1206" spans="1:23" x14ac:dyDescent="0.2">
      <c r="A1206" t="s">
        <v>145</v>
      </c>
      <c r="B1206" t="s">
        <v>146</v>
      </c>
      <c r="C1206" t="s">
        <v>23</v>
      </c>
      <c r="D1206" t="s">
        <v>48</v>
      </c>
      <c r="E1206" t="s">
        <v>25</v>
      </c>
      <c r="F1206" s="7">
        <v>5790128</v>
      </c>
      <c r="G1206" t="s">
        <v>1024</v>
      </c>
      <c r="H1206" s="5">
        <v>46523</v>
      </c>
      <c r="I1206" s="12">
        <v>45672</v>
      </c>
      <c r="J1206" s="15">
        <v>60</v>
      </c>
      <c r="K1206" s="15">
        <v>5</v>
      </c>
      <c r="L1206" s="9">
        <v>9.5799999999999996E-2</v>
      </c>
      <c r="M1206" s="9">
        <v>5.7299999999999997E-2</v>
      </c>
      <c r="N1206" s="15">
        <v>7</v>
      </c>
      <c r="O1206" t="s">
        <v>27</v>
      </c>
      <c r="P1206" t="s">
        <v>28</v>
      </c>
      <c r="Q1206" s="24">
        <v>0.2</v>
      </c>
      <c r="R1206" s="5">
        <f t="shared" si="108"/>
        <v>732.64165479452049</v>
      </c>
      <c r="S1206" s="5">
        <f t="shared" si="109"/>
        <v>51.124315890410955</v>
      </c>
      <c r="T1206" s="5">
        <f t="shared" si="110"/>
        <v>681.51733890410958</v>
      </c>
      <c r="U1206" s="15">
        <f t="shared" si="111"/>
        <v>53</v>
      </c>
      <c r="V1206" s="3">
        <f t="shared" si="112"/>
        <v>358.22710000000001</v>
      </c>
      <c r="W1206" s="3">
        <f t="shared" si="113"/>
        <v>1205</v>
      </c>
    </row>
    <row r="1207" spans="1:23" x14ac:dyDescent="0.2">
      <c r="A1207" t="s">
        <v>228</v>
      </c>
      <c r="B1207" t="s">
        <v>62</v>
      </c>
      <c r="C1207" t="s">
        <v>23</v>
      </c>
      <c r="D1207" t="s">
        <v>66</v>
      </c>
      <c r="E1207" t="s">
        <v>49</v>
      </c>
      <c r="F1207" s="7">
        <v>1218251</v>
      </c>
      <c r="G1207" t="s">
        <v>704</v>
      </c>
      <c r="H1207" s="5">
        <v>29082</v>
      </c>
      <c r="I1207" s="12">
        <v>46015</v>
      </c>
      <c r="J1207" s="15">
        <v>90</v>
      </c>
      <c r="K1207" s="15">
        <v>7</v>
      </c>
      <c r="L1207" s="9">
        <v>0.1227</v>
      </c>
      <c r="M1207" s="9">
        <v>6.1600000000000002E-2</v>
      </c>
      <c r="N1207" s="15">
        <v>8</v>
      </c>
      <c r="O1207" t="s">
        <v>27</v>
      </c>
      <c r="P1207" t="s">
        <v>28</v>
      </c>
      <c r="Q1207" s="24">
        <v>0.2</v>
      </c>
      <c r="R1207" s="5">
        <f t="shared" si="108"/>
        <v>879.86993424657533</v>
      </c>
      <c r="S1207" s="5">
        <f t="shared" si="109"/>
        <v>39.264683835616438</v>
      </c>
      <c r="T1207" s="5">
        <f t="shared" si="110"/>
        <v>840.60525041095889</v>
      </c>
      <c r="U1207" s="15">
        <f t="shared" si="111"/>
        <v>82</v>
      </c>
      <c r="V1207" s="3">
        <f t="shared" si="112"/>
        <v>355.38204000000007</v>
      </c>
      <c r="W1207" s="3">
        <f t="shared" si="113"/>
        <v>1206</v>
      </c>
    </row>
    <row r="1208" spans="1:23" x14ac:dyDescent="0.2">
      <c r="A1208" t="s">
        <v>602</v>
      </c>
      <c r="B1208" t="s">
        <v>367</v>
      </c>
      <c r="C1208" t="s">
        <v>41</v>
      </c>
      <c r="D1208" t="s">
        <v>66</v>
      </c>
      <c r="E1208" t="s">
        <v>56</v>
      </c>
      <c r="F1208" s="7">
        <v>9703738</v>
      </c>
      <c r="G1208" t="s">
        <v>1039</v>
      </c>
      <c r="H1208" s="5">
        <v>38680</v>
      </c>
      <c r="I1208" s="12">
        <v>45780</v>
      </c>
      <c r="J1208" s="15">
        <v>60</v>
      </c>
      <c r="K1208" s="15">
        <v>4</v>
      </c>
      <c r="L1208" s="9">
        <v>7.5499999999999998E-2</v>
      </c>
      <c r="M1208" s="9">
        <v>6.1499999999999999E-2</v>
      </c>
      <c r="N1208" s="15">
        <v>6</v>
      </c>
      <c r="O1208" t="s">
        <v>27</v>
      </c>
      <c r="P1208" t="s">
        <v>28</v>
      </c>
      <c r="Q1208" s="24">
        <v>0.65</v>
      </c>
      <c r="R1208" s="5">
        <f t="shared" si="108"/>
        <v>480.05589041095885</v>
      </c>
      <c r="S1208" s="5">
        <f t="shared" si="109"/>
        <v>39.103890410958904</v>
      </c>
      <c r="T1208" s="5">
        <f t="shared" si="110"/>
        <v>440.95199999999994</v>
      </c>
      <c r="U1208" s="15">
        <f t="shared" si="111"/>
        <v>54</v>
      </c>
      <c r="V1208" s="3">
        <f t="shared" si="112"/>
        <v>351.98799999999994</v>
      </c>
      <c r="W1208" s="3">
        <f t="shared" si="113"/>
        <v>1207</v>
      </c>
    </row>
    <row r="1209" spans="1:23" x14ac:dyDescent="0.2">
      <c r="A1209" t="s">
        <v>596</v>
      </c>
      <c r="B1209" t="s">
        <v>439</v>
      </c>
      <c r="C1209" t="s">
        <v>77</v>
      </c>
      <c r="D1209" t="s">
        <v>24</v>
      </c>
      <c r="E1209" t="s">
        <v>56</v>
      </c>
      <c r="F1209" s="7">
        <v>9396117</v>
      </c>
      <c r="G1209" t="s">
        <v>1680</v>
      </c>
      <c r="H1209" s="5">
        <v>54875</v>
      </c>
      <c r="I1209" s="12">
        <v>45908</v>
      </c>
      <c r="J1209" s="15">
        <v>90</v>
      </c>
      <c r="K1209" s="15">
        <v>10</v>
      </c>
      <c r="L1209" s="9">
        <v>7.2400000000000006E-2</v>
      </c>
      <c r="M1209" s="9">
        <v>5.96E-2</v>
      </c>
      <c r="N1209" s="15">
        <v>8</v>
      </c>
      <c r="O1209" t="s">
        <v>27</v>
      </c>
      <c r="P1209" t="s">
        <v>28</v>
      </c>
      <c r="Q1209" s="24">
        <v>0.5</v>
      </c>
      <c r="R1209" s="5">
        <f t="shared" si="108"/>
        <v>979.63150684931509</v>
      </c>
      <c r="S1209" s="5">
        <f t="shared" si="109"/>
        <v>71.683287671232875</v>
      </c>
      <c r="T1209" s="5">
        <f t="shared" si="110"/>
        <v>907.94821917808224</v>
      </c>
      <c r="U1209" s="15">
        <f t="shared" si="111"/>
        <v>82</v>
      </c>
      <c r="V1209" s="3">
        <f t="shared" si="112"/>
        <v>351.20000000000016</v>
      </c>
      <c r="W1209" s="3">
        <f t="shared" si="113"/>
        <v>1208</v>
      </c>
    </row>
    <row r="1210" spans="1:23" x14ac:dyDescent="0.2">
      <c r="A1210" t="s">
        <v>136</v>
      </c>
      <c r="B1210" t="s">
        <v>137</v>
      </c>
      <c r="C1210" t="s">
        <v>31</v>
      </c>
      <c r="D1210" t="s">
        <v>37</v>
      </c>
      <c r="E1210" t="s">
        <v>56</v>
      </c>
      <c r="F1210" s="7">
        <v>17196352</v>
      </c>
      <c r="G1210" t="s">
        <v>1376</v>
      </c>
      <c r="H1210" s="5">
        <v>13545</v>
      </c>
      <c r="I1210" s="12">
        <v>45680</v>
      </c>
      <c r="J1210" s="15">
        <v>60</v>
      </c>
      <c r="K1210" s="15">
        <v>5</v>
      </c>
      <c r="L1210" s="9">
        <v>8.1500000000000003E-2</v>
      </c>
      <c r="M1210" s="9">
        <v>5.2699999999999997E-2</v>
      </c>
      <c r="N1210" s="15">
        <v>5</v>
      </c>
      <c r="O1210" t="s">
        <v>27</v>
      </c>
      <c r="P1210" t="s">
        <v>28</v>
      </c>
      <c r="Q1210" s="24">
        <v>0.9</v>
      </c>
      <c r="R1210" s="5">
        <f t="shared" si="108"/>
        <v>181.46589041095891</v>
      </c>
      <c r="S1210" s="5">
        <f t="shared" si="109"/>
        <v>9.7783767123287646</v>
      </c>
      <c r="T1210" s="5">
        <f t="shared" si="110"/>
        <v>171.68751369863014</v>
      </c>
      <c r="U1210" s="15">
        <f t="shared" si="111"/>
        <v>55</v>
      </c>
      <c r="V1210" s="3">
        <f t="shared" si="112"/>
        <v>351.08640000000008</v>
      </c>
      <c r="W1210" s="3">
        <f t="shared" si="113"/>
        <v>1209</v>
      </c>
    </row>
    <row r="1211" spans="1:23" x14ac:dyDescent="0.2">
      <c r="A1211" t="s">
        <v>837</v>
      </c>
      <c r="B1211" t="s">
        <v>838</v>
      </c>
      <c r="C1211" t="s">
        <v>77</v>
      </c>
      <c r="D1211" t="s">
        <v>32</v>
      </c>
      <c r="E1211" t="s">
        <v>25</v>
      </c>
      <c r="F1211" s="7">
        <v>6051605</v>
      </c>
      <c r="G1211" t="s">
        <v>1253</v>
      </c>
      <c r="H1211" s="5">
        <v>20469</v>
      </c>
      <c r="I1211" s="12">
        <v>45722</v>
      </c>
      <c r="J1211" s="15">
        <v>90</v>
      </c>
      <c r="K1211" s="15">
        <v>2</v>
      </c>
      <c r="L1211" s="9">
        <v>0.11310000000000001</v>
      </c>
      <c r="M1211" s="9">
        <v>6.4100000000000004E-2</v>
      </c>
      <c r="N1211" s="15">
        <v>5</v>
      </c>
      <c r="O1211" t="s">
        <v>27</v>
      </c>
      <c r="P1211" t="s">
        <v>28</v>
      </c>
      <c r="Q1211" s="24">
        <v>0.35</v>
      </c>
      <c r="R1211" s="5">
        <f t="shared" si="108"/>
        <v>570.83274246575343</v>
      </c>
      <c r="S1211" s="5">
        <f t="shared" si="109"/>
        <v>17.973464383561645</v>
      </c>
      <c r="T1211" s="5">
        <f t="shared" si="110"/>
        <v>552.85927808219174</v>
      </c>
      <c r="U1211" s="15">
        <f t="shared" si="111"/>
        <v>85</v>
      </c>
      <c r="V1211" s="3">
        <f t="shared" si="112"/>
        <v>351.04334999999998</v>
      </c>
      <c r="W1211" s="3">
        <f t="shared" si="113"/>
        <v>1210</v>
      </c>
    </row>
    <row r="1212" spans="1:23" x14ac:dyDescent="0.2">
      <c r="A1212" t="s">
        <v>64</v>
      </c>
      <c r="B1212" t="s">
        <v>65</v>
      </c>
      <c r="C1212" t="s">
        <v>36</v>
      </c>
      <c r="D1212" t="s">
        <v>66</v>
      </c>
      <c r="E1212" t="s">
        <v>56</v>
      </c>
      <c r="F1212" s="7">
        <v>19529913</v>
      </c>
      <c r="G1212" t="s">
        <v>614</v>
      </c>
      <c r="H1212" s="5">
        <v>18368</v>
      </c>
      <c r="I1212" s="12">
        <v>45852</v>
      </c>
      <c r="J1212" s="15">
        <v>60</v>
      </c>
      <c r="K1212" s="15">
        <v>2</v>
      </c>
      <c r="L1212" s="9">
        <v>8.7499999999999994E-2</v>
      </c>
      <c r="M1212" s="9">
        <v>5.8200000000000002E-2</v>
      </c>
      <c r="N1212" s="15">
        <v>5</v>
      </c>
      <c r="O1212" t="s">
        <v>28</v>
      </c>
      <c r="P1212" t="s">
        <v>28</v>
      </c>
      <c r="Q1212" s="24">
        <v>0.65</v>
      </c>
      <c r="R1212" s="5">
        <f t="shared" si="108"/>
        <v>264.19726027397257</v>
      </c>
      <c r="S1212" s="5">
        <f t="shared" si="109"/>
        <v>14.644076712328769</v>
      </c>
      <c r="T1212" s="5">
        <f t="shared" si="110"/>
        <v>249.55318356164381</v>
      </c>
      <c r="U1212" s="15">
        <f t="shared" si="111"/>
        <v>55</v>
      </c>
      <c r="V1212" s="3">
        <f t="shared" si="112"/>
        <v>349.81855999999993</v>
      </c>
      <c r="W1212" s="3">
        <f t="shared" si="113"/>
        <v>1211</v>
      </c>
    </row>
    <row r="1213" spans="1:23" x14ac:dyDescent="0.2">
      <c r="A1213" t="s">
        <v>239</v>
      </c>
      <c r="B1213" t="s">
        <v>240</v>
      </c>
      <c r="C1213" t="s">
        <v>31</v>
      </c>
      <c r="D1213" t="s">
        <v>32</v>
      </c>
      <c r="E1213" t="s">
        <v>49</v>
      </c>
      <c r="F1213" s="7">
        <v>1485779</v>
      </c>
      <c r="G1213" t="s">
        <v>241</v>
      </c>
      <c r="H1213" s="5">
        <v>22828</v>
      </c>
      <c r="I1213" s="12">
        <v>45825</v>
      </c>
      <c r="J1213" s="15">
        <v>60</v>
      </c>
      <c r="K1213" s="15">
        <v>2</v>
      </c>
      <c r="L1213" s="9">
        <v>0.1295</v>
      </c>
      <c r="M1213" s="9">
        <v>5.3600000000000002E-2</v>
      </c>
      <c r="N1213" s="15">
        <v>6</v>
      </c>
      <c r="O1213" t="s">
        <v>27</v>
      </c>
      <c r="P1213" t="s">
        <v>28</v>
      </c>
      <c r="Q1213" s="24">
        <v>0.2</v>
      </c>
      <c r="R1213" s="5">
        <f t="shared" si="108"/>
        <v>485.95495890410956</v>
      </c>
      <c r="S1213" s="5">
        <f t="shared" si="109"/>
        <v>20.113656986301368</v>
      </c>
      <c r="T1213" s="5">
        <f t="shared" si="110"/>
        <v>465.84130191780821</v>
      </c>
      <c r="U1213" s="15">
        <f t="shared" si="111"/>
        <v>54</v>
      </c>
      <c r="V1213" s="3">
        <f t="shared" si="112"/>
        <v>346.52903999999995</v>
      </c>
      <c r="W1213" s="3">
        <f t="shared" si="113"/>
        <v>1212</v>
      </c>
    </row>
    <row r="1214" spans="1:23" x14ac:dyDescent="0.2">
      <c r="A1214" t="s">
        <v>249</v>
      </c>
      <c r="B1214" t="s">
        <v>250</v>
      </c>
      <c r="C1214" t="s">
        <v>23</v>
      </c>
      <c r="D1214" t="s">
        <v>66</v>
      </c>
      <c r="E1214" t="s">
        <v>25</v>
      </c>
      <c r="F1214" s="7">
        <v>2803992</v>
      </c>
      <c r="G1214" t="s">
        <v>465</v>
      </c>
      <c r="H1214" s="5">
        <v>24481</v>
      </c>
      <c r="I1214" s="12">
        <v>45785</v>
      </c>
      <c r="J1214" s="15">
        <v>45</v>
      </c>
      <c r="K1214" s="15">
        <v>5</v>
      </c>
      <c r="L1214" s="9">
        <v>0.1036</v>
      </c>
      <c r="M1214" s="9">
        <v>6.3399999999999998E-2</v>
      </c>
      <c r="N1214" s="15">
        <v>7</v>
      </c>
      <c r="O1214" t="s">
        <v>27</v>
      </c>
      <c r="P1214" t="s">
        <v>28</v>
      </c>
      <c r="Q1214" s="24">
        <v>0.35</v>
      </c>
      <c r="R1214" s="5">
        <f t="shared" si="108"/>
        <v>312.68608767123288</v>
      </c>
      <c r="S1214" s="5">
        <f t="shared" si="109"/>
        <v>29.766213150684933</v>
      </c>
      <c r="T1214" s="5">
        <f t="shared" si="110"/>
        <v>282.91987452054798</v>
      </c>
      <c r="U1214" s="15">
        <f t="shared" si="111"/>
        <v>38</v>
      </c>
      <c r="V1214" s="3">
        <f t="shared" si="112"/>
        <v>344.44766999999996</v>
      </c>
      <c r="W1214" s="3">
        <f t="shared" si="113"/>
        <v>1213</v>
      </c>
    </row>
    <row r="1215" spans="1:23" x14ac:dyDescent="0.2">
      <c r="A1215" t="s">
        <v>130</v>
      </c>
      <c r="B1215" t="s">
        <v>131</v>
      </c>
      <c r="C1215" t="s">
        <v>36</v>
      </c>
      <c r="D1215" t="s">
        <v>48</v>
      </c>
      <c r="E1215" t="s">
        <v>56</v>
      </c>
      <c r="F1215" s="7">
        <v>10372464</v>
      </c>
      <c r="G1215" t="s">
        <v>1185</v>
      </c>
      <c r="H1215" s="5">
        <v>20853</v>
      </c>
      <c r="I1215" s="12">
        <v>45904</v>
      </c>
      <c r="J1215" s="15">
        <v>60</v>
      </c>
      <c r="K1215" s="15">
        <v>3</v>
      </c>
      <c r="L1215" s="9">
        <v>8.77E-2</v>
      </c>
      <c r="M1215" s="9">
        <v>6.3100000000000003E-2</v>
      </c>
      <c r="N1215" s="15">
        <v>6</v>
      </c>
      <c r="O1215" t="s">
        <v>27</v>
      </c>
      <c r="P1215" t="s">
        <v>28</v>
      </c>
      <c r="Q1215" s="24">
        <v>0.65</v>
      </c>
      <c r="R1215" s="5">
        <f t="shared" si="108"/>
        <v>300.62598904109586</v>
      </c>
      <c r="S1215" s="5">
        <f t="shared" si="109"/>
        <v>21.629988493150684</v>
      </c>
      <c r="T1215" s="5">
        <f t="shared" si="110"/>
        <v>278.99600054794519</v>
      </c>
      <c r="U1215" s="15">
        <f t="shared" si="111"/>
        <v>54</v>
      </c>
      <c r="V1215" s="3">
        <f t="shared" si="112"/>
        <v>333.43946999999991</v>
      </c>
      <c r="W1215" s="3">
        <f t="shared" si="113"/>
        <v>1214</v>
      </c>
    </row>
    <row r="1216" spans="1:23" x14ac:dyDescent="0.2">
      <c r="A1216" t="s">
        <v>488</v>
      </c>
      <c r="B1216" t="s">
        <v>489</v>
      </c>
      <c r="C1216" t="s">
        <v>31</v>
      </c>
      <c r="D1216" t="s">
        <v>37</v>
      </c>
      <c r="E1216" t="s">
        <v>25</v>
      </c>
      <c r="F1216" s="7">
        <v>6687670</v>
      </c>
      <c r="G1216" t="s">
        <v>1433</v>
      </c>
      <c r="H1216" s="5">
        <v>33771</v>
      </c>
      <c r="I1216" s="12">
        <v>45847</v>
      </c>
      <c r="J1216" s="15">
        <v>60</v>
      </c>
      <c r="K1216" s="15">
        <v>3</v>
      </c>
      <c r="L1216" s="9">
        <v>0.1013</v>
      </c>
      <c r="M1216" s="9">
        <v>5.1999999999999998E-2</v>
      </c>
      <c r="N1216" s="15">
        <v>6</v>
      </c>
      <c r="O1216" t="s">
        <v>27</v>
      </c>
      <c r="P1216" t="s">
        <v>28</v>
      </c>
      <c r="Q1216" s="24">
        <v>0.2</v>
      </c>
      <c r="R1216" s="5">
        <f t="shared" si="108"/>
        <v>562.35654246575336</v>
      </c>
      <c r="S1216" s="5">
        <f t="shared" si="109"/>
        <v>28.867265753424654</v>
      </c>
      <c r="T1216" s="5">
        <f t="shared" si="110"/>
        <v>533.48927671232866</v>
      </c>
      <c r="U1216" s="15">
        <f t="shared" si="111"/>
        <v>54</v>
      </c>
      <c r="V1216" s="3">
        <f t="shared" si="112"/>
        <v>332.98206000000005</v>
      </c>
      <c r="W1216" s="3">
        <f t="shared" si="113"/>
        <v>1215</v>
      </c>
    </row>
    <row r="1217" spans="1:23" x14ac:dyDescent="0.2">
      <c r="A1217" t="s">
        <v>314</v>
      </c>
      <c r="B1217" t="s">
        <v>211</v>
      </c>
      <c r="C1217" t="s">
        <v>36</v>
      </c>
      <c r="D1217" t="s">
        <v>66</v>
      </c>
      <c r="E1217" t="s">
        <v>56</v>
      </c>
      <c r="F1217" s="7">
        <v>16270036</v>
      </c>
      <c r="G1217" t="s">
        <v>760</v>
      </c>
      <c r="H1217" s="5">
        <v>49586</v>
      </c>
      <c r="I1217" s="12">
        <v>46050</v>
      </c>
      <c r="J1217" s="15">
        <v>60</v>
      </c>
      <c r="K1217" s="15">
        <v>2</v>
      </c>
      <c r="L1217" s="9">
        <v>9.2200000000000004E-2</v>
      </c>
      <c r="M1217" s="9">
        <v>5.8799999999999998E-2</v>
      </c>
      <c r="N1217" s="15">
        <v>8</v>
      </c>
      <c r="O1217" t="s">
        <v>27</v>
      </c>
      <c r="P1217" t="s">
        <v>28</v>
      </c>
      <c r="Q1217" s="24">
        <v>0.2</v>
      </c>
      <c r="R1217" s="5">
        <f t="shared" si="108"/>
        <v>751.53356712328764</v>
      </c>
      <c r="S1217" s="5">
        <f t="shared" si="109"/>
        <v>63.904806575342462</v>
      </c>
      <c r="T1217" s="5">
        <f t="shared" si="110"/>
        <v>687.62876054794515</v>
      </c>
      <c r="U1217" s="15">
        <f t="shared" si="111"/>
        <v>52</v>
      </c>
      <c r="V1217" s="3">
        <f t="shared" si="112"/>
        <v>331.23448000000008</v>
      </c>
      <c r="W1217" s="3">
        <f t="shared" si="113"/>
        <v>1216</v>
      </c>
    </row>
    <row r="1218" spans="1:23" x14ac:dyDescent="0.2">
      <c r="A1218" t="s">
        <v>278</v>
      </c>
      <c r="B1218" t="s">
        <v>279</v>
      </c>
      <c r="C1218" t="s">
        <v>23</v>
      </c>
      <c r="D1218" t="s">
        <v>37</v>
      </c>
      <c r="E1218" t="s">
        <v>56</v>
      </c>
      <c r="F1218" s="7">
        <v>15898738</v>
      </c>
      <c r="G1218" t="s">
        <v>753</v>
      </c>
      <c r="H1218" s="5">
        <v>28389</v>
      </c>
      <c r="I1218" s="12">
        <v>45690</v>
      </c>
      <c r="J1218" s="15">
        <v>60</v>
      </c>
      <c r="K1218" s="15">
        <v>10</v>
      </c>
      <c r="L1218" s="9">
        <v>0.1071</v>
      </c>
      <c r="M1218" s="9">
        <v>0.05</v>
      </c>
      <c r="N1218" s="15">
        <v>5</v>
      </c>
      <c r="O1218" t="s">
        <v>28</v>
      </c>
      <c r="P1218" t="s">
        <v>28</v>
      </c>
      <c r="Q1218" s="24">
        <v>0.2</v>
      </c>
      <c r="R1218" s="5">
        <f t="shared" ref="R1218:R1281" si="114">H1218*L1218*(J1218/365)</f>
        <v>499.80195616438357</v>
      </c>
      <c r="S1218" s="5">
        <f t="shared" ref="S1218:S1281" si="115">H1218*M1218*(N1218/365)</f>
        <v>19.444520547945206</v>
      </c>
      <c r="T1218" s="5">
        <f t="shared" ref="T1218:T1281" si="116">R1218-S1218</f>
        <v>480.35743561643835</v>
      </c>
      <c r="U1218" s="15">
        <f t="shared" ref="U1218:U1281" si="117">J1218-N1218</f>
        <v>55</v>
      </c>
      <c r="V1218" s="3">
        <f t="shared" ref="V1218:V1281" si="118">Q1218*(L1218-M1218)*H1218</f>
        <v>324.20238000000001</v>
      </c>
      <c r="W1218" s="3">
        <f t="shared" ref="W1218:W1281" si="119">RANK(V1218,$V$2:$V$1501)</f>
        <v>1217</v>
      </c>
    </row>
    <row r="1219" spans="1:23" x14ac:dyDescent="0.2">
      <c r="A1219" t="s">
        <v>366</v>
      </c>
      <c r="B1219" t="s">
        <v>367</v>
      </c>
      <c r="C1219" t="s">
        <v>41</v>
      </c>
      <c r="D1219" t="s">
        <v>37</v>
      </c>
      <c r="E1219" t="s">
        <v>56</v>
      </c>
      <c r="F1219" s="7">
        <v>13330124</v>
      </c>
      <c r="G1219" t="s">
        <v>587</v>
      </c>
      <c r="H1219" s="5">
        <v>13109</v>
      </c>
      <c r="I1219" s="12">
        <v>45874</v>
      </c>
      <c r="J1219" s="15">
        <v>45</v>
      </c>
      <c r="K1219" s="15">
        <v>7</v>
      </c>
      <c r="L1219" s="9">
        <v>0.10920000000000001</v>
      </c>
      <c r="M1219" s="9">
        <v>6.1100000000000002E-2</v>
      </c>
      <c r="N1219" s="15">
        <v>7</v>
      </c>
      <c r="O1219" t="s">
        <v>27</v>
      </c>
      <c r="P1219" t="s">
        <v>28</v>
      </c>
      <c r="Q1219" s="24">
        <v>0.5</v>
      </c>
      <c r="R1219" s="5">
        <f t="shared" si="114"/>
        <v>176.48664657534246</v>
      </c>
      <c r="S1219" s="5">
        <f t="shared" si="115"/>
        <v>15.36087479452055</v>
      </c>
      <c r="T1219" s="5">
        <f t="shared" si="116"/>
        <v>161.12577178082191</v>
      </c>
      <c r="U1219" s="15">
        <f t="shared" si="117"/>
        <v>38</v>
      </c>
      <c r="V1219" s="3">
        <f t="shared" si="118"/>
        <v>315.27145000000002</v>
      </c>
      <c r="W1219" s="3">
        <f t="shared" si="119"/>
        <v>1218</v>
      </c>
    </row>
    <row r="1220" spans="1:23" x14ac:dyDescent="0.2">
      <c r="A1220" t="s">
        <v>103</v>
      </c>
      <c r="B1220" t="s">
        <v>62</v>
      </c>
      <c r="C1220" t="s">
        <v>31</v>
      </c>
      <c r="D1220" t="s">
        <v>37</v>
      </c>
      <c r="E1220" t="s">
        <v>25</v>
      </c>
      <c r="F1220" s="7">
        <v>3948313</v>
      </c>
      <c r="G1220" t="s">
        <v>1722</v>
      </c>
      <c r="H1220" s="5">
        <v>17230</v>
      </c>
      <c r="I1220" s="12">
        <v>45792</v>
      </c>
      <c r="J1220" s="15">
        <v>60</v>
      </c>
      <c r="K1220" s="15">
        <v>10</v>
      </c>
      <c r="L1220" s="9">
        <v>0.1154</v>
      </c>
      <c r="M1220" s="9">
        <v>6.3500000000000001E-2</v>
      </c>
      <c r="N1220" s="15">
        <v>8</v>
      </c>
      <c r="O1220" t="s">
        <v>27</v>
      </c>
      <c r="P1220" t="s">
        <v>28</v>
      </c>
      <c r="Q1220" s="24">
        <v>0.35</v>
      </c>
      <c r="R1220" s="5">
        <f t="shared" si="114"/>
        <v>326.85073972602737</v>
      </c>
      <c r="S1220" s="5">
        <f t="shared" si="115"/>
        <v>23.980383561643837</v>
      </c>
      <c r="T1220" s="5">
        <f t="shared" si="116"/>
        <v>302.87035616438351</v>
      </c>
      <c r="U1220" s="15">
        <f t="shared" si="117"/>
        <v>52</v>
      </c>
      <c r="V1220" s="3">
        <f t="shared" si="118"/>
        <v>312.98295000000002</v>
      </c>
      <c r="W1220" s="3">
        <f t="shared" si="119"/>
        <v>1219</v>
      </c>
    </row>
    <row r="1221" spans="1:23" x14ac:dyDescent="0.2">
      <c r="A1221" t="s">
        <v>179</v>
      </c>
      <c r="B1221" t="s">
        <v>180</v>
      </c>
      <c r="C1221" t="s">
        <v>36</v>
      </c>
      <c r="D1221" t="s">
        <v>48</v>
      </c>
      <c r="E1221" t="s">
        <v>25</v>
      </c>
      <c r="F1221" s="7">
        <v>6074867</v>
      </c>
      <c r="G1221" t="s">
        <v>1299</v>
      </c>
      <c r="H1221" s="5">
        <v>37571</v>
      </c>
      <c r="I1221" s="12">
        <v>46021</v>
      </c>
      <c r="J1221" s="15">
        <v>60</v>
      </c>
      <c r="K1221" s="15">
        <v>7</v>
      </c>
      <c r="L1221" s="9">
        <v>9.4299999999999995E-2</v>
      </c>
      <c r="M1221" s="9">
        <v>5.2900000000000003E-2</v>
      </c>
      <c r="N1221" s="15">
        <v>6</v>
      </c>
      <c r="O1221" t="s">
        <v>27</v>
      </c>
      <c r="P1221" t="s">
        <v>28</v>
      </c>
      <c r="Q1221" s="24">
        <v>0.2</v>
      </c>
      <c r="R1221" s="5">
        <f t="shared" si="114"/>
        <v>582.40196712328759</v>
      </c>
      <c r="S1221" s="5">
        <f t="shared" si="115"/>
        <v>32.671329863013696</v>
      </c>
      <c r="T1221" s="5">
        <f t="shared" si="116"/>
        <v>549.73063726027385</v>
      </c>
      <c r="U1221" s="15">
        <f t="shared" si="117"/>
        <v>54</v>
      </c>
      <c r="V1221" s="3">
        <f t="shared" si="118"/>
        <v>311.08787999999998</v>
      </c>
      <c r="W1221" s="3">
        <f t="shared" si="119"/>
        <v>1220</v>
      </c>
    </row>
    <row r="1222" spans="1:23" x14ac:dyDescent="0.2">
      <c r="A1222" t="s">
        <v>136</v>
      </c>
      <c r="B1222" t="s">
        <v>137</v>
      </c>
      <c r="C1222" t="s">
        <v>31</v>
      </c>
      <c r="D1222" t="s">
        <v>37</v>
      </c>
      <c r="E1222" t="s">
        <v>56</v>
      </c>
      <c r="F1222" s="7">
        <v>17196352</v>
      </c>
      <c r="G1222" t="s">
        <v>826</v>
      </c>
      <c r="H1222" s="5">
        <v>46978</v>
      </c>
      <c r="I1222" s="12">
        <v>46010</v>
      </c>
      <c r="J1222" s="15">
        <v>60</v>
      </c>
      <c r="K1222" s="15">
        <v>7</v>
      </c>
      <c r="L1222" s="9">
        <v>8.1500000000000003E-2</v>
      </c>
      <c r="M1222" s="9">
        <v>4.9599999999999998E-2</v>
      </c>
      <c r="N1222" s="15">
        <v>6</v>
      </c>
      <c r="O1222" t="s">
        <v>28</v>
      </c>
      <c r="P1222" t="s">
        <v>28</v>
      </c>
      <c r="Q1222" s="24">
        <v>0.2</v>
      </c>
      <c r="R1222" s="5">
        <f t="shared" si="114"/>
        <v>629.37649315068495</v>
      </c>
      <c r="S1222" s="5">
        <f t="shared" si="115"/>
        <v>38.303158356164381</v>
      </c>
      <c r="T1222" s="5">
        <f t="shared" si="116"/>
        <v>591.07333479452052</v>
      </c>
      <c r="U1222" s="15">
        <f t="shared" si="117"/>
        <v>54</v>
      </c>
      <c r="V1222" s="3">
        <f t="shared" si="118"/>
        <v>299.71964000000003</v>
      </c>
      <c r="W1222" s="3">
        <f t="shared" si="119"/>
        <v>1221</v>
      </c>
    </row>
    <row r="1223" spans="1:23" x14ac:dyDescent="0.2">
      <c r="A1223" t="s">
        <v>281</v>
      </c>
      <c r="B1223" t="s">
        <v>47</v>
      </c>
      <c r="C1223" t="s">
        <v>23</v>
      </c>
      <c r="D1223" t="s">
        <v>66</v>
      </c>
      <c r="E1223" t="s">
        <v>56</v>
      </c>
      <c r="F1223" s="7">
        <v>22780879</v>
      </c>
      <c r="G1223" t="s">
        <v>282</v>
      </c>
      <c r="H1223" s="5">
        <v>30830</v>
      </c>
      <c r="I1223" s="12">
        <v>45921</v>
      </c>
      <c r="J1223" s="15">
        <v>60</v>
      </c>
      <c r="K1223" s="15">
        <v>10</v>
      </c>
      <c r="L1223" s="9">
        <v>7.0800000000000002E-2</v>
      </c>
      <c r="M1223" s="9">
        <v>5.1400000000000001E-2</v>
      </c>
      <c r="N1223" s="15">
        <v>7</v>
      </c>
      <c r="O1223" t="s">
        <v>27</v>
      </c>
      <c r="P1223" t="s">
        <v>28</v>
      </c>
      <c r="Q1223" s="24">
        <v>0.5</v>
      </c>
      <c r="R1223" s="5">
        <f t="shared" si="114"/>
        <v>358.8105205479452</v>
      </c>
      <c r="S1223" s="5">
        <f t="shared" si="115"/>
        <v>30.390778082191783</v>
      </c>
      <c r="T1223" s="5">
        <f t="shared" si="116"/>
        <v>328.41974246575342</v>
      </c>
      <c r="U1223" s="15">
        <f t="shared" si="117"/>
        <v>53</v>
      </c>
      <c r="V1223" s="3">
        <f t="shared" si="118"/>
        <v>299.05099999999999</v>
      </c>
      <c r="W1223" s="3">
        <f t="shared" si="119"/>
        <v>1222</v>
      </c>
    </row>
    <row r="1224" spans="1:23" x14ac:dyDescent="0.2">
      <c r="A1224" t="s">
        <v>127</v>
      </c>
      <c r="B1224" t="s">
        <v>128</v>
      </c>
      <c r="C1224" t="s">
        <v>31</v>
      </c>
      <c r="D1224" t="s">
        <v>66</v>
      </c>
      <c r="E1224" t="s">
        <v>49</v>
      </c>
      <c r="F1224" s="7">
        <v>261628</v>
      </c>
      <c r="G1224" t="s">
        <v>129</v>
      </c>
      <c r="H1224" s="5">
        <v>12800</v>
      </c>
      <c r="I1224" s="12">
        <v>45704</v>
      </c>
      <c r="J1224" s="15">
        <v>45</v>
      </c>
      <c r="K1224" s="15">
        <v>3</v>
      </c>
      <c r="L1224" s="9">
        <v>0.17249999999999999</v>
      </c>
      <c r="M1224" s="9">
        <v>5.6300000000000003E-2</v>
      </c>
      <c r="N1224" s="15">
        <v>8</v>
      </c>
      <c r="O1224" t="s">
        <v>28</v>
      </c>
      <c r="P1224" t="s">
        <v>28</v>
      </c>
      <c r="Q1224" s="24">
        <v>0.2</v>
      </c>
      <c r="R1224" s="5">
        <f t="shared" si="114"/>
        <v>272.21917808219177</v>
      </c>
      <c r="S1224" s="5">
        <f t="shared" si="115"/>
        <v>15.794849315068493</v>
      </c>
      <c r="T1224" s="5">
        <f t="shared" si="116"/>
        <v>256.42432876712326</v>
      </c>
      <c r="U1224" s="15">
        <f t="shared" si="117"/>
        <v>37</v>
      </c>
      <c r="V1224" s="3">
        <f t="shared" si="118"/>
        <v>297.47199999999998</v>
      </c>
      <c r="W1224" s="3">
        <f t="shared" si="119"/>
        <v>1223</v>
      </c>
    </row>
    <row r="1225" spans="1:23" x14ac:dyDescent="0.2">
      <c r="A1225" t="s">
        <v>68</v>
      </c>
      <c r="B1225" t="s">
        <v>69</v>
      </c>
      <c r="C1225" t="s">
        <v>36</v>
      </c>
      <c r="D1225" t="s">
        <v>37</v>
      </c>
      <c r="E1225" t="s">
        <v>25</v>
      </c>
      <c r="F1225" s="7">
        <v>3469396</v>
      </c>
      <c r="G1225" t="s">
        <v>1064</v>
      </c>
      <c r="H1225" s="5">
        <v>13850</v>
      </c>
      <c r="I1225" s="12">
        <v>46023</v>
      </c>
      <c r="J1225" s="15">
        <v>60</v>
      </c>
      <c r="K1225" s="15">
        <v>5</v>
      </c>
      <c r="L1225" s="9">
        <v>0.1216</v>
      </c>
      <c r="M1225" s="9">
        <v>6.0499999999999998E-2</v>
      </c>
      <c r="N1225" s="15">
        <v>8</v>
      </c>
      <c r="O1225" t="s">
        <v>27</v>
      </c>
      <c r="P1225" t="s">
        <v>28</v>
      </c>
      <c r="Q1225" s="24">
        <v>0.35</v>
      </c>
      <c r="R1225" s="5">
        <f t="shared" si="114"/>
        <v>276.84821917808222</v>
      </c>
      <c r="S1225" s="5">
        <f t="shared" si="115"/>
        <v>18.365479452054792</v>
      </c>
      <c r="T1225" s="5">
        <f t="shared" si="116"/>
        <v>258.48273972602743</v>
      </c>
      <c r="U1225" s="15">
        <f t="shared" si="117"/>
        <v>52</v>
      </c>
      <c r="V1225" s="3">
        <f t="shared" si="118"/>
        <v>296.18224999999995</v>
      </c>
      <c r="W1225" s="3">
        <f t="shared" si="119"/>
        <v>1224</v>
      </c>
    </row>
    <row r="1226" spans="1:23" x14ac:dyDescent="0.2">
      <c r="A1226" t="s">
        <v>411</v>
      </c>
      <c r="B1226" t="s">
        <v>412</v>
      </c>
      <c r="C1226" t="s">
        <v>31</v>
      </c>
      <c r="D1226" t="s">
        <v>66</v>
      </c>
      <c r="E1226" t="s">
        <v>25</v>
      </c>
      <c r="F1226" s="7">
        <v>2416616</v>
      </c>
      <c r="G1226" t="s">
        <v>1160</v>
      </c>
      <c r="H1226" s="5">
        <v>17961</v>
      </c>
      <c r="I1226" s="12">
        <v>46029</v>
      </c>
      <c r="J1226" s="15">
        <v>45</v>
      </c>
      <c r="K1226" s="15">
        <v>7</v>
      </c>
      <c r="L1226" s="9">
        <v>0.1024</v>
      </c>
      <c r="M1226" s="9">
        <v>5.6300000000000003E-2</v>
      </c>
      <c r="N1226" s="15">
        <v>7</v>
      </c>
      <c r="O1226" t="s">
        <v>28</v>
      </c>
      <c r="P1226" t="s">
        <v>28</v>
      </c>
      <c r="Q1226" s="24">
        <v>0.35</v>
      </c>
      <c r="R1226" s="5">
        <f t="shared" si="114"/>
        <v>226.75147397260272</v>
      </c>
      <c r="S1226" s="5">
        <f t="shared" si="115"/>
        <v>19.392959178082194</v>
      </c>
      <c r="T1226" s="5">
        <f t="shared" si="116"/>
        <v>207.35851479452054</v>
      </c>
      <c r="U1226" s="15">
        <f t="shared" si="117"/>
        <v>38</v>
      </c>
      <c r="V1226" s="3">
        <f t="shared" si="118"/>
        <v>289.80073499999997</v>
      </c>
      <c r="W1226" s="3">
        <f t="shared" si="119"/>
        <v>1225</v>
      </c>
    </row>
    <row r="1227" spans="1:23" x14ac:dyDescent="0.2">
      <c r="A1227" t="s">
        <v>91</v>
      </c>
      <c r="B1227" t="s">
        <v>92</v>
      </c>
      <c r="C1227" t="s">
        <v>36</v>
      </c>
      <c r="D1227" t="s">
        <v>24</v>
      </c>
      <c r="E1227" t="s">
        <v>56</v>
      </c>
      <c r="F1227" s="7">
        <v>15029491</v>
      </c>
      <c r="G1227" t="s">
        <v>306</v>
      </c>
      <c r="H1227" s="5">
        <v>34349</v>
      </c>
      <c r="I1227" s="12">
        <v>45951</v>
      </c>
      <c r="J1227" s="15">
        <v>60</v>
      </c>
      <c r="K1227" s="15">
        <v>10</v>
      </c>
      <c r="L1227" s="9">
        <v>9.8400000000000001E-2</v>
      </c>
      <c r="M1227" s="9">
        <v>5.74E-2</v>
      </c>
      <c r="N1227" s="15">
        <v>8</v>
      </c>
      <c r="O1227" t="s">
        <v>28</v>
      </c>
      <c r="P1227" t="s">
        <v>28</v>
      </c>
      <c r="Q1227" s="24">
        <v>0.2</v>
      </c>
      <c r="R1227" s="5">
        <f t="shared" si="114"/>
        <v>555.60683835616442</v>
      </c>
      <c r="S1227" s="5">
        <f t="shared" si="115"/>
        <v>43.213865205479451</v>
      </c>
      <c r="T1227" s="5">
        <f t="shared" si="116"/>
        <v>512.39297315068495</v>
      </c>
      <c r="U1227" s="15">
        <f t="shared" si="117"/>
        <v>52</v>
      </c>
      <c r="V1227" s="3">
        <f t="shared" si="118"/>
        <v>281.66180000000003</v>
      </c>
      <c r="W1227" s="3">
        <f t="shared" si="119"/>
        <v>1226</v>
      </c>
    </row>
    <row r="1228" spans="1:23" x14ac:dyDescent="0.2">
      <c r="A1228" t="s">
        <v>672</v>
      </c>
      <c r="B1228" t="s">
        <v>110</v>
      </c>
      <c r="C1228" t="s">
        <v>31</v>
      </c>
      <c r="D1228" t="s">
        <v>48</v>
      </c>
      <c r="E1228" t="s">
        <v>49</v>
      </c>
      <c r="F1228" s="7">
        <v>639703</v>
      </c>
      <c r="G1228" t="s">
        <v>967</v>
      </c>
      <c r="H1228" s="5">
        <v>20601</v>
      </c>
      <c r="I1228" s="12">
        <v>45713</v>
      </c>
      <c r="J1228" s="15">
        <v>45</v>
      </c>
      <c r="K1228" s="15">
        <v>5</v>
      </c>
      <c r="L1228" s="9">
        <v>0.1148</v>
      </c>
      <c r="M1228" s="9">
        <v>4.6699999999999998E-2</v>
      </c>
      <c r="N1228" s="15">
        <v>8</v>
      </c>
      <c r="O1228" t="s">
        <v>27</v>
      </c>
      <c r="P1228" t="s">
        <v>28</v>
      </c>
      <c r="Q1228" s="24">
        <v>0.2</v>
      </c>
      <c r="R1228" s="5">
        <f t="shared" si="114"/>
        <v>291.57470136986296</v>
      </c>
      <c r="S1228" s="5">
        <f t="shared" si="115"/>
        <v>21.086393424657533</v>
      </c>
      <c r="T1228" s="5">
        <f t="shared" si="116"/>
        <v>270.48830794520541</v>
      </c>
      <c r="U1228" s="15">
        <f t="shared" si="117"/>
        <v>37</v>
      </c>
      <c r="V1228" s="3">
        <f t="shared" si="118"/>
        <v>280.58562000000001</v>
      </c>
      <c r="W1228" s="3">
        <f t="shared" si="119"/>
        <v>1227</v>
      </c>
    </row>
    <row r="1229" spans="1:23" x14ac:dyDescent="0.2">
      <c r="A1229" t="s">
        <v>206</v>
      </c>
      <c r="B1229" t="s">
        <v>207</v>
      </c>
      <c r="C1229" t="s">
        <v>77</v>
      </c>
      <c r="D1229" t="s">
        <v>32</v>
      </c>
      <c r="E1229" t="s">
        <v>25</v>
      </c>
      <c r="F1229" s="7">
        <v>3819447</v>
      </c>
      <c r="G1229" t="s">
        <v>1542</v>
      </c>
      <c r="H1229" s="5">
        <v>21801</v>
      </c>
      <c r="I1229" s="12">
        <v>45937</v>
      </c>
      <c r="J1229" s="15">
        <v>60</v>
      </c>
      <c r="K1229" s="15">
        <v>3</v>
      </c>
      <c r="L1229" s="9">
        <v>0.12620000000000001</v>
      </c>
      <c r="M1229" s="9">
        <v>6.2100000000000002E-2</v>
      </c>
      <c r="N1229" s="15">
        <v>10</v>
      </c>
      <c r="O1229" t="s">
        <v>27</v>
      </c>
      <c r="P1229" t="s">
        <v>28</v>
      </c>
      <c r="Q1229" s="24">
        <v>0.2</v>
      </c>
      <c r="R1229" s="5">
        <f t="shared" si="114"/>
        <v>452.26622465753422</v>
      </c>
      <c r="S1229" s="5">
        <f t="shared" si="115"/>
        <v>37.091564383561646</v>
      </c>
      <c r="T1229" s="5">
        <f t="shared" si="116"/>
        <v>415.17466027397256</v>
      </c>
      <c r="U1229" s="15">
        <f t="shared" si="117"/>
        <v>50</v>
      </c>
      <c r="V1229" s="3">
        <f t="shared" si="118"/>
        <v>279.48882000000003</v>
      </c>
      <c r="W1229" s="3">
        <f t="shared" si="119"/>
        <v>1228</v>
      </c>
    </row>
    <row r="1230" spans="1:23" x14ac:dyDescent="0.2">
      <c r="A1230" t="s">
        <v>139</v>
      </c>
      <c r="B1230" t="s">
        <v>140</v>
      </c>
      <c r="C1230" t="s">
        <v>77</v>
      </c>
      <c r="D1230" t="s">
        <v>24</v>
      </c>
      <c r="E1230" t="s">
        <v>56</v>
      </c>
      <c r="F1230" s="7">
        <v>22396514</v>
      </c>
      <c r="G1230" t="s">
        <v>671</v>
      </c>
      <c r="H1230" s="5">
        <v>62860</v>
      </c>
      <c r="I1230" s="12">
        <v>45986</v>
      </c>
      <c r="J1230" s="15">
        <v>60</v>
      </c>
      <c r="K1230" s="15">
        <v>5</v>
      </c>
      <c r="L1230" s="9">
        <v>7.5700000000000003E-2</v>
      </c>
      <c r="M1230" s="9">
        <v>5.3699999999999998E-2</v>
      </c>
      <c r="N1230" s="15">
        <v>5</v>
      </c>
      <c r="O1230" t="s">
        <v>27</v>
      </c>
      <c r="P1230" t="s">
        <v>28</v>
      </c>
      <c r="Q1230" s="24">
        <v>0.2</v>
      </c>
      <c r="R1230" s="5">
        <f t="shared" si="114"/>
        <v>782.21950684931505</v>
      </c>
      <c r="S1230" s="5">
        <f t="shared" si="115"/>
        <v>46.240849315068488</v>
      </c>
      <c r="T1230" s="5">
        <f t="shared" si="116"/>
        <v>735.97865753424662</v>
      </c>
      <c r="U1230" s="15">
        <f t="shared" si="117"/>
        <v>55</v>
      </c>
      <c r="V1230" s="3">
        <f t="shared" si="118"/>
        <v>276.58400000000006</v>
      </c>
      <c r="W1230" s="3">
        <f t="shared" si="119"/>
        <v>1229</v>
      </c>
    </row>
    <row r="1231" spans="1:23" x14ac:dyDescent="0.2">
      <c r="A1231" t="s">
        <v>64</v>
      </c>
      <c r="B1231" t="s">
        <v>65</v>
      </c>
      <c r="C1231" t="s">
        <v>36</v>
      </c>
      <c r="D1231" t="s">
        <v>66</v>
      </c>
      <c r="E1231" t="s">
        <v>56</v>
      </c>
      <c r="F1231" s="7">
        <v>19529913</v>
      </c>
      <c r="G1231" t="s">
        <v>914</v>
      </c>
      <c r="H1231" s="5">
        <v>13567</v>
      </c>
      <c r="I1231" s="12">
        <v>45756</v>
      </c>
      <c r="J1231" s="15">
        <v>60</v>
      </c>
      <c r="K1231" s="15">
        <v>7</v>
      </c>
      <c r="L1231" s="9">
        <v>8.7499999999999994E-2</v>
      </c>
      <c r="M1231" s="9">
        <v>4.7100000000000003E-2</v>
      </c>
      <c r="N1231" s="15">
        <v>8</v>
      </c>
      <c r="O1231" t="s">
        <v>27</v>
      </c>
      <c r="P1231" t="s">
        <v>28</v>
      </c>
      <c r="Q1231" s="24">
        <v>0.5</v>
      </c>
      <c r="R1231" s="5">
        <f t="shared" si="114"/>
        <v>195.14178082191779</v>
      </c>
      <c r="S1231" s="5">
        <f t="shared" si="115"/>
        <v>14.005604383561645</v>
      </c>
      <c r="T1231" s="5">
        <f t="shared" si="116"/>
        <v>181.13617643835616</v>
      </c>
      <c r="U1231" s="15">
        <f t="shared" si="117"/>
        <v>52</v>
      </c>
      <c r="V1231" s="3">
        <f t="shared" si="118"/>
        <v>274.05339999999995</v>
      </c>
      <c r="W1231" s="3">
        <f t="shared" si="119"/>
        <v>1230</v>
      </c>
    </row>
    <row r="1232" spans="1:23" x14ac:dyDescent="0.2">
      <c r="A1232" t="s">
        <v>411</v>
      </c>
      <c r="B1232" t="s">
        <v>412</v>
      </c>
      <c r="C1232" t="s">
        <v>31</v>
      </c>
      <c r="D1232" t="s">
        <v>66</v>
      </c>
      <c r="E1232" t="s">
        <v>25</v>
      </c>
      <c r="F1232" s="7">
        <v>2416616</v>
      </c>
      <c r="G1232" t="s">
        <v>1632</v>
      </c>
      <c r="H1232" s="5">
        <v>28683</v>
      </c>
      <c r="I1232" s="12">
        <v>45677</v>
      </c>
      <c r="J1232" s="15">
        <v>60</v>
      </c>
      <c r="K1232" s="15">
        <v>3</v>
      </c>
      <c r="L1232" s="9">
        <v>0.1024</v>
      </c>
      <c r="M1232" s="9">
        <v>5.5399999999999998E-2</v>
      </c>
      <c r="N1232" s="15">
        <v>5</v>
      </c>
      <c r="O1232" t="s">
        <v>28</v>
      </c>
      <c r="P1232" t="s">
        <v>28</v>
      </c>
      <c r="Q1232" s="24">
        <v>0.2</v>
      </c>
      <c r="R1232" s="5">
        <f t="shared" si="114"/>
        <v>482.81740273972599</v>
      </c>
      <c r="S1232" s="5">
        <f t="shared" si="115"/>
        <v>21.767646575342464</v>
      </c>
      <c r="T1232" s="5">
        <f t="shared" si="116"/>
        <v>461.04975616438355</v>
      </c>
      <c r="U1232" s="15">
        <f t="shared" si="117"/>
        <v>55</v>
      </c>
      <c r="V1232" s="3">
        <f t="shared" si="118"/>
        <v>269.62020000000007</v>
      </c>
      <c r="W1232" s="3">
        <f t="shared" si="119"/>
        <v>1231</v>
      </c>
    </row>
    <row r="1233" spans="1:23" x14ac:dyDescent="0.2">
      <c r="A1233" t="s">
        <v>300</v>
      </c>
      <c r="B1233" t="s">
        <v>301</v>
      </c>
      <c r="C1233" t="s">
        <v>77</v>
      </c>
      <c r="D1233" t="s">
        <v>66</v>
      </c>
      <c r="E1233" t="s">
        <v>25</v>
      </c>
      <c r="F1233" s="7">
        <v>2362296</v>
      </c>
      <c r="G1233" t="s">
        <v>1115</v>
      </c>
      <c r="H1233" s="5">
        <v>26539</v>
      </c>
      <c r="I1233" s="12">
        <v>45743</v>
      </c>
      <c r="J1233" s="15">
        <v>90</v>
      </c>
      <c r="K1233" s="15">
        <v>7</v>
      </c>
      <c r="L1233" s="9">
        <v>0.1077</v>
      </c>
      <c r="M1233" s="9">
        <v>5.7200000000000001E-2</v>
      </c>
      <c r="N1233" s="15">
        <v>5</v>
      </c>
      <c r="O1233" t="s">
        <v>27</v>
      </c>
      <c r="P1233" t="s">
        <v>28</v>
      </c>
      <c r="Q1233" s="24">
        <v>0.2</v>
      </c>
      <c r="R1233" s="5">
        <f t="shared" si="114"/>
        <v>704.77404657534248</v>
      </c>
      <c r="S1233" s="5">
        <f t="shared" si="115"/>
        <v>20.794942465753422</v>
      </c>
      <c r="T1233" s="5">
        <f t="shared" si="116"/>
        <v>683.97910410958912</v>
      </c>
      <c r="U1233" s="15">
        <f t="shared" si="117"/>
        <v>85</v>
      </c>
      <c r="V1233" s="3">
        <f t="shared" si="118"/>
        <v>268.04390000000001</v>
      </c>
      <c r="W1233" s="3">
        <f t="shared" si="119"/>
        <v>1232</v>
      </c>
    </row>
    <row r="1234" spans="1:23" x14ac:dyDescent="0.2">
      <c r="A1234" t="s">
        <v>268</v>
      </c>
      <c r="B1234" t="s">
        <v>269</v>
      </c>
      <c r="C1234" t="s">
        <v>36</v>
      </c>
      <c r="D1234" t="s">
        <v>37</v>
      </c>
      <c r="E1234" t="s">
        <v>25</v>
      </c>
      <c r="F1234" s="7">
        <v>1810544</v>
      </c>
      <c r="G1234" t="s">
        <v>1001</v>
      </c>
      <c r="H1234" s="5">
        <v>27544</v>
      </c>
      <c r="I1234" s="12">
        <v>45875</v>
      </c>
      <c r="J1234" s="15">
        <v>45</v>
      </c>
      <c r="K1234" s="15">
        <v>10</v>
      </c>
      <c r="L1234" s="9">
        <v>9.6299999999999997E-2</v>
      </c>
      <c r="M1234" s="9">
        <v>4.7800000000000002E-2</v>
      </c>
      <c r="N1234" s="15">
        <v>6</v>
      </c>
      <c r="O1234" t="s">
        <v>27</v>
      </c>
      <c r="P1234" t="s">
        <v>28</v>
      </c>
      <c r="Q1234" s="24">
        <v>0.2</v>
      </c>
      <c r="R1234" s="5">
        <f t="shared" si="114"/>
        <v>327.01896986301369</v>
      </c>
      <c r="S1234" s="5">
        <f t="shared" si="115"/>
        <v>21.642792328767122</v>
      </c>
      <c r="T1234" s="5">
        <f t="shared" si="116"/>
        <v>305.37617753424655</v>
      </c>
      <c r="U1234" s="15">
        <f t="shared" si="117"/>
        <v>39</v>
      </c>
      <c r="V1234" s="3">
        <f t="shared" si="118"/>
        <v>267.17680000000001</v>
      </c>
      <c r="W1234" s="3">
        <f t="shared" si="119"/>
        <v>1233</v>
      </c>
    </row>
    <row r="1235" spans="1:23" x14ac:dyDescent="0.2">
      <c r="A1235" t="s">
        <v>319</v>
      </c>
      <c r="B1235" t="s">
        <v>320</v>
      </c>
      <c r="C1235" t="s">
        <v>41</v>
      </c>
      <c r="D1235" t="s">
        <v>37</v>
      </c>
      <c r="E1235" t="s">
        <v>56</v>
      </c>
      <c r="F1235" s="7">
        <v>23937545</v>
      </c>
      <c r="G1235" t="s">
        <v>1492</v>
      </c>
      <c r="H1235" s="5">
        <v>34312</v>
      </c>
      <c r="I1235" s="12">
        <v>45999</v>
      </c>
      <c r="J1235" s="15">
        <v>60</v>
      </c>
      <c r="K1235" s="15">
        <v>2</v>
      </c>
      <c r="L1235" s="9">
        <v>8.7099999999999997E-2</v>
      </c>
      <c r="M1235" s="9">
        <v>4.8300000000000003E-2</v>
      </c>
      <c r="N1235" s="15">
        <v>7</v>
      </c>
      <c r="O1235" t="s">
        <v>27</v>
      </c>
      <c r="P1235" t="s">
        <v>28</v>
      </c>
      <c r="Q1235" s="24">
        <v>0.2</v>
      </c>
      <c r="R1235" s="5">
        <f t="shared" si="114"/>
        <v>491.27263561643827</v>
      </c>
      <c r="S1235" s="5">
        <f t="shared" si="115"/>
        <v>31.783252602739729</v>
      </c>
      <c r="T1235" s="5">
        <f t="shared" si="116"/>
        <v>459.48938301369856</v>
      </c>
      <c r="U1235" s="15">
        <f t="shared" si="117"/>
        <v>53</v>
      </c>
      <c r="V1235" s="3">
        <f t="shared" si="118"/>
        <v>266.26112000000001</v>
      </c>
      <c r="W1235" s="3">
        <f t="shared" si="119"/>
        <v>1234</v>
      </c>
    </row>
    <row r="1236" spans="1:23" x14ac:dyDescent="0.2">
      <c r="A1236" t="s">
        <v>249</v>
      </c>
      <c r="B1236" t="s">
        <v>250</v>
      </c>
      <c r="C1236" t="s">
        <v>23</v>
      </c>
      <c r="D1236" t="s">
        <v>66</v>
      </c>
      <c r="E1236" t="s">
        <v>25</v>
      </c>
      <c r="F1236" s="7">
        <v>2803992</v>
      </c>
      <c r="G1236" t="s">
        <v>1283</v>
      </c>
      <c r="H1236" s="5">
        <v>30764</v>
      </c>
      <c r="I1236" s="12">
        <v>45812</v>
      </c>
      <c r="J1236" s="15">
        <v>90</v>
      </c>
      <c r="K1236" s="15">
        <v>7</v>
      </c>
      <c r="L1236" s="9">
        <v>0.1036</v>
      </c>
      <c r="M1236" s="9">
        <v>6.0699999999999997E-2</v>
      </c>
      <c r="N1236" s="15">
        <v>10</v>
      </c>
      <c r="O1236" t="s">
        <v>28</v>
      </c>
      <c r="P1236" t="s">
        <v>28</v>
      </c>
      <c r="Q1236" s="24">
        <v>0.2</v>
      </c>
      <c r="R1236" s="5">
        <f t="shared" si="114"/>
        <v>785.87270136986297</v>
      </c>
      <c r="S1236" s="5">
        <f t="shared" si="115"/>
        <v>51.160953424657528</v>
      </c>
      <c r="T1236" s="5">
        <f t="shared" si="116"/>
        <v>734.71174794520539</v>
      </c>
      <c r="U1236" s="15">
        <f t="shared" si="117"/>
        <v>80</v>
      </c>
      <c r="V1236" s="3">
        <f t="shared" si="118"/>
        <v>263.95512000000002</v>
      </c>
      <c r="W1236" s="3">
        <f t="shared" si="119"/>
        <v>1235</v>
      </c>
    </row>
    <row r="1237" spans="1:23" x14ac:dyDescent="0.2">
      <c r="A1237" t="s">
        <v>411</v>
      </c>
      <c r="B1237" t="s">
        <v>412</v>
      </c>
      <c r="C1237" t="s">
        <v>31</v>
      </c>
      <c r="D1237" t="s">
        <v>66</v>
      </c>
      <c r="E1237" t="s">
        <v>25</v>
      </c>
      <c r="F1237" s="7">
        <v>2416616</v>
      </c>
      <c r="G1237" t="s">
        <v>901</v>
      </c>
      <c r="H1237" s="5">
        <v>13413</v>
      </c>
      <c r="I1237" s="12">
        <v>45806</v>
      </c>
      <c r="J1237" s="15">
        <v>60</v>
      </c>
      <c r="K1237" s="15">
        <v>7</v>
      </c>
      <c r="L1237" s="9">
        <v>0.1024</v>
      </c>
      <c r="M1237" s="9">
        <v>6.3100000000000003E-2</v>
      </c>
      <c r="N1237" s="15">
        <v>10</v>
      </c>
      <c r="O1237" t="s">
        <v>27</v>
      </c>
      <c r="P1237" t="s">
        <v>28</v>
      </c>
      <c r="Q1237" s="24">
        <v>0.5</v>
      </c>
      <c r="R1237" s="5">
        <f t="shared" si="114"/>
        <v>225.77937534246576</v>
      </c>
      <c r="S1237" s="5">
        <f t="shared" si="115"/>
        <v>23.187953424657536</v>
      </c>
      <c r="T1237" s="5">
        <f t="shared" si="116"/>
        <v>202.59142191780822</v>
      </c>
      <c r="U1237" s="15">
        <f t="shared" si="117"/>
        <v>50</v>
      </c>
      <c r="V1237" s="3">
        <f t="shared" si="118"/>
        <v>263.56545</v>
      </c>
      <c r="W1237" s="3">
        <f t="shared" si="119"/>
        <v>1236</v>
      </c>
    </row>
    <row r="1238" spans="1:23" x14ac:dyDescent="0.2">
      <c r="A1238" t="s">
        <v>75</v>
      </c>
      <c r="B1238" t="s">
        <v>76</v>
      </c>
      <c r="C1238" t="s">
        <v>77</v>
      </c>
      <c r="D1238" t="s">
        <v>37</v>
      </c>
      <c r="E1238" t="s">
        <v>49</v>
      </c>
      <c r="F1238" s="7">
        <v>1309806</v>
      </c>
      <c r="G1238" t="s">
        <v>511</v>
      </c>
      <c r="H1238" s="5">
        <v>12835</v>
      </c>
      <c r="I1238" s="12">
        <v>45829</v>
      </c>
      <c r="J1238" s="15">
        <v>90</v>
      </c>
      <c r="K1238" s="15">
        <v>2</v>
      </c>
      <c r="L1238" s="9">
        <v>0.15210000000000001</v>
      </c>
      <c r="M1238" s="9">
        <v>4.9700000000000001E-2</v>
      </c>
      <c r="N1238" s="15">
        <v>7</v>
      </c>
      <c r="O1238" t="s">
        <v>27</v>
      </c>
      <c r="P1238" t="s">
        <v>28</v>
      </c>
      <c r="Q1238" s="24">
        <v>0.2</v>
      </c>
      <c r="R1238" s="5">
        <f t="shared" si="114"/>
        <v>481.36524657534244</v>
      </c>
      <c r="S1238" s="5">
        <f t="shared" si="115"/>
        <v>12.233689041095891</v>
      </c>
      <c r="T1238" s="5">
        <f t="shared" si="116"/>
        <v>469.13155753424655</v>
      </c>
      <c r="U1238" s="15">
        <f t="shared" si="117"/>
        <v>83</v>
      </c>
      <c r="V1238" s="3">
        <f t="shared" si="118"/>
        <v>262.86080000000004</v>
      </c>
      <c r="W1238" s="3">
        <f t="shared" si="119"/>
        <v>1237</v>
      </c>
    </row>
    <row r="1239" spans="1:23" x14ac:dyDescent="0.2">
      <c r="A1239" t="s">
        <v>136</v>
      </c>
      <c r="B1239" t="s">
        <v>137</v>
      </c>
      <c r="C1239" t="s">
        <v>31</v>
      </c>
      <c r="D1239" t="s">
        <v>37</v>
      </c>
      <c r="E1239" t="s">
        <v>56</v>
      </c>
      <c r="F1239" s="7">
        <v>17196352</v>
      </c>
      <c r="G1239" t="s">
        <v>1141</v>
      </c>
      <c r="H1239" s="5">
        <v>49156</v>
      </c>
      <c r="I1239" s="12">
        <v>45871</v>
      </c>
      <c r="J1239" s="15">
        <v>45</v>
      </c>
      <c r="K1239" s="15">
        <v>10</v>
      </c>
      <c r="L1239" s="9">
        <v>8.1500000000000003E-2</v>
      </c>
      <c r="M1239" s="9">
        <v>5.4800000000000001E-2</v>
      </c>
      <c r="N1239" s="15">
        <v>5</v>
      </c>
      <c r="O1239" t="s">
        <v>27</v>
      </c>
      <c r="P1239" t="s">
        <v>28</v>
      </c>
      <c r="Q1239" s="24">
        <v>0.2</v>
      </c>
      <c r="R1239" s="5">
        <f t="shared" si="114"/>
        <v>493.91679452054791</v>
      </c>
      <c r="S1239" s="5">
        <f t="shared" si="115"/>
        <v>36.900668493150683</v>
      </c>
      <c r="T1239" s="5">
        <f t="shared" si="116"/>
        <v>457.01612602739721</v>
      </c>
      <c r="U1239" s="15">
        <f t="shared" si="117"/>
        <v>40</v>
      </c>
      <c r="V1239" s="3">
        <f t="shared" si="118"/>
        <v>262.49304000000006</v>
      </c>
      <c r="W1239" s="3">
        <f t="shared" si="119"/>
        <v>1238</v>
      </c>
    </row>
    <row r="1240" spans="1:23" x14ac:dyDescent="0.2">
      <c r="A1240" t="s">
        <v>1057</v>
      </c>
      <c r="B1240" t="s">
        <v>1058</v>
      </c>
      <c r="C1240" t="s">
        <v>23</v>
      </c>
      <c r="D1240" t="s">
        <v>37</v>
      </c>
      <c r="E1240" t="s">
        <v>56</v>
      </c>
      <c r="F1240" s="7">
        <v>13389097</v>
      </c>
      <c r="G1240" t="s">
        <v>1736</v>
      </c>
      <c r="H1240" s="5">
        <v>108919</v>
      </c>
      <c r="I1240" s="12">
        <v>45969</v>
      </c>
      <c r="J1240" s="15">
        <v>45</v>
      </c>
      <c r="K1240" s="15">
        <v>10</v>
      </c>
      <c r="L1240" s="9">
        <v>7.3800000000000004E-2</v>
      </c>
      <c r="M1240" s="9">
        <v>6.2199999999999998E-2</v>
      </c>
      <c r="N1240" s="15">
        <v>6</v>
      </c>
      <c r="O1240" t="s">
        <v>27</v>
      </c>
      <c r="P1240" t="s">
        <v>28</v>
      </c>
      <c r="Q1240" s="24">
        <v>0.2</v>
      </c>
      <c r="R1240" s="5">
        <f t="shared" si="114"/>
        <v>991.01369589041087</v>
      </c>
      <c r="S1240" s="5">
        <f t="shared" si="115"/>
        <v>111.36594739726027</v>
      </c>
      <c r="T1240" s="5">
        <f t="shared" si="116"/>
        <v>879.64774849315063</v>
      </c>
      <c r="U1240" s="15">
        <f t="shared" si="117"/>
        <v>39</v>
      </c>
      <c r="V1240" s="3">
        <f t="shared" si="118"/>
        <v>252.69208000000015</v>
      </c>
      <c r="W1240" s="3">
        <f t="shared" si="119"/>
        <v>1239</v>
      </c>
    </row>
    <row r="1241" spans="1:23" x14ac:dyDescent="0.2">
      <c r="A1241" t="s">
        <v>263</v>
      </c>
      <c r="B1241" t="s">
        <v>264</v>
      </c>
      <c r="C1241" t="s">
        <v>77</v>
      </c>
      <c r="D1241" t="s">
        <v>24</v>
      </c>
      <c r="E1241" t="s">
        <v>25</v>
      </c>
      <c r="F1241" s="7">
        <v>4450767</v>
      </c>
      <c r="G1241" t="s">
        <v>1788</v>
      </c>
      <c r="H1241" s="5">
        <v>28493</v>
      </c>
      <c r="I1241" s="12">
        <v>46025</v>
      </c>
      <c r="J1241" s="15">
        <v>45</v>
      </c>
      <c r="K1241" s="15">
        <v>3</v>
      </c>
      <c r="L1241" s="9">
        <v>0.10489999999999999</v>
      </c>
      <c r="M1241" s="9">
        <v>6.1100000000000002E-2</v>
      </c>
      <c r="N1241" s="15">
        <v>6</v>
      </c>
      <c r="O1241" t="s">
        <v>28</v>
      </c>
      <c r="P1241" t="s">
        <v>28</v>
      </c>
      <c r="Q1241" s="24">
        <v>0.2</v>
      </c>
      <c r="R1241" s="5">
        <f t="shared" si="114"/>
        <v>368.49645616438352</v>
      </c>
      <c r="S1241" s="5">
        <f t="shared" si="115"/>
        <v>28.617900821917804</v>
      </c>
      <c r="T1241" s="5">
        <f t="shared" si="116"/>
        <v>339.87855534246569</v>
      </c>
      <c r="U1241" s="15">
        <f t="shared" si="117"/>
        <v>39</v>
      </c>
      <c r="V1241" s="3">
        <f t="shared" si="118"/>
        <v>249.59867999999997</v>
      </c>
      <c r="W1241" s="3">
        <f t="shared" si="119"/>
        <v>1240</v>
      </c>
    </row>
    <row r="1242" spans="1:23" x14ac:dyDescent="0.2">
      <c r="A1242" t="s">
        <v>160</v>
      </c>
      <c r="B1242" t="s">
        <v>161</v>
      </c>
      <c r="C1242" t="s">
        <v>23</v>
      </c>
      <c r="D1242" t="s">
        <v>66</v>
      </c>
      <c r="E1242" t="s">
        <v>56</v>
      </c>
      <c r="F1242" s="7">
        <v>8479307</v>
      </c>
      <c r="G1242" t="s">
        <v>1232</v>
      </c>
      <c r="H1242" s="5">
        <v>72542</v>
      </c>
      <c r="I1242" s="12">
        <v>46021</v>
      </c>
      <c r="J1242" s="15">
        <v>60</v>
      </c>
      <c r="K1242" s="15">
        <v>10</v>
      </c>
      <c r="L1242" s="9">
        <v>7.0099999999999996E-2</v>
      </c>
      <c r="M1242" s="9">
        <v>5.2999999999999999E-2</v>
      </c>
      <c r="N1242" s="15">
        <v>6</v>
      </c>
      <c r="O1242" t="s">
        <v>27</v>
      </c>
      <c r="P1242" t="s">
        <v>28</v>
      </c>
      <c r="Q1242" s="24">
        <v>0.2</v>
      </c>
      <c r="R1242" s="5">
        <f t="shared" si="114"/>
        <v>835.92233424657525</v>
      </c>
      <c r="S1242" s="5">
        <f t="shared" si="115"/>
        <v>63.200975342465746</v>
      </c>
      <c r="T1242" s="5">
        <f t="shared" si="116"/>
        <v>772.72135890410948</v>
      </c>
      <c r="U1242" s="15">
        <f t="shared" si="117"/>
        <v>54</v>
      </c>
      <c r="V1242" s="3">
        <f t="shared" si="118"/>
        <v>248.09363999999997</v>
      </c>
      <c r="W1242" s="3">
        <f t="shared" si="119"/>
        <v>1241</v>
      </c>
    </row>
    <row r="1243" spans="1:23" x14ac:dyDescent="0.2">
      <c r="A1243" t="s">
        <v>450</v>
      </c>
      <c r="B1243" t="s">
        <v>76</v>
      </c>
      <c r="C1243" t="s">
        <v>41</v>
      </c>
      <c r="D1243" t="s">
        <v>32</v>
      </c>
      <c r="E1243" t="s">
        <v>56</v>
      </c>
      <c r="F1243" s="7">
        <v>13637712</v>
      </c>
      <c r="G1243" t="s">
        <v>1034</v>
      </c>
      <c r="H1243" s="5">
        <v>22048</v>
      </c>
      <c r="I1243" s="12">
        <v>45870</v>
      </c>
      <c r="J1243" s="15">
        <v>60</v>
      </c>
      <c r="K1243" s="15">
        <v>4</v>
      </c>
      <c r="L1243" s="9">
        <v>8.6999999999999994E-2</v>
      </c>
      <c r="M1243" s="9">
        <v>5.5100000000000003E-2</v>
      </c>
      <c r="N1243" s="15">
        <v>7</v>
      </c>
      <c r="O1243" t="s">
        <v>27</v>
      </c>
      <c r="P1243" t="s">
        <v>28</v>
      </c>
      <c r="Q1243" s="24">
        <v>0.35</v>
      </c>
      <c r="R1243" s="5">
        <f t="shared" si="114"/>
        <v>315.31660273972602</v>
      </c>
      <c r="S1243" s="5">
        <f t="shared" si="115"/>
        <v>23.298393424657537</v>
      </c>
      <c r="T1243" s="5">
        <f t="shared" si="116"/>
        <v>292.01820931506848</v>
      </c>
      <c r="U1243" s="15">
        <f t="shared" si="117"/>
        <v>53</v>
      </c>
      <c r="V1243" s="3">
        <f t="shared" si="118"/>
        <v>246.16591999999991</v>
      </c>
      <c r="W1243" s="3">
        <f t="shared" si="119"/>
        <v>1242</v>
      </c>
    </row>
    <row r="1244" spans="1:23" x14ac:dyDescent="0.2">
      <c r="A1244" t="s">
        <v>571</v>
      </c>
      <c r="B1244" t="s">
        <v>214</v>
      </c>
      <c r="C1244" t="s">
        <v>31</v>
      </c>
      <c r="D1244" t="s">
        <v>48</v>
      </c>
      <c r="E1244" t="s">
        <v>25</v>
      </c>
      <c r="F1244" s="7">
        <v>4353599</v>
      </c>
      <c r="G1244" t="s">
        <v>572</v>
      </c>
      <c r="H1244" s="5">
        <v>31613</v>
      </c>
      <c r="I1244" s="12">
        <v>46060</v>
      </c>
      <c r="J1244" s="15">
        <v>45</v>
      </c>
      <c r="K1244" s="15">
        <v>7</v>
      </c>
      <c r="L1244" s="9">
        <v>9.5600000000000004E-2</v>
      </c>
      <c r="M1244" s="9">
        <v>5.67E-2</v>
      </c>
      <c r="N1244" s="15">
        <v>5</v>
      </c>
      <c r="O1244" t="s">
        <v>27</v>
      </c>
      <c r="P1244" t="s">
        <v>28</v>
      </c>
      <c r="Q1244" s="24">
        <v>0.2</v>
      </c>
      <c r="R1244" s="5">
        <f t="shared" si="114"/>
        <v>372.60034520547941</v>
      </c>
      <c r="S1244" s="5">
        <f t="shared" si="115"/>
        <v>24.554206849315069</v>
      </c>
      <c r="T1244" s="5">
        <f t="shared" si="116"/>
        <v>348.04613835616436</v>
      </c>
      <c r="U1244" s="15">
        <f t="shared" si="117"/>
        <v>40</v>
      </c>
      <c r="V1244" s="3">
        <f t="shared" si="118"/>
        <v>245.94914000000003</v>
      </c>
      <c r="W1244" s="3">
        <f t="shared" si="119"/>
        <v>1243</v>
      </c>
    </row>
    <row r="1245" spans="1:23" x14ac:dyDescent="0.2">
      <c r="A1245" t="s">
        <v>281</v>
      </c>
      <c r="B1245" t="s">
        <v>47</v>
      </c>
      <c r="C1245" t="s">
        <v>23</v>
      </c>
      <c r="D1245" t="s">
        <v>66</v>
      </c>
      <c r="E1245" t="s">
        <v>56</v>
      </c>
      <c r="F1245" s="7">
        <v>22780879</v>
      </c>
      <c r="G1245" t="s">
        <v>541</v>
      </c>
      <c r="H1245" s="5">
        <v>76517</v>
      </c>
      <c r="I1245" s="12">
        <v>45927</v>
      </c>
      <c r="J1245" s="15">
        <v>60</v>
      </c>
      <c r="K1245" s="15">
        <v>3</v>
      </c>
      <c r="L1245" s="9">
        <v>7.0800000000000002E-2</v>
      </c>
      <c r="M1245" s="9">
        <v>5.4800000000000001E-2</v>
      </c>
      <c r="N1245" s="15">
        <v>5</v>
      </c>
      <c r="O1245" t="s">
        <v>28</v>
      </c>
      <c r="P1245" t="s">
        <v>28</v>
      </c>
      <c r="Q1245" s="24">
        <v>0.2</v>
      </c>
      <c r="R1245" s="5">
        <f t="shared" si="114"/>
        <v>890.53209863013706</v>
      </c>
      <c r="S1245" s="5">
        <f t="shared" si="115"/>
        <v>57.44015890410958</v>
      </c>
      <c r="T1245" s="5">
        <f t="shared" si="116"/>
        <v>833.09193972602748</v>
      </c>
      <c r="U1245" s="15">
        <f t="shared" si="117"/>
        <v>55</v>
      </c>
      <c r="V1245" s="3">
        <f t="shared" si="118"/>
        <v>244.8544</v>
      </c>
      <c r="W1245" s="3">
        <f t="shared" si="119"/>
        <v>1244</v>
      </c>
    </row>
    <row r="1246" spans="1:23" x14ac:dyDescent="0.2">
      <c r="A1246" t="s">
        <v>249</v>
      </c>
      <c r="B1246" t="s">
        <v>250</v>
      </c>
      <c r="C1246" t="s">
        <v>23</v>
      </c>
      <c r="D1246" t="s">
        <v>66</v>
      </c>
      <c r="E1246" t="s">
        <v>25</v>
      </c>
      <c r="F1246" s="7">
        <v>2803992</v>
      </c>
      <c r="G1246" t="s">
        <v>989</v>
      </c>
      <c r="H1246" s="5">
        <v>12320</v>
      </c>
      <c r="I1246" s="12">
        <v>45871</v>
      </c>
      <c r="J1246" s="15">
        <v>45</v>
      </c>
      <c r="K1246" s="15">
        <v>4</v>
      </c>
      <c r="L1246" s="9">
        <v>0.1036</v>
      </c>
      <c r="M1246" s="9">
        <v>6.4100000000000004E-2</v>
      </c>
      <c r="N1246" s="15">
        <v>8</v>
      </c>
      <c r="O1246" t="s">
        <v>28</v>
      </c>
      <c r="P1246" t="s">
        <v>28</v>
      </c>
      <c r="Q1246" s="24">
        <v>0.5</v>
      </c>
      <c r="R1246" s="5">
        <f t="shared" si="114"/>
        <v>157.35846575342464</v>
      </c>
      <c r="S1246" s="5">
        <f t="shared" si="115"/>
        <v>17.308756164383563</v>
      </c>
      <c r="T1246" s="5">
        <f t="shared" si="116"/>
        <v>140.04970958904107</v>
      </c>
      <c r="U1246" s="15">
        <f t="shared" si="117"/>
        <v>37</v>
      </c>
      <c r="V1246" s="3">
        <f t="shared" si="118"/>
        <v>243.31999999999996</v>
      </c>
      <c r="W1246" s="3">
        <f t="shared" si="119"/>
        <v>1245</v>
      </c>
    </row>
    <row r="1247" spans="1:23" x14ac:dyDescent="0.2">
      <c r="A1247" t="s">
        <v>358</v>
      </c>
      <c r="B1247" t="s">
        <v>164</v>
      </c>
      <c r="C1247" t="s">
        <v>77</v>
      </c>
      <c r="D1247" t="s">
        <v>48</v>
      </c>
      <c r="E1247" t="s">
        <v>56</v>
      </c>
      <c r="F1247" s="7">
        <v>11944379</v>
      </c>
      <c r="G1247" t="s">
        <v>780</v>
      </c>
      <c r="H1247" s="5">
        <v>46517</v>
      </c>
      <c r="I1247" s="12">
        <v>45975</v>
      </c>
      <c r="J1247" s="15">
        <v>60</v>
      </c>
      <c r="K1247" s="15">
        <v>5</v>
      </c>
      <c r="L1247" s="9">
        <v>7.0999999999999994E-2</v>
      </c>
      <c r="M1247" s="9">
        <v>4.4999999999999998E-2</v>
      </c>
      <c r="N1247" s="15">
        <v>10</v>
      </c>
      <c r="O1247" t="s">
        <v>27</v>
      </c>
      <c r="P1247" t="s">
        <v>28</v>
      </c>
      <c r="Q1247" s="24">
        <v>0.2</v>
      </c>
      <c r="R1247" s="5">
        <f t="shared" si="114"/>
        <v>542.91073972602737</v>
      </c>
      <c r="S1247" s="5">
        <f t="shared" si="115"/>
        <v>57.349726027397253</v>
      </c>
      <c r="T1247" s="5">
        <f t="shared" si="116"/>
        <v>485.56101369863012</v>
      </c>
      <c r="U1247" s="15">
        <f t="shared" si="117"/>
        <v>50</v>
      </c>
      <c r="V1247" s="3">
        <f t="shared" si="118"/>
        <v>241.88839999999999</v>
      </c>
      <c r="W1247" s="3">
        <f t="shared" si="119"/>
        <v>1246</v>
      </c>
    </row>
    <row r="1248" spans="1:23" x14ac:dyDescent="0.2">
      <c r="A1248" t="s">
        <v>711</v>
      </c>
      <c r="B1248" t="s">
        <v>190</v>
      </c>
      <c r="C1248" t="s">
        <v>77</v>
      </c>
      <c r="D1248" t="s">
        <v>37</v>
      </c>
      <c r="E1248" t="s">
        <v>49</v>
      </c>
      <c r="F1248" s="7">
        <v>407422</v>
      </c>
      <c r="G1248" t="s">
        <v>1175</v>
      </c>
      <c r="H1248" s="5">
        <v>18155</v>
      </c>
      <c r="I1248" s="12">
        <v>45950</v>
      </c>
      <c r="J1248" s="15">
        <v>45</v>
      </c>
      <c r="K1248" s="15">
        <v>5</v>
      </c>
      <c r="L1248" s="9">
        <v>0.121</v>
      </c>
      <c r="M1248" s="9">
        <v>5.5599999999999997E-2</v>
      </c>
      <c r="N1248" s="15">
        <v>7</v>
      </c>
      <c r="O1248" t="s">
        <v>28</v>
      </c>
      <c r="P1248" t="s">
        <v>28</v>
      </c>
      <c r="Q1248" s="24">
        <v>0.2</v>
      </c>
      <c r="R1248" s="5">
        <f t="shared" si="114"/>
        <v>270.8328082191781</v>
      </c>
      <c r="S1248" s="5">
        <f t="shared" si="115"/>
        <v>19.358701369863013</v>
      </c>
      <c r="T1248" s="5">
        <f t="shared" si="116"/>
        <v>251.47410684931509</v>
      </c>
      <c r="U1248" s="15">
        <f t="shared" si="117"/>
        <v>38</v>
      </c>
      <c r="V1248" s="3">
        <f t="shared" si="118"/>
        <v>237.46740000000003</v>
      </c>
      <c r="W1248" s="3">
        <f t="shared" si="119"/>
        <v>1247</v>
      </c>
    </row>
    <row r="1249" spans="1:23" x14ac:dyDescent="0.2">
      <c r="A1249" t="s">
        <v>189</v>
      </c>
      <c r="B1249" t="s">
        <v>190</v>
      </c>
      <c r="C1249" t="s">
        <v>36</v>
      </c>
      <c r="D1249" t="s">
        <v>37</v>
      </c>
      <c r="E1249" t="s">
        <v>49</v>
      </c>
      <c r="F1249" s="7">
        <v>965613</v>
      </c>
      <c r="G1249" t="s">
        <v>191</v>
      </c>
      <c r="H1249" s="5">
        <v>14389</v>
      </c>
      <c r="I1249" s="12">
        <v>45728</v>
      </c>
      <c r="J1249" s="15">
        <v>60</v>
      </c>
      <c r="K1249" s="15">
        <v>3</v>
      </c>
      <c r="L1249" s="9">
        <v>0.1109</v>
      </c>
      <c r="M1249" s="9">
        <v>6.4000000000000001E-2</v>
      </c>
      <c r="N1249" s="15">
        <v>7</v>
      </c>
      <c r="O1249" t="s">
        <v>27</v>
      </c>
      <c r="P1249" t="s">
        <v>28</v>
      </c>
      <c r="Q1249" s="24">
        <v>0.35</v>
      </c>
      <c r="R1249" s="5">
        <f t="shared" si="114"/>
        <v>262.31344109589037</v>
      </c>
      <c r="S1249" s="5">
        <f t="shared" si="115"/>
        <v>17.661019178082196</v>
      </c>
      <c r="T1249" s="5">
        <f t="shared" si="116"/>
        <v>244.65242191780817</v>
      </c>
      <c r="U1249" s="15">
        <f t="shared" si="117"/>
        <v>53</v>
      </c>
      <c r="V1249" s="3">
        <f t="shared" si="118"/>
        <v>236.19543499999997</v>
      </c>
      <c r="W1249" s="3">
        <f t="shared" si="119"/>
        <v>1248</v>
      </c>
    </row>
    <row r="1250" spans="1:23" x14ac:dyDescent="0.2">
      <c r="A1250" t="s">
        <v>133</v>
      </c>
      <c r="B1250" t="s">
        <v>134</v>
      </c>
      <c r="C1250" t="s">
        <v>36</v>
      </c>
      <c r="D1250" t="s">
        <v>24</v>
      </c>
      <c r="E1250" t="s">
        <v>25</v>
      </c>
      <c r="F1250" s="7">
        <v>6056843</v>
      </c>
      <c r="G1250" t="s">
        <v>558</v>
      </c>
      <c r="H1250" s="5">
        <v>18505</v>
      </c>
      <c r="I1250" s="12">
        <v>45808</v>
      </c>
      <c r="J1250" s="15">
        <v>60</v>
      </c>
      <c r="K1250" s="15">
        <v>7</v>
      </c>
      <c r="L1250" s="9">
        <v>0.12520000000000001</v>
      </c>
      <c r="M1250" s="9">
        <v>6.1800000000000001E-2</v>
      </c>
      <c r="N1250" s="15">
        <v>6</v>
      </c>
      <c r="O1250" t="s">
        <v>28</v>
      </c>
      <c r="P1250" t="s">
        <v>28</v>
      </c>
      <c r="Q1250" s="24">
        <v>0.2</v>
      </c>
      <c r="R1250" s="5">
        <f t="shared" si="114"/>
        <v>380.84810958904109</v>
      </c>
      <c r="S1250" s="5">
        <f t="shared" si="115"/>
        <v>18.799052054794519</v>
      </c>
      <c r="T1250" s="5">
        <f t="shared" si="116"/>
        <v>362.04905753424657</v>
      </c>
      <c r="U1250" s="15">
        <f t="shared" si="117"/>
        <v>54</v>
      </c>
      <c r="V1250" s="3">
        <f t="shared" si="118"/>
        <v>234.64340000000007</v>
      </c>
      <c r="W1250" s="3">
        <f t="shared" si="119"/>
        <v>1249</v>
      </c>
    </row>
    <row r="1251" spans="1:23" x14ac:dyDescent="0.2">
      <c r="A1251" t="s">
        <v>281</v>
      </c>
      <c r="B1251" t="s">
        <v>47</v>
      </c>
      <c r="C1251" t="s">
        <v>23</v>
      </c>
      <c r="D1251" t="s">
        <v>66</v>
      </c>
      <c r="E1251" t="s">
        <v>56</v>
      </c>
      <c r="F1251" s="7">
        <v>22780879</v>
      </c>
      <c r="G1251" t="s">
        <v>833</v>
      </c>
      <c r="H1251" s="5">
        <v>17047</v>
      </c>
      <c r="I1251" s="12">
        <v>45860</v>
      </c>
      <c r="J1251" s="15">
        <v>60</v>
      </c>
      <c r="K1251" s="15">
        <v>5</v>
      </c>
      <c r="L1251" s="9">
        <v>7.0800000000000002E-2</v>
      </c>
      <c r="M1251" s="9">
        <v>5.4100000000000002E-2</v>
      </c>
      <c r="N1251" s="15">
        <v>5</v>
      </c>
      <c r="O1251" t="s">
        <v>27</v>
      </c>
      <c r="P1251" t="s">
        <v>28</v>
      </c>
      <c r="Q1251" s="24">
        <v>0.8</v>
      </c>
      <c r="R1251" s="5">
        <f t="shared" si="114"/>
        <v>198.39905753424657</v>
      </c>
      <c r="S1251" s="5">
        <f t="shared" si="115"/>
        <v>12.633461643835616</v>
      </c>
      <c r="T1251" s="5">
        <f t="shared" si="116"/>
        <v>185.76559589041096</v>
      </c>
      <c r="U1251" s="15">
        <f t="shared" si="117"/>
        <v>55</v>
      </c>
      <c r="V1251" s="3">
        <f t="shared" si="118"/>
        <v>227.74791999999999</v>
      </c>
      <c r="W1251" s="3">
        <f t="shared" si="119"/>
        <v>1250</v>
      </c>
    </row>
    <row r="1252" spans="1:23" x14ac:dyDescent="0.2">
      <c r="A1252" t="s">
        <v>311</v>
      </c>
      <c r="B1252" t="s">
        <v>312</v>
      </c>
      <c r="C1252" t="s">
        <v>23</v>
      </c>
      <c r="D1252" t="s">
        <v>32</v>
      </c>
      <c r="E1252" t="s">
        <v>25</v>
      </c>
      <c r="F1252" s="7">
        <v>3726894</v>
      </c>
      <c r="G1252" t="s">
        <v>1271</v>
      </c>
      <c r="H1252" s="5">
        <v>34365</v>
      </c>
      <c r="I1252" s="12">
        <v>45888</v>
      </c>
      <c r="J1252" s="15">
        <v>45</v>
      </c>
      <c r="K1252" s="15">
        <v>3</v>
      </c>
      <c r="L1252" s="9">
        <v>9.1899999999999996E-2</v>
      </c>
      <c r="M1252" s="9">
        <v>5.91E-2</v>
      </c>
      <c r="N1252" s="15">
        <v>6</v>
      </c>
      <c r="O1252" t="s">
        <v>27</v>
      </c>
      <c r="P1252" t="s">
        <v>28</v>
      </c>
      <c r="Q1252" s="24">
        <v>0.2</v>
      </c>
      <c r="R1252" s="5">
        <f t="shared" si="114"/>
        <v>389.36015753424653</v>
      </c>
      <c r="S1252" s="5">
        <f t="shared" si="115"/>
        <v>33.385832876712321</v>
      </c>
      <c r="T1252" s="5">
        <f t="shared" si="116"/>
        <v>355.97432465753423</v>
      </c>
      <c r="U1252" s="15">
        <f t="shared" si="117"/>
        <v>39</v>
      </c>
      <c r="V1252" s="3">
        <f t="shared" si="118"/>
        <v>225.43439999999998</v>
      </c>
      <c r="W1252" s="3">
        <f t="shared" si="119"/>
        <v>1251</v>
      </c>
    </row>
    <row r="1253" spans="1:23" x14ac:dyDescent="0.2">
      <c r="A1253" t="s">
        <v>85</v>
      </c>
      <c r="B1253" t="s">
        <v>86</v>
      </c>
      <c r="C1253" t="s">
        <v>36</v>
      </c>
      <c r="D1253" t="s">
        <v>37</v>
      </c>
      <c r="E1253" t="s">
        <v>25</v>
      </c>
      <c r="F1253" s="7">
        <v>1954421</v>
      </c>
      <c r="G1253" t="s">
        <v>1346</v>
      </c>
      <c r="H1253" s="5">
        <v>13788</v>
      </c>
      <c r="I1253" s="12">
        <v>45880</v>
      </c>
      <c r="J1253" s="15">
        <v>60</v>
      </c>
      <c r="K1253" s="15">
        <v>3</v>
      </c>
      <c r="L1253" s="9">
        <v>0.1237</v>
      </c>
      <c r="M1253" s="9">
        <v>4.5999999999999999E-2</v>
      </c>
      <c r="N1253" s="15">
        <v>7</v>
      </c>
      <c r="O1253" t="s">
        <v>27</v>
      </c>
      <c r="P1253" t="s">
        <v>28</v>
      </c>
      <c r="Q1253" s="24">
        <v>0.2</v>
      </c>
      <c r="R1253" s="5">
        <f t="shared" si="114"/>
        <v>280.36859178082193</v>
      </c>
      <c r="S1253" s="5">
        <f t="shared" si="115"/>
        <v>12.163660273972603</v>
      </c>
      <c r="T1253" s="5">
        <f t="shared" si="116"/>
        <v>268.20493150684933</v>
      </c>
      <c r="U1253" s="15">
        <f t="shared" si="117"/>
        <v>53</v>
      </c>
      <c r="V1253" s="3">
        <f t="shared" si="118"/>
        <v>214.26552000000004</v>
      </c>
      <c r="W1253" s="3">
        <f t="shared" si="119"/>
        <v>1252</v>
      </c>
    </row>
    <row r="1254" spans="1:23" x14ac:dyDescent="0.2">
      <c r="A1254" t="s">
        <v>596</v>
      </c>
      <c r="B1254" t="s">
        <v>439</v>
      </c>
      <c r="C1254" t="s">
        <v>77</v>
      </c>
      <c r="D1254" t="s">
        <v>24</v>
      </c>
      <c r="E1254" t="s">
        <v>56</v>
      </c>
      <c r="F1254" s="7">
        <v>9396117</v>
      </c>
      <c r="G1254" t="s">
        <v>631</v>
      </c>
      <c r="H1254" s="5">
        <v>100643</v>
      </c>
      <c r="I1254" s="12">
        <v>45987</v>
      </c>
      <c r="J1254" s="15">
        <v>60</v>
      </c>
      <c r="K1254" s="15">
        <v>3</v>
      </c>
      <c r="L1254" s="9">
        <v>7.2400000000000006E-2</v>
      </c>
      <c r="M1254" s="9">
        <v>6.1800000000000001E-2</v>
      </c>
      <c r="N1254" s="15">
        <v>10</v>
      </c>
      <c r="O1254" t="s">
        <v>27</v>
      </c>
      <c r="P1254" t="s">
        <v>28</v>
      </c>
      <c r="Q1254" s="24">
        <v>0.2</v>
      </c>
      <c r="R1254" s="5">
        <f t="shared" si="114"/>
        <v>1197.7895671232877</v>
      </c>
      <c r="S1254" s="5">
        <f t="shared" si="115"/>
        <v>170.40376438356162</v>
      </c>
      <c r="T1254" s="5">
        <f t="shared" si="116"/>
        <v>1027.3858027397262</v>
      </c>
      <c r="U1254" s="15">
        <f t="shared" si="117"/>
        <v>50</v>
      </c>
      <c r="V1254" s="3">
        <f t="shared" si="118"/>
        <v>213.36316000000014</v>
      </c>
      <c r="W1254" s="3">
        <f t="shared" si="119"/>
        <v>1253</v>
      </c>
    </row>
    <row r="1255" spans="1:23" x14ac:dyDescent="0.2">
      <c r="A1255" t="s">
        <v>72</v>
      </c>
      <c r="B1255" t="s">
        <v>73</v>
      </c>
      <c r="C1255" t="s">
        <v>31</v>
      </c>
      <c r="D1255" t="s">
        <v>32</v>
      </c>
      <c r="E1255" t="s">
        <v>56</v>
      </c>
      <c r="F1255" s="7">
        <v>21625874</v>
      </c>
      <c r="G1255" t="s">
        <v>695</v>
      </c>
      <c r="H1255" s="5">
        <v>22104</v>
      </c>
      <c r="I1255" s="12">
        <v>45996</v>
      </c>
      <c r="J1255" s="15">
        <v>60</v>
      </c>
      <c r="K1255" s="15">
        <v>4</v>
      </c>
      <c r="L1255" s="9">
        <v>9.5399999999999999E-2</v>
      </c>
      <c r="M1255" s="9">
        <v>4.9200000000000001E-2</v>
      </c>
      <c r="N1255" s="15">
        <v>6</v>
      </c>
      <c r="O1255" t="s">
        <v>28</v>
      </c>
      <c r="P1255" t="s">
        <v>28</v>
      </c>
      <c r="Q1255" s="24">
        <v>0.2</v>
      </c>
      <c r="R1255" s="5">
        <f t="shared" si="114"/>
        <v>346.63916712328762</v>
      </c>
      <c r="S1255" s="5">
        <f t="shared" si="115"/>
        <v>17.876988493150684</v>
      </c>
      <c r="T1255" s="5">
        <f t="shared" si="116"/>
        <v>328.76217863013693</v>
      </c>
      <c r="U1255" s="15">
        <f t="shared" si="117"/>
        <v>54</v>
      </c>
      <c r="V1255" s="3">
        <f t="shared" si="118"/>
        <v>204.24096</v>
      </c>
      <c r="W1255" s="3">
        <f t="shared" si="119"/>
        <v>1254</v>
      </c>
    </row>
    <row r="1256" spans="1:23" x14ac:dyDescent="0.2">
      <c r="A1256" t="s">
        <v>145</v>
      </c>
      <c r="B1256" t="s">
        <v>146</v>
      </c>
      <c r="C1256" t="s">
        <v>23</v>
      </c>
      <c r="D1256" t="s">
        <v>48</v>
      </c>
      <c r="E1256" t="s">
        <v>25</v>
      </c>
      <c r="F1256" s="7">
        <v>5790128</v>
      </c>
      <c r="G1256" t="s">
        <v>1520</v>
      </c>
      <c r="H1256" s="5">
        <v>24696</v>
      </c>
      <c r="I1256" s="12">
        <v>45811</v>
      </c>
      <c r="J1256" s="15">
        <v>45</v>
      </c>
      <c r="K1256" s="15">
        <v>2</v>
      </c>
      <c r="L1256" s="9">
        <v>9.5799999999999996E-2</v>
      </c>
      <c r="M1256" s="9">
        <v>5.45E-2</v>
      </c>
      <c r="N1256" s="15">
        <v>10</v>
      </c>
      <c r="O1256" t="s">
        <v>27</v>
      </c>
      <c r="P1256" t="s">
        <v>28</v>
      </c>
      <c r="Q1256" s="24">
        <v>0.2</v>
      </c>
      <c r="R1256" s="5">
        <f t="shared" si="114"/>
        <v>291.68344109589037</v>
      </c>
      <c r="S1256" s="5">
        <f t="shared" si="115"/>
        <v>36.874849315068495</v>
      </c>
      <c r="T1256" s="5">
        <f t="shared" si="116"/>
        <v>254.80859178082187</v>
      </c>
      <c r="U1256" s="15">
        <f t="shared" si="117"/>
        <v>35</v>
      </c>
      <c r="V1256" s="3">
        <f t="shared" si="118"/>
        <v>203.98895999999999</v>
      </c>
      <c r="W1256" s="3">
        <f t="shared" si="119"/>
        <v>1255</v>
      </c>
    </row>
    <row r="1257" spans="1:23" x14ac:dyDescent="0.2">
      <c r="A1257" t="s">
        <v>358</v>
      </c>
      <c r="B1257" t="s">
        <v>164</v>
      </c>
      <c r="C1257" t="s">
        <v>77</v>
      </c>
      <c r="D1257" t="s">
        <v>48</v>
      </c>
      <c r="E1257" t="s">
        <v>56</v>
      </c>
      <c r="F1257" s="7">
        <v>11944379</v>
      </c>
      <c r="G1257" t="s">
        <v>1038</v>
      </c>
      <c r="H1257" s="5">
        <v>109836</v>
      </c>
      <c r="I1257" s="12">
        <v>45982</v>
      </c>
      <c r="J1257" s="15">
        <v>60</v>
      </c>
      <c r="K1257" s="15">
        <v>4</v>
      </c>
      <c r="L1257" s="9">
        <v>7.0999999999999994E-2</v>
      </c>
      <c r="M1257" s="9">
        <v>6.1899999999999997E-2</v>
      </c>
      <c r="N1257" s="15">
        <v>8</v>
      </c>
      <c r="O1257" t="s">
        <v>27</v>
      </c>
      <c r="P1257" t="s">
        <v>28</v>
      </c>
      <c r="Q1257" s="24">
        <v>0.2</v>
      </c>
      <c r="R1257" s="5">
        <f t="shared" si="114"/>
        <v>1281.921534246575</v>
      </c>
      <c r="S1257" s="5">
        <f t="shared" si="115"/>
        <v>149.01585534246576</v>
      </c>
      <c r="T1257" s="5">
        <f t="shared" si="116"/>
        <v>1132.9056789041092</v>
      </c>
      <c r="U1257" s="15">
        <f t="shared" si="117"/>
        <v>52</v>
      </c>
      <c r="V1257" s="3">
        <f t="shared" si="118"/>
        <v>199.90151999999995</v>
      </c>
      <c r="W1257" s="3">
        <f t="shared" si="119"/>
        <v>1256</v>
      </c>
    </row>
    <row r="1258" spans="1:23" x14ac:dyDescent="0.2">
      <c r="A1258" t="s">
        <v>54</v>
      </c>
      <c r="B1258" t="s">
        <v>55</v>
      </c>
      <c r="C1258" t="s">
        <v>31</v>
      </c>
      <c r="D1258" t="s">
        <v>24</v>
      </c>
      <c r="E1258" t="s">
        <v>56</v>
      </c>
      <c r="F1258" s="7">
        <v>15261617</v>
      </c>
      <c r="G1258" t="s">
        <v>57</v>
      </c>
      <c r="H1258" s="5">
        <v>33567</v>
      </c>
      <c r="I1258" s="12">
        <v>45897</v>
      </c>
      <c r="J1258" s="15">
        <v>45</v>
      </c>
      <c r="K1258" s="15">
        <v>5</v>
      </c>
      <c r="L1258" s="9">
        <v>9.3200000000000005E-2</v>
      </c>
      <c r="M1258" s="9">
        <v>6.4299999999999996E-2</v>
      </c>
      <c r="N1258" s="15">
        <v>7</v>
      </c>
      <c r="O1258" t="s">
        <v>27</v>
      </c>
      <c r="P1258" t="s">
        <v>28</v>
      </c>
      <c r="Q1258" s="24">
        <v>0.2</v>
      </c>
      <c r="R1258" s="5">
        <f t="shared" si="114"/>
        <v>385.69862465753425</v>
      </c>
      <c r="S1258" s="5">
        <f t="shared" si="115"/>
        <v>41.393169041095888</v>
      </c>
      <c r="T1258" s="5">
        <f t="shared" si="116"/>
        <v>344.30545561643839</v>
      </c>
      <c r="U1258" s="15">
        <f t="shared" si="117"/>
        <v>38</v>
      </c>
      <c r="V1258" s="3">
        <f t="shared" si="118"/>
        <v>194.01726000000008</v>
      </c>
      <c r="W1258" s="3">
        <f t="shared" si="119"/>
        <v>1257</v>
      </c>
    </row>
    <row r="1259" spans="1:23" x14ac:dyDescent="0.2">
      <c r="A1259" t="s">
        <v>130</v>
      </c>
      <c r="B1259" t="s">
        <v>131</v>
      </c>
      <c r="C1259" t="s">
        <v>36</v>
      </c>
      <c r="D1259" t="s">
        <v>48</v>
      </c>
      <c r="E1259" t="s">
        <v>56</v>
      </c>
      <c r="F1259" s="7">
        <v>10372464</v>
      </c>
      <c r="G1259" t="s">
        <v>1746</v>
      </c>
      <c r="H1259" s="5">
        <v>26249</v>
      </c>
      <c r="I1259" s="12">
        <v>46008</v>
      </c>
      <c r="J1259" s="15">
        <v>60</v>
      </c>
      <c r="K1259" s="15">
        <v>3</v>
      </c>
      <c r="L1259" s="9">
        <v>8.77E-2</v>
      </c>
      <c r="M1259" s="9">
        <v>5.11E-2</v>
      </c>
      <c r="N1259" s="15">
        <v>7</v>
      </c>
      <c r="O1259" t="s">
        <v>27</v>
      </c>
      <c r="P1259" t="s">
        <v>28</v>
      </c>
      <c r="Q1259" s="24">
        <v>0.2</v>
      </c>
      <c r="R1259" s="5">
        <f t="shared" si="114"/>
        <v>378.41709041095885</v>
      </c>
      <c r="S1259" s="5">
        <f t="shared" si="115"/>
        <v>25.724020000000003</v>
      </c>
      <c r="T1259" s="5">
        <f t="shared" si="116"/>
        <v>352.69307041095885</v>
      </c>
      <c r="U1259" s="15">
        <f t="shared" si="117"/>
        <v>53</v>
      </c>
      <c r="V1259" s="3">
        <f t="shared" si="118"/>
        <v>192.14268000000001</v>
      </c>
      <c r="W1259" s="3">
        <f t="shared" si="119"/>
        <v>1258</v>
      </c>
    </row>
    <row r="1260" spans="1:23" x14ac:dyDescent="0.2">
      <c r="A1260" t="s">
        <v>358</v>
      </c>
      <c r="B1260" t="s">
        <v>164</v>
      </c>
      <c r="C1260" t="s">
        <v>77</v>
      </c>
      <c r="D1260" t="s">
        <v>48</v>
      </c>
      <c r="E1260" t="s">
        <v>56</v>
      </c>
      <c r="F1260" s="7">
        <v>11944379</v>
      </c>
      <c r="G1260" t="s">
        <v>1479</v>
      </c>
      <c r="H1260" s="5">
        <v>22852</v>
      </c>
      <c r="I1260" s="12">
        <v>45688</v>
      </c>
      <c r="J1260" s="15">
        <v>60</v>
      </c>
      <c r="K1260" s="15">
        <v>3</v>
      </c>
      <c r="L1260" s="9">
        <v>7.0999999999999994E-2</v>
      </c>
      <c r="M1260" s="9">
        <v>5.8200000000000002E-2</v>
      </c>
      <c r="N1260" s="15">
        <v>6</v>
      </c>
      <c r="O1260" t="s">
        <v>27</v>
      </c>
      <c r="P1260" t="s">
        <v>28</v>
      </c>
      <c r="Q1260" s="24">
        <v>0.65</v>
      </c>
      <c r="R1260" s="5">
        <f t="shared" si="114"/>
        <v>266.7110136986301</v>
      </c>
      <c r="S1260" s="5">
        <f t="shared" si="115"/>
        <v>21.862790136986298</v>
      </c>
      <c r="T1260" s="5">
        <f t="shared" si="116"/>
        <v>244.84822356164381</v>
      </c>
      <c r="U1260" s="15">
        <f t="shared" si="117"/>
        <v>54</v>
      </c>
      <c r="V1260" s="3">
        <f t="shared" si="118"/>
        <v>190.1286399999999</v>
      </c>
      <c r="W1260" s="3">
        <f t="shared" si="119"/>
        <v>1259</v>
      </c>
    </row>
    <row r="1261" spans="1:23" x14ac:dyDescent="0.2">
      <c r="A1261" t="s">
        <v>281</v>
      </c>
      <c r="B1261" t="s">
        <v>47</v>
      </c>
      <c r="C1261" t="s">
        <v>23</v>
      </c>
      <c r="D1261" t="s">
        <v>66</v>
      </c>
      <c r="E1261" t="s">
        <v>56</v>
      </c>
      <c r="F1261" s="7">
        <v>22780879</v>
      </c>
      <c r="G1261" t="s">
        <v>714</v>
      </c>
      <c r="H1261" s="5">
        <v>95345</v>
      </c>
      <c r="I1261" s="12">
        <v>45792</v>
      </c>
      <c r="J1261" s="15">
        <v>30</v>
      </c>
      <c r="K1261" s="15">
        <v>2</v>
      </c>
      <c r="L1261" s="9">
        <v>7.0800000000000002E-2</v>
      </c>
      <c r="M1261" s="9">
        <v>6.1499999999999999E-2</v>
      </c>
      <c r="N1261" s="15">
        <v>8</v>
      </c>
      <c r="O1261" t="s">
        <v>27</v>
      </c>
      <c r="P1261" t="s">
        <v>28</v>
      </c>
      <c r="Q1261" s="24">
        <v>0.2</v>
      </c>
      <c r="R1261" s="5">
        <f t="shared" si="114"/>
        <v>554.82953424657535</v>
      </c>
      <c r="S1261" s="5">
        <f t="shared" si="115"/>
        <v>128.51983561643834</v>
      </c>
      <c r="T1261" s="5">
        <f t="shared" si="116"/>
        <v>426.30969863013701</v>
      </c>
      <c r="U1261" s="15">
        <f t="shared" si="117"/>
        <v>22</v>
      </c>
      <c r="V1261" s="3">
        <f t="shared" si="118"/>
        <v>177.34170000000006</v>
      </c>
      <c r="W1261" s="3">
        <f t="shared" si="119"/>
        <v>1260</v>
      </c>
    </row>
    <row r="1262" spans="1:23" x14ac:dyDescent="0.2">
      <c r="A1262" t="s">
        <v>429</v>
      </c>
      <c r="B1262" t="s">
        <v>430</v>
      </c>
      <c r="C1262" t="s">
        <v>41</v>
      </c>
      <c r="D1262" t="s">
        <v>48</v>
      </c>
      <c r="E1262" t="s">
        <v>56</v>
      </c>
      <c r="F1262" s="7">
        <v>22445214</v>
      </c>
      <c r="G1262" t="s">
        <v>868</v>
      </c>
      <c r="H1262" s="5">
        <v>29395</v>
      </c>
      <c r="I1262" s="12">
        <v>46009</v>
      </c>
      <c r="J1262" s="15">
        <v>45</v>
      </c>
      <c r="K1262" s="15">
        <v>2</v>
      </c>
      <c r="L1262" s="9">
        <v>8.4000000000000005E-2</v>
      </c>
      <c r="M1262" s="9">
        <v>5.4199999999999998E-2</v>
      </c>
      <c r="N1262" s="15">
        <v>10</v>
      </c>
      <c r="O1262" t="s">
        <v>28</v>
      </c>
      <c r="P1262" t="s">
        <v>28</v>
      </c>
      <c r="Q1262" s="24">
        <v>0.2</v>
      </c>
      <c r="R1262" s="5">
        <f t="shared" si="114"/>
        <v>304.41945205479453</v>
      </c>
      <c r="S1262" s="5">
        <f t="shared" si="115"/>
        <v>43.649561643835618</v>
      </c>
      <c r="T1262" s="5">
        <f t="shared" si="116"/>
        <v>260.76989041095891</v>
      </c>
      <c r="U1262" s="15">
        <f t="shared" si="117"/>
        <v>35</v>
      </c>
      <c r="V1262" s="3">
        <f t="shared" si="118"/>
        <v>175.19420000000005</v>
      </c>
      <c r="W1262" s="3">
        <f t="shared" si="119"/>
        <v>1261</v>
      </c>
    </row>
    <row r="1263" spans="1:23" x14ac:dyDescent="0.2">
      <c r="A1263" t="s">
        <v>596</v>
      </c>
      <c r="B1263" t="s">
        <v>439</v>
      </c>
      <c r="C1263" t="s">
        <v>77</v>
      </c>
      <c r="D1263" t="s">
        <v>24</v>
      </c>
      <c r="E1263" t="s">
        <v>56</v>
      </c>
      <c r="F1263" s="7">
        <v>9396117</v>
      </c>
      <c r="G1263" t="s">
        <v>707</v>
      </c>
      <c r="H1263" s="5">
        <v>65562</v>
      </c>
      <c r="I1263" s="12">
        <v>45850</v>
      </c>
      <c r="J1263" s="15">
        <v>45</v>
      </c>
      <c r="K1263" s="15">
        <v>2</v>
      </c>
      <c r="L1263" s="9">
        <v>7.2400000000000006E-2</v>
      </c>
      <c r="M1263" s="9">
        <v>5.9200000000000003E-2</v>
      </c>
      <c r="N1263" s="15">
        <v>5</v>
      </c>
      <c r="O1263" t="s">
        <v>27</v>
      </c>
      <c r="P1263" t="s">
        <v>28</v>
      </c>
      <c r="Q1263" s="24">
        <v>0.2</v>
      </c>
      <c r="R1263" s="5">
        <f t="shared" si="114"/>
        <v>585.20820821917812</v>
      </c>
      <c r="S1263" s="5">
        <f t="shared" si="115"/>
        <v>53.168087671232875</v>
      </c>
      <c r="T1263" s="5">
        <f t="shared" si="116"/>
        <v>532.04012054794521</v>
      </c>
      <c r="U1263" s="15">
        <f t="shared" si="117"/>
        <v>40</v>
      </c>
      <c r="V1263" s="3">
        <f t="shared" si="118"/>
        <v>173.08368000000004</v>
      </c>
      <c r="W1263" s="3">
        <f t="shared" si="119"/>
        <v>1262</v>
      </c>
    </row>
    <row r="1264" spans="1:23" x14ac:dyDescent="0.2">
      <c r="A1264" t="s">
        <v>160</v>
      </c>
      <c r="B1264" t="s">
        <v>161</v>
      </c>
      <c r="C1264" t="s">
        <v>23</v>
      </c>
      <c r="D1264" t="s">
        <v>66</v>
      </c>
      <c r="E1264" t="s">
        <v>56</v>
      </c>
      <c r="F1264" s="7">
        <v>8479307</v>
      </c>
      <c r="G1264" t="s">
        <v>1285</v>
      </c>
      <c r="H1264" s="5">
        <v>43897</v>
      </c>
      <c r="I1264" s="12">
        <v>45825</v>
      </c>
      <c r="J1264" s="15">
        <v>45</v>
      </c>
      <c r="K1264" s="15">
        <v>10</v>
      </c>
      <c r="L1264" s="9">
        <v>7.0099999999999996E-2</v>
      </c>
      <c r="M1264" s="9">
        <v>5.8999999999999997E-2</v>
      </c>
      <c r="N1264" s="15">
        <v>5</v>
      </c>
      <c r="O1264" t="s">
        <v>27</v>
      </c>
      <c r="P1264" t="s">
        <v>28</v>
      </c>
      <c r="Q1264" s="24">
        <v>0.35</v>
      </c>
      <c r="R1264" s="5">
        <f t="shared" si="114"/>
        <v>379.37831917808211</v>
      </c>
      <c r="S1264" s="5">
        <f t="shared" si="115"/>
        <v>35.478397260273965</v>
      </c>
      <c r="T1264" s="5">
        <f t="shared" si="116"/>
        <v>343.89992191780811</v>
      </c>
      <c r="U1264" s="15">
        <f t="shared" si="117"/>
        <v>40</v>
      </c>
      <c r="V1264" s="3">
        <f t="shared" si="118"/>
        <v>170.53984499999996</v>
      </c>
      <c r="W1264" s="3">
        <f t="shared" si="119"/>
        <v>1263</v>
      </c>
    </row>
    <row r="1265" spans="1:23" x14ac:dyDescent="0.2">
      <c r="A1265" t="s">
        <v>145</v>
      </c>
      <c r="B1265" t="s">
        <v>146</v>
      </c>
      <c r="C1265" t="s">
        <v>23</v>
      </c>
      <c r="D1265" t="s">
        <v>48</v>
      </c>
      <c r="E1265" t="s">
        <v>25</v>
      </c>
      <c r="F1265" s="7">
        <v>5790128</v>
      </c>
      <c r="G1265" t="s">
        <v>1483</v>
      </c>
      <c r="H1265" s="5">
        <v>20996</v>
      </c>
      <c r="I1265" s="12">
        <v>46039</v>
      </c>
      <c r="J1265" s="15">
        <v>45</v>
      </c>
      <c r="K1265" s="15">
        <v>3</v>
      </c>
      <c r="L1265" s="9">
        <v>9.5799999999999996E-2</v>
      </c>
      <c r="M1265" s="9">
        <v>5.8700000000000002E-2</v>
      </c>
      <c r="N1265" s="15">
        <v>10</v>
      </c>
      <c r="O1265" t="s">
        <v>27</v>
      </c>
      <c r="P1265" t="s">
        <v>28</v>
      </c>
      <c r="Q1265" s="24">
        <v>0.2</v>
      </c>
      <c r="R1265" s="5">
        <f t="shared" si="114"/>
        <v>247.9828931506849</v>
      </c>
      <c r="S1265" s="5">
        <f t="shared" si="115"/>
        <v>33.766169863013701</v>
      </c>
      <c r="T1265" s="5">
        <f t="shared" si="116"/>
        <v>214.21672328767119</v>
      </c>
      <c r="U1265" s="15">
        <f t="shared" si="117"/>
        <v>35</v>
      </c>
      <c r="V1265" s="3">
        <f t="shared" si="118"/>
        <v>155.79031999999998</v>
      </c>
      <c r="W1265" s="3">
        <f t="shared" si="119"/>
        <v>1264</v>
      </c>
    </row>
    <row r="1266" spans="1:23" x14ac:dyDescent="0.2">
      <c r="A1266" t="s">
        <v>491</v>
      </c>
      <c r="B1266" t="s">
        <v>131</v>
      </c>
      <c r="C1266" t="s">
        <v>31</v>
      </c>
      <c r="D1266" t="s">
        <v>32</v>
      </c>
      <c r="E1266" t="s">
        <v>56</v>
      </c>
      <c r="F1266" s="7">
        <v>21735545</v>
      </c>
      <c r="G1266" t="s">
        <v>1280</v>
      </c>
      <c r="H1266" s="5">
        <v>66149</v>
      </c>
      <c r="I1266" s="12">
        <v>46071</v>
      </c>
      <c r="J1266" s="15">
        <v>60</v>
      </c>
      <c r="K1266" s="15">
        <v>2</v>
      </c>
      <c r="L1266" s="9">
        <v>7.4999999999999997E-2</v>
      </c>
      <c r="M1266" s="9">
        <v>6.4699999999999994E-2</v>
      </c>
      <c r="N1266" s="15">
        <v>7</v>
      </c>
      <c r="O1266" t="s">
        <v>28</v>
      </c>
      <c r="P1266" t="s">
        <v>28</v>
      </c>
      <c r="Q1266" s="24">
        <v>0.2</v>
      </c>
      <c r="R1266" s="5">
        <f t="shared" si="114"/>
        <v>815.5356164383561</v>
      </c>
      <c r="S1266" s="5">
        <f t="shared" si="115"/>
        <v>82.079129041095896</v>
      </c>
      <c r="T1266" s="5">
        <f t="shared" si="116"/>
        <v>733.45648739726016</v>
      </c>
      <c r="U1266" s="15">
        <f t="shared" si="117"/>
        <v>53</v>
      </c>
      <c r="V1266" s="3">
        <f t="shared" si="118"/>
        <v>136.26694000000003</v>
      </c>
      <c r="W1266" s="3">
        <f t="shared" si="119"/>
        <v>1265</v>
      </c>
    </row>
    <row r="1267" spans="1:23" x14ac:dyDescent="0.2">
      <c r="A1267" t="s">
        <v>602</v>
      </c>
      <c r="B1267" t="s">
        <v>367</v>
      </c>
      <c r="C1267" t="s">
        <v>41</v>
      </c>
      <c r="D1267" t="s">
        <v>66</v>
      </c>
      <c r="E1267" t="s">
        <v>56</v>
      </c>
      <c r="F1267" s="7">
        <v>9703738</v>
      </c>
      <c r="G1267" t="s">
        <v>1068</v>
      </c>
      <c r="H1267" s="5">
        <v>13352</v>
      </c>
      <c r="I1267" s="12">
        <v>45874</v>
      </c>
      <c r="J1267" s="15">
        <v>60</v>
      </c>
      <c r="K1267" s="15">
        <v>4</v>
      </c>
      <c r="L1267" s="9">
        <v>7.5499999999999998E-2</v>
      </c>
      <c r="M1267" s="9">
        <v>6.4500000000000002E-2</v>
      </c>
      <c r="N1267" s="15">
        <v>8</v>
      </c>
      <c r="O1267" t="s">
        <v>27</v>
      </c>
      <c r="P1267" t="s">
        <v>28</v>
      </c>
      <c r="Q1267" s="24">
        <v>0.9</v>
      </c>
      <c r="R1267" s="5">
        <f t="shared" si="114"/>
        <v>165.71112328767123</v>
      </c>
      <c r="S1267" s="5">
        <f t="shared" si="115"/>
        <v>18.875704109589044</v>
      </c>
      <c r="T1267" s="5">
        <f t="shared" si="116"/>
        <v>146.83541917808219</v>
      </c>
      <c r="U1267" s="15">
        <f t="shared" si="117"/>
        <v>52</v>
      </c>
      <c r="V1267" s="3">
        <f t="shared" si="118"/>
        <v>132.18479999999997</v>
      </c>
      <c r="W1267" s="3">
        <f t="shared" si="119"/>
        <v>1266</v>
      </c>
    </row>
    <row r="1268" spans="1:23" x14ac:dyDescent="0.2">
      <c r="A1268" t="s">
        <v>627</v>
      </c>
      <c r="B1268" t="s">
        <v>383</v>
      </c>
      <c r="C1268" t="s">
        <v>77</v>
      </c>
      <c r="D1268" t="s">
        <v>37</v>
      </c>
      <c r="E1268" t="s">
        <v>56</v>
      </c>
      <c r="F1268" s="7">
        <v>17195029</v>
      </c>
      <c r="G1268" t="s">
        <v>1539</v>
      </c>
      <c r="H1268" s="5">
        <v>58151</v>
      </c>
      <c r="I1268" s="12">
        <v>45949</v>
      </c>
      <c r="J1268" s="15">
        <v>60</v>
      </c>
      <c r="K1268" s="15">
        <v>7</v>
      </c>
      <c r="L1268" s="9">
        <v>7.3400000000000007E-2</v>
      </c>
      <c r="M1268" s="9">
        <v>6.2100000000000002E-2</v>
      </c>
      <c r="N1268" s="15">
        <v>5</v>
      </c>
      <c r="O1268" t="s">
        <v>27</v>
      </c>
      <c r="P1268" t="s">
        <v>28</v>
      </c>
      <c r="Q1268" s="24">
        <v>0.2</v>
      </c>
      <c r="R1268" s="5">
        <f t="shared" si="114"/>
        <v>701.63562739726024</v>
      </c>
      <c r="S1268" s="5">
        <f t="shared" si="115"/>
        <v>49.468179452054798</v>
      </c>
      <c r="T1268" s="5">
        <f t="shared" si="116"/>
        <v>652.16744794520548</v>
      </c>
      <c r="U1268" s="15">
        <f t="shared" si="117"/>
        <v>55</v>
      </c>
      <c r="V1268" s="3">
        <f t="shared" si="118"/>
        <v>131.42126000000007</v>
      </c>
      <c r="W1268" s="3">
        <f t="shared" si="119"/>
        <v>1267</v>
      </c>
    </row>
    <row r="1269" spans="1:23" x14ac:dyDescent="0.2">
      <c r="A1269" t="s">
        <v>392</v>
      </c>
      <c r="B1269" t="s">
        <v>393</v>
      </c>
      <c r="C1269" t="s">
        <v>23</v>
      </c>
      <c r="D1269" t="s">
        <v>32</v>
      </c>
      <c r="E1269" t="s">
        <v>56</v>
      </c>
      <c r="F1269" s="7">
        <v>13101534</v>
      </c>
      <c r="G1269" t="s">
        <v>1471</v>
      </c>
      <c r="H1269" s="5">
        <v>21103</v>
      </c>
      <c r="I1269" s="12">
        <v>45942</v>
      </c>
      <c r="J1269" s="15">
        <v>60</v>
      </c>
      <c r="K1269" s="15">
        <v>5</v>
      </c>
      <c r="L1269" s="9">
        <v>8.9499999999999996E-2</v>
      </c>
      <c r="M1269" s="9">
        <v>5.9499999999999997E-2</v>
      </c>
      <c r="N1269" s="15">
        <v>7</v>
      </c>
      <c r="O1269" t="s">
        <v>27</v>
      </c>
      <c r="P1269" t="s">
        <v>28</v>
      </c>
      <c r="Q1269" s="24">
        <v>0.2</v>
      </c>
      <c r="R1269" s="5">
        <f t="shared" si="114"/>
        <v>310.4742739726027</v>
      </c>
      <c r="S1269" s="5">
        <f t="shared" si="115"/>
        <v>24.080546575342467</v>
      </c>
      <c r="T1269" s="5">
        <f t="shared" si="116"/>
        <v>286.39372739726025</v>
      </c>
      <c r="U1269" s="15">
        <f t="shared" si="117"/>
        <v>53</v>
      </c>
      <c r="V1269" s="3">
        <f t="shared" si="118"/>
        <v>126.61800000000001</v>
      </c>
      <c r="W1269" s="3">
        <f t="shared" si="119"/>
        <v>1268</v>
      </c>
    </row>
    <row r="1270" spans="1:23" x14ac:dyDescent="0.2">
      <c r="A1270" t="s">
        <v>273</v>
      </c>
      <c r="B1270" t="s">
        <v>274</v>
      </c>
      <c r="C1270" t="s">
        <v>41</v>
      </c>
      <c r="D1270" t="s">
        <v>37</v>
      </c>
      <c r="E1270" t="s">
        <v>56</v>
      </c>
      <c r="F1270" s="7">
        <v>12001432</v>
      </c>
      <c r="G1270" t="s">
        <v>1452</v>
      </c>
      <c r="H1270" s="5">
        <v>22142</v>
      </c>
      <c r="I1270" s="12">
        <v>45869</v>
      </c>
      <c r="J1270" s="15">
        <v>60</v>
      </c>
      <c r="K1270" s="15">
        <v>4</v>
      </c>
      <c r="L1270" s="9">
        <v>9.1800000000000007E-2</v>
      </c>
      <c r="M1270" s="9">
        <v>6.3299999999999995E-2</v>
      </c>
      <c r="N1270" s="15">
        <v>6</v>
      </c>
      <c r="O1270" t="s">
        <v>27</v>
      </c>
      <c r="P1270" t="s">
        <v>28</v>
      </c>
      <c r="Q1270" s="24">
        <v>0.2</v>
      </c>
      <c r="R1270" s="5">
        <f t="shared" si="114"/>
        <v>334.13187945205476</v>
      </c>
      <c r="S1270" s="5">
        <f t="shared" si="115"/>
        <v>23.039812602739719</v>
      </c>
      <c r="T1270" s="5">
        <f t="shared" si="116"/>
        <v>311.09206684931502</v>
      </c>
      <c r="U1270" s="15">
        <f t="shared" si="117"/>
        <v>54</v>
      </c>
      <c r="V1270" s="3">
        <f t="shared" si="118"/>
        <v>126.20940000000006</v>
      </c>
      <c r="W1270" s="3">
        <f t="shared" si="119"/>
        <v>1269</v>
      </c>
    </row>
    <row r="1271" spans="1:23" x14ac:dyDescent="0.2">
      <c r="A1271" t="s">
        <v>281</v>
      </c>
      <c r="B1271" t="s">
        <v>47</v>
      </c>
      <c r="C1271" t="s">
        <v>23</v>
      </c>
      <c r="D1271" t="s">
        <v>66</v>
      </c>
      <c r="E1271" t="s">
        <v>56</v>
      </c>
      <c r="F1271" s="7">
        <v>22780879</v>
      </c>
      <c r="G1271" t="s">
        <v>1221</v>
      </c>
      <c r="H1271" s="5">
        <v>49200</v>
      </c>
      <c r="I1271" s="12">
        <v>45745</v>
      </c>
      <c r="J1271" s="15">
        <v>45</v>
      </c>
      <c r="K1271" s="15">
        <v>4</v>
      </c>
      <c r="L1271" s="9">
        <v>7.0800000000000002E-2</v>
      </c>
      <c r="M1271" s="9">
        <v>5.8200000000000002E-2</v>
      </c>
      <c r="N1271" s="15">
        <v>5</v>
      </c>
      <c r="O1271" t="s">
        <v>27</v>
      </c>
      <c r="P1271" t="s">
        <v>28</v>
      </c>
      <c r="Q1271" s="24">
        <v>0.2</v>
      </c>
      <c r="R1271" s="5">
        <f t="shared" si="114"/>
        <v>429.4553424657534</v>
      </c>
      <c r="S1271" s="5">
        <f t="shared" si="115"/>
        <v>39.22520547945205</v>
      </c>
      <c r="T1271" s="5">
        <f t="shared" si="116"/>
        <v>390.23013698630137</v>
      </c>
      <c r="U1271" s="15">
        <f t="shared" si="117"/>
        <v>40</v>
      </c>
      <c r="V1271" s="3">
        <f t="shared" si="118"/>
        <v>123.98400000000001</v>
      </c>
      <c r="W1271" s="3">
        <f t="shared" si="119"/>
        <v>1270</v>
      </c>
    </row>
    <row r="1272" spans="1:23" x14ac:dyDescent="0.2">
      <c r="A1272" t="s">
        <v>281</v>
      </c>
      <c r="B1272" t="s">
        <v>47</v>
      </c>
      <c r="C1272" t="s">
        <v>23</v>
      </c>
      <c r="D1272" t="s">
        <v>66</v>
      </c>
      <c r="E1272" t="s">
        <v>56</v>
      </c>
      <c r="F1272" s="7">
        <v>22780879</v>
      </c>
      <c r="G1272" t="s">
        <v>1461</v>
      </c>
      <c r="H1272" s="5">
        <v>26097</v>
      </c>
      <c r="I1272" s="12">
        <v>45888</v>
      </c>
      <c r="J1272" s="15">
        <v>60</v>
      </c>
      <c r="K1272" s="15">
        <v>5</v>
      </c>
      <c r="L1272" s="9">
        <v>7.0800000000000002E-2</v>
      </c>
      <c r="M1272" s="9">
        <v>4.9000000000000002E-2</v>
      </c>
      <c r="N1272" s="15">
        <v>7</v>
      </c>
      <c r="O1272" t="s">
        <v>27</v>
      </c>
      <c r="P1272" t="s">
        <v>28</v>
      </c>
      <c r="Q1272" s="24">
        <v>0.2</v>
      </c>
      <c r="R1272" s="5">
        <f t="shared" si="114"/>
        <v>303.72618082191781</v>
      </c>
      <c r="S1272" s="5">
        <f t="shared" si="115"/>
        <v>24.524030136986305</v>
      </c>
      <c r="T1272" s="5">
        <f t="shared" si="116"/>
        <v>279.2021506849315</v>
      </c>
      <c r="U1272" s="15">
        <f t="shared" si="117"/>
        <v>53</v>
      </c>
      <c r="V1272" s="3">
        <f t="shared" si="118"/>
        <v>113.78292</v>
      </c>
      <c r="W1272" s="3">
        <f t="shared" si="119"/>
        <v>1271</v>
      </c>
    </row>
    <row r="1273" spans="1:23" x14ac:dyDescent="0.2">
      <c r="A1273" t="s">
        <v>160</v>
      </c>
      <c r="B1273" t="s">
        <v>161</v>
      </c>
      <c r="C1273" t="s">
        <v>23</v>
      </c>
      <c r="D1273" t="s">
        <v>66</v>
      </c>
      <c r="E1273" t="s">
        <v>56</v>
      </c>
      <c r="F1273" s="7">
        <v>8479307</v>
      </c>
      <c r="G1273" t="s">
        <v>1427</v>
      </c>
      <c r="H1273" s="5">
        <v>50915</v>
      </c>
      <c r="I1273" s="12">
        <v>46014</v>
      </c>
      <c r="J1273" s="15">
        <v>45</v>
      </c>
      <c r="K1273" s="15">
        <v>4</v>
      </c>
      <c r="L1273" s="9">
        <v>7.0099999999999996E-2</v>
      </c>
      <c r="M1273" s="9">
        <v>6.3799999999999996E-2</v>
      </c>
      <c r="N1273" s="15">
        <v>8</v>
      </c>
      <c r="O1273" t="s">
        <v>27</v>
      </c>
      <c r="P1273" t="s">
        <v>28</v>
      </c>
      <c r="Q1273" s="24">
        <v>0.35</v>
      </c>
      <c r="R1273" s="5">
        <f t="shared" si="114"/>
        <v>440.03114383561638</v>
      </c>
      <c r="S1273" s="5">
        <f t="shared" si="115"/>
        <v>71.197304109589041</v>
      </c>
      <c r="T1273" s="5">
        <f t="shared" si="116"/>
        <v>368.83383972602735</v>
      </c>
      <c r="U1273" s="15">
        <f t="shared" si="117"/>
        <v>37</v>
      </c>
      <c r="V1273" s="3">
        <f t="shared" si="118"/>
        <v>112.26757499999999</v>
      </c>
      <c r="W1273" s="3">
        <f t="shared" si="119"/>
        <v>1272</v>
      </c>
    </row>
    <row r="1274" spans="1:23" x14ac:dyDescent="0.2">
      <c r="A1274" t="s">
        <v>281</v>
      </c>
      <c r="B1274" t="s">
        <v>47</v>
      </c>
      <c r="C1274" t="s">
        <v>23</v>
      </c>
      <c r="D1274" t="s">
        <v>66</v>
      </c>
      <c r="E1274" t="s">
        <v>56</v>
      </c>
      <c r="F1274" s="7">
        <v>22780879</v>
      </c>
      <c r="G1274" t="s">
        <v>604</v>
      </c>
      <c r="H1274" s="5">
        <v>22592</v>
      </c>
      <c r="I1274" s="12">
        <v>45765</v>
      </c>
      <c r="J1274" s="15">
        <v>60</v>
      </c>
      <c r="K1274" s="15">
        <v>10</v>
      </c>
      <c r="L1274" s="9">
        <v>7.0800000000000002E-2</v>
      </c>
      <c r="M1274" s="9">
        <v>6.4699999999999994E-2</v>
      </c>
      <c r="N1274" s="15">
        <v>7</v>
      </c>
      <c r="O1274" t="s">
        <v>27</v>
      </c>
      <c r="P1274" t="s">
        <v>28</v>
      </c>
      <c r="Q1274" s="24">
        <v>0.5</v>
      </c>
      <c r="R1274" s="5">
        <f t="shared" si="114"/>
        <v>262.93374246575343</v>
      </c>
      <c r="S1274" s="5">
        <f t="shared" si="115"/>
        <v>28.032648767123288</v>
      </c>
      <c r="T1274" s="5">
        <f t="shared" si="116"/>
        <v>234.90109369863015</v>
      </c>
      <c r="U1274" s="15">
        <f t="shared" si="117"/>
        <v>53</v>
      </c>
      <c r="V1274" s="3">
        <f t="shared" si="118"/>
        <v>68.905600000000092</v>
      </c>
      <c r="W1274" s="3">
        <f t="shared" si="119"/>
        <v>1273</v>
      </c>
    </row>
    <row r="1275" spans="1:23" x14ac:dyDescent="0.2">
      <c r="A1275" t="s">
        <v>139</v>
      </c>
      <c r="B1275" t="s">
        <v>140</v>
      </c>
      <c r="C1275" t="s">
        <v>77</v>
      </c>
      <c r="D1275" t="s">
        <v>24</v>
      </c>
      <c r="E1275" t="s">
        <v>56</v>
      </c>
      <c r="F1275" s="7">
        <v>22396514</v>
      </c>
      <c r="G1275" t="s">
        <v>288</v>
      </c>
      <c r="H1275" s="5">
        <v>15037</v>
      </c>
      <c r="I1275" s="12">
        <v>45802</v>
      </c>
      <c r="J1275" s="15">
        <v>30</v>
      </c>
      <c r="K1275" s="15">
        <v>5</v>
      </c>
      <c r="L1275" s="9">
        <v>7.5700000000000003E-2</v>
      </c>
      <c r="M1275" s="9">
        <v>5.5100000000000003E-2</v>
      </c>
      <c r="N1275" s="15">
        <v>6</v>
      </c>
      <c r="O1275" t="s">
        <v>28</v>
      </c>
      <c r="P1275" t="s">
        <v>28</v>
      </c>
      <c r="Q1275" s="24">
        <v>0.2</v>
      </c>
      <c r="R1275" s="5">
        <f t="shared" si="114"/>
        <v>93.558978082191771</v>
      </c>
      <c r="S1275" s="5">
        <f t="shared" si="115"/>
        <v>13.619814246575341</v>
      </c>
      <c r="T1275" s="5">
        <f t="shared" si="116"/>
        <v>79.939163835616426</v>
      </c>
      <c r="U1275" s="15">
        <f t="shared" si="117"/>
        <v>24</v>
      </c>
      <c r="V1275" s="3">
        <f t="shared" si="118"/>
        <v>61.952440000000003</v>
      </c>
      <c r="W1275" s="3">
        <f t="shared" si="119"/>
        <v>1274</v>
      </c>
    </row>
    <row r="1276" spans="1:23" x14ac:dyDescent="0.2">
      <c r="A1276" t="s">
        <v>596</v>
      </c>
      <c r="B1276" t="s">
        <v>439</v>
      </c>
      <c r="C1276" t="s">
        <v>77</v>
      </c>
      <c r="D1276" t="s">
        <v>24</v>
      </c>
      <c r="E1276" t="s">
        <v>56</v>
      </c>
      <c r="F1276" s="7">
        <v>9396117</v>
      </c>
      <c r="G1276" t="s">
        <v>862</v>
      </c>
      <c r="H1276" s="5">
        <v>14453</v>
      </c>
      <c r="I1276" s="12">
        <v>45831</v>
      </c>
      <c r="J1276" s="15">
        <v>45</v>
      </c>
      <c r="K1276" s="15">
        <v>10</v>
      </c>
      <c r="L1276" s="9">
        <v>7.2400000000000006E-2</v>
      </c>
      <c r="M1276" s="9">
        <v>5.16E-2</v>
      </c>
      <c r="N1276" s="15">
        <v>7</v>
      </c>
      <c r="O1276" t="s">
        <v>28</v>
      </c>
      <c r="P1276" t="s">
        <v>28</v>
      </c>
      <c r="Q1276" s="24">
        <v>0.2</v>
      </c>
      <c r="R1276" s="5">
        <f t="shared" si="114"/>
        <v>129.00787397260274</v>
      </c>
      <c r="S1276" s="5">
        <f t="shared" si="115"/>
        <v>14.302530410958905</v>
      </c>
      <c r="T1276" s="5">
        <f t="shared" si="116"/>
        <v>114.70534356164383</v>
      </c>
      <c r="U1276" s="15">
        <f t="shared" si="117"/>
        <v>38</v>
      </c>
      <c r="V1276" s="3">
        <f t="shared" si="118"/>
        <v>60.12448000000002</v>
      </c>
      <c r="W1276" s="3">
        <f t="shared" si="119"/>
        <v>1275</v>
      </c>
    </row>
    <row r="1277" spans="1:23" x14ac:dyDescent="0.2">
      <c r="A1277" t="s">
        <v>281</v>
      </c>
      <c r="B1277" t="s">
        <v>47</v>
      </c>
      <c r="C1277" t="s">
        <v>23</v>
      </c>
      <c r="D1277" t="s">
        <v>66</v>
      </c>
      <c r="E1277" t="s">
        <v>56</v>
      </c>
      <c r="F1277" s="7">
        <v>22780879</v>
      </c>
      <c r="G1277" t="s">
        <v>1290</v>
      </c>
      <c r="H1277" s="5">
        <v>27218</v>
      </c>
      <c r="I1277" s="12">
        <v>45960</v>
      </c>
      <c r="J1277" s="15">
        <v>60</v>
      </c>
      <c r="K1277" s="15">
        <v>3</v>
      </c>
      <c r="L1277" s="9">
        <v>7.0800000000000002E-2</v>
      </c>
      <c r="M1277" s="9">
        <v>6.2100000000000002E-2</v>
      </c>
      <c r="N1277" s="15">
        <v>8</v>
      </c>
      <c r="O1277" t="s">
        <v>27</v>
      </c>
      <c r="P1277" t="s">
        <v>28</v>
      </c>
      <c r="Q1277" s="24">
        <v>0.2</v>
      </c>
      <c r="R1277" s="5">
        <f t="shared" si="114"/>
        <v>316.77277808219179</v>
      </c>
      <c r="S1277" s="5">
        <f t="shared" si="115"/>
        <v>37.046307945205484</v>
      </c>
      <c r="T1277" s="5">
        <f t="shared" si="116"/>
        <v>279.72647013698634</v>
      </c>
      <c r="U1277" s="15">
        <f t="shared" si="117"/>
        <v>52</v>
      </c>
      <c r="V1277" s="3">
        <f t="shared" si="118"/>
        <v>47.359319999999997</v>
      </c>
      <c r="W1277" s="3">
        <f t="shared" si="119"/>
        <v>1276</v>
      </c>
    </row>
    <row r="1278" spans="1:23" x14ac:dyDescent="0.2">
      <c r="A1278" t="s">
        <v>358</v>
      </c>
      <c r="B1278" t="s">
        <v>164</v>
      </c>
      <c r="C1278" t="s">
        <v>77</v>
      </c>
      <c r="D1278" t="s">
        <v>48</v>
      </c>
      <c r="E1278" t="s">
        <v>56</v>
      </c>
      <c r="F1278" s="7">
        <v>11944379</v>
      </c>
      <c r="G1278" t="s">
        <v>1266</v>
      </c>
      <c r="H1278" s="5">
        <v>13617</v>
      </c>
      <c r="I1278" s="12">
        <v>45923</v>
      </c>
      <c r="J1278" s="15">
        <v>45</v>
      </c>
      <c r="K1278" s="15">
        <v>2</v>
      </c>
      <c r="L1278" s="9">
        <v>7.0999999999999994E-2</v>
      </c>
      <c r="M1278" s="9">
        <v>5.79E-2</v>
      </c>
      <c r="N1278" s="15">
        <v>8</v>
      </c>
      <c r="O1278" t="s">
        <v>27</v>
      </c>
      <c r="P1278" t="s">
        <v>28</v>
      </c>
      <c r="Q1278" s="24">
        <v>0.2</v>
      </c>
      <c r="R1278" s="5">
        <f t="shared" si="114"/>
        <v>119.19538356164382</v>
      </c>
      <c r="S1278" s="5">
        <f t="shared" si="115"/>
        <v>17.280532602739726</v>
      </c>
      <c r="T1278" s="5">
        <f t="shared" si="116"/>
        <v>101.9148509589041</v>
      </c>
      <c r="U1278" s="15">
        <f t="shared" si="117"/>
        <v>37</v>
      </c>
      <c r="V1278" s="3">
        <f t="shared" si="118"/>
        <v>35.676539999999989</v>
      </c>
      <c r="W1278" s="3">
        <f t="shared" si="119"/>
        <v>1277</v>
      </c>
    </row>
    <row r="1279" spans="1:23" x14ac:dyDescent="0.2">
      <c r="A1279" t="s">
        <v>43</v>
      </c>
      <c r="B1279" t="s">
        <v>44</v>
      </c>
      <c r="C1279" t="s">
        <v>23</v>
      </c>
      <c r="D1279" t="s">
        <v>24</v>
      </c>
      <c r="E1279" t="s">
        <v>25</v>
      </c>
      <c r="F1279" s="7">
        <v>2577026</v>
      </c>
      <c r="G1279" t="s">
        <v>45</v>
      </c>
      <c r="H1279" s="5">
        <v>95442</v>
      </c>
      <c r="I1279" s="12">
        <v>45988</v>
      </c>
      <c r="J1279" s="15">
        <v>45</v>
      </c>
      <c r="K1279" s="15">
        <v>4</v>
      </c>
      <c r="L1279" s="9">
        <v>0.123</v>
      </c>
      <c r="M1279" s="9">
        <v>5.8599999999999999E-2</v>
      </c>
      <c r="N1279" s="15">
        <v>6</v>
      </c>
      <c r="O1279" t="s">
        <v>27</v>
      </c>
      <c r="P1279" t="s">
        <v>27</v>
      </c>
      <c r="Q1279" s="24">
        <v>0</v>
      </c>
      <c r="R1279" s="5">
        <f t="shared" si="114"/>
        <v>1447.3190958904108</v>
      </c>
      <c r="S1279" s="5">
        <f t="shared" si="115"/>
        <v>91.938101917808211</v>
      </c>
      <c r="T1279" s="5">
        <f t="shared" si="116"/>
        <v>1355.3809939726027</v>
      </c>
      <c r="U1279" s="15">
        <f t="shared" si="117"/>
        <v>39</v>
      </c>
      <c r="V1279" s="3">
        <f t="shared" si="118"/>
        <v>0</v>
      </c>
      <c r="W1279" s="3">
        <f t="shared" si="119"/>
        <v>1278</v>
      </c>
    </row>
    <row r="1280" spans="1:23" x14ac:dyDescent="0.2">
      <c r="A1280" t="s">
        <v>64</v>
      </c>
      <c r="B1280" t="s">
        <v>65</v>
      </c>
      <c r="C1280" t="s">
        <v>36</v>
      </c>
      <c r="D1280" t="s">
        <v>66</v>
      </c>
      <c r="E1280" t="s">
        <v>56</v>
      </c>
      <c r="F1280" s="7">
        <v>19529913</v>
      </c>
      <c r="G1280" t="s">
        <v>67</v>
      </c>
      <c r="H1280" s="5">
        <v>95695</v>
      </c>
      <c r="I1280" s="12">
        <v>45945</v>
      </c>
      <c r="J1280" s="15">
        <v>90</v>
      </c>
      <c r="K1280" s="15">
        <v>2</v>
      </c>
      <c r="L1280" s="9">
        <v>8.7499999999999994E-2</v>
      </c>
      <c r="M1280" s="9">
        <v>5.8500000000000003E-2</v>
      </c>
      <c r="N1280" s="15">
        <v>8</v>
      </c>
      <c r="O1280" t="s">
        <v>28</v>
      </c>
      <c r="P1280" t="s">
        <v>27</v>
      </c>
      <c r="Q1280" s="24">
        <v>0</v>
      </c>
      <c r="R1280" s="5">
        <f t="shared" si="114"/>
        <v>2064.652397260274</v>
      </c>
      <c r="S1280" s="5">
        <f t="shared" si="115"/>
        <v>122.69934246575343</v>
      </c>
      <c r="T1280" s="5">
        <f t="shared" si="116"/>
        <v>1941.9530547945205</v>
      </c>
      <c r="U1280" s="15">
        <f t="shared" si="117"/>
        <v>82</v>
      </c>
      <c r="V1280" s="3">
        <f t="shared" si="118"/>
        <v>0</v>
      </c>
      <c r="W1280" s="3">
        <f t="shared" si="119"/>
        <v>1278</v>
      </c>
    </row>
    <row r="1281" spans="1:23" x14ac:dyDescent="0.2">
      <c r="A1281" t="s">
        <v>79</v>
      </c>
      <c r="B1281" t="s">
        <v>80</v>
      </c>
      <c r="C1281" t="s">
        <v>31</v>
      </c>
      <c r="D1281" t="s">
        <v>32</v>
      </c>
      <c r="E1281" t="s">
        <v>25</v>
      </c>
      <c r="F1281" s="7">
        <v>1969242</v>
      </c>
      <c r="G1281" t="s">
        <v>81</v>
      </c>
      <c r="H1281" s="5">
        <v>42947</v>
      </c>
      <c r="I1281" s="12">
        <v>45841</v>
      </c>
      <c r="J1281" s="15">
        <v>90</v>
      </c>
      <c r="K1281" s="15">
        <v>2</v>
      </c>
      <c r="L1281" s="9">
        <v>0.10150000000000001</v>
      </c>
      <c r="M1281" s="9">
        <v>6.4600000000000005E-2</v>
      </c>
      <c r="N1281" s="15">
        <v>7</v>
      </c>
      <c r="O1281" t="s">
        <v>27</v>
      </c>
      <c r="P1281" t="s">
        <v>27</v>
      </c>
      <c r="Q1281" s="24">
        <v>0</v>
      </c>
      <c r="R1281" s="5">
        <f t="shared" si="114"/>
        <v>1074.8516301369862</v>
      </c>
      <c r="S1281" s="5">
        <f t="shared" si="115"/>
        <v>53.207214794520553</v>
      </c>
      <c r="T1281" s="5">
        <f t="shared" si="116"/>
        <v>1021.6444153424657</v>
      </c>
      <c r="U1281" s="15">
        <f t="shared" si="117"/>
        <v>83</v>
      </c>
      <c r="V1281" s="3">
        <f t="shared" si="118"/>
        <v>0</v>
      </c>
      <c r="W1281" s="3">
        <f t="shared" si="119"/>
        <v>1278</v>
      </c>
    </row>
    <row r="1282" spans="1:23" x14ac:dyDescent="0.2">
      <c r="A1282" t="s">
        <v>61</v>
      </c>
      <c r="B1282" t="s">
        <v>62</v>
      </c>
      <c r="C1282" t="s">
        <v>31</v>
      </c>
      <c r="D1282" t="s">
        <v>48</v>
      </c>
      <c r="E1282" t="s">
        <v>25</v>
      </c>
      <c r="F1282" s="7">
        <v>3350013</v>
      </c>
      <c r="G1282" t="s">
        <v>148</v>
      </c>
      <c r="H1282" s="5">
        <v>64044</v>
      </c>
      <c r="I1282" s="12">
        <v>45952</v>
      </c>
      <c r="J1282" s="15">
        <v>90</v>
      </c>
      <c r="K1282" s="15">
        <v>2</v>
      </c>
      <c r="L1282" s="9">
        <v>0.1144</v>
      </c>
      <c r="M1282" s="9">
        <v>5.3699999999999998E-2</v>
      </c>
      <c r="N1282" s="15">
        <v>8</v>
      </c>
      <c r="O1282" t="s">
        <v>27</v>
      </c>
      <c r="P1282" t="s">
        <v>27</v>
      </c>
      <c r="Q1282" s="24">
        <v>0</v>
      </c>
      <c r="R1282" s="5">
        <f t="shared" ref="R1282:R1345" si="120">H1282*L1282*(J1282/365)</f>
        <v>1806.5671890410958</v>
      </c>
      <c r="S1282" s="5">
        <f t="shared" ref="S1282:S1345" si="121">H1282*M1282*(N1282/365)</f>
        <v>75.378910684931512</v>
      </c>
      <c r="T1282" s="5">
        <f t="shared" ref="T1282:T1345" si="122">R1282-S1282</f>
        <v>1731.1882783561643</v>
      </c>
      <c r="U1282" s="15">
        <f t="shared" ref="U1282:U1345" si="123">J1282-N1282</f>
        <v>82</v>
      </c>
      <c r="V1282" s="3">
        <f t="shared" ref="V1282:V1345" si="124">Q1282*(L1282-M1282)*H1282</f>
        <v>0</v>
      </c>
      <c r="W1282" s="3">
        <f t="shared" ref="W1282:W1345" si="125">RANK(V1282,$V$2:$V$1501)</f>
        <v>1278</v>
      </c>
    </row>
    <row r="1283" spans="1:23" x14ac:dyDescent="0.2">
      <c r="A1283" t="s">
        <v>156</v>
      </c>
      <c r="B1283" t="s">
        <v>157</v>
      </c>
      <c r="C1283" t="s">
        <v>23</v>
      </c>
      <c r="D1283" t="s">
        <v>66</v>
      </c>
      <c r="E1283" t="s">
        <v>49</v>
      </c>
      <c r="F1283" s="7">
        <v>981924</v>
      </c>
      <c r="G1283" t="s">
        <v>158</v>
      </c>
      <c r="H1283" s="5">
        <v>94998</v>
      </c>
      <c r="I1283" s="12">
        <v>45988</v>
      </c>
      <c r="J1283" s="15">
        <v>45</v>
      </c>
      <c r="K1283" s="15">
        <v>7</v>
      </c>
      <c r="L1283" s="9">
        <v>0.17169999999999999</v>
      </c>
      <c r="M1283" s="9">
        <v>4.8899999999999999E-2</v>
      </c>
      <c r="N1283" s="15">
        <v>7</v>
      </c>
      <c r="O1283" t="s">
        <v>27</v>
      </c>
      <c r="P1283" t="s">
        <v>27</v>
      </c>
      <c r="Q1283" s="24">
        <v>0</v>
      </c>
      <c r="R1283" s="5">
        <f t="shared" si="120"/>
        <v>2010.9645123287669</v>
      </c>
      <c r="S1283" s="5">
        <f t="shared" si="121"/>
        <v>89.089905205479454</v>
      </c>
      <c r="T1283" s="5">
        <f t="shared" si="122"/>
        <v>1921.8746071232874</v>
      </c>
      <c r="U1283" s="15">
        <f t="shared" si="123"/>
        <v>38</v>
      </c>
      <c r="V1283" s="3">
        <f t="shared" si="124"/>
        <v>0</v>
      </c>
      <c r="W1283" s="3">
        <f t="shared" si="125"/>
        <v>1278</v>
      </c>
    </row>
    <row r="1284" spans="1:23" x14ac:dyDescent="0.2">
      <c r="A1284" t="s">
        <v>130</v>
      </c>
      <c r="B1284" t="s">
        <v>131</v>
      </c>
      <c r="C1284" t="s">
        <v>36</v>
      </c>
      <c r="D1284" t="s">
        <v>48</v>
      </c>
      <c r="E1284" t="s">
        <v>56</v>
      </c>
      <c r="F1284" s="7">
        <v>10372464</v>
      </c>
      <c r="G1284" t="s">
        <v>173</v>
      </c>
      <c r="H1284" s="5">
        <v>91299</v>
      </c>
      <c r="I1284" s="12">
        <v>45833</v>
      </c>
      <c r="J1284" s="15">
        <v>60</v>
      </c>
      <c r="K1284" s="15">
        <v>3</v>
      </c>
      <c r="L1284" s="9">
        <v>8.77E-2</v>
      </c>
      <c r="M1284" s="9">
        <v>6.4199999999999993E-2</v>
      </c>
      <c r="N1284" s="15">
        <v>8</v>
      </c>
      <c r="O1284" t="s">
        <v>28</v>
      </c>
      <c r="P1284" t="s">
        <v>27</v>
      </c>
      <c r="Q1284" s="24">
        <v>0</v>
      </c>
      <c r="R1284" s="5">
        <f t="shared" si="120"/>
        <v>1316.2064054794521</v>
      </c>
      <c r="S1284" s="5">
        <f t="shared" si="121"/>
        <v>128.46894904109587</v>
      </c>
      <c r="T1284" s="5">
        <f t="shared" si="122"/>
        <v>1187.7374564383563</v>
      </c>
      <c r="U1284" s="15">
        <f t="shared" si="123"/>
        <v>52</v>
      </c>
      <c r="V1284" s="3">
        <f t="shared" si="124"/>
        <v>0</v>
      </c>
      <c r="W1284" s="3">
        <f t="shared" si="125"/>
        <v>1278</v>
      </c>
    </row>
    <row r="1285" spans="1:23" x14ac:dyDescent="0.2">
      <c r="A1285" t="s">
        <v>174</v>
      </c>
      <c r="B1285" t="s">
        <v>175</v>
      </c>
      <c r="C1285" t="s">
        <v>41</v>
      </c>
      <c r="D1285" t="s">
        <v>37</v>
      </c>
      <c r="E1285" t="s">
        <v>49</v>
      </c>
      <c r="F1285" s="7">
        <v>1267987</v>
      </c>
      <c r="G1285" t="s">
        <v>176</v>
      </c>
      <c r="H1285" s="5">
        <v>105626</v>
      </c>
      <c r="I1285" s="12">
        <v>45926</v>
      </c>
      <c r="J1285" s="15">
        <v>30</v>
      </c>
      <c r="K1285" s="15">
        <v>10</v>
      </c>
      <c r="L1285" s="9">
        <v>0.125</v>
      </c>
      <c r="M1285" s="9">
        <v>4.8500000000000001E-2</v>
      </c>
      <c r="N1285" s="15">
        <v>6</v>
      </c>
      <c r="O1285" t="s">
        <v>27</v>
      </c>
      <c r="P1285" t="s">
        <v>27</v>
      </c>
      <c r="Q1285" s="24">
        <v>0</v>
      </c>
      <c r="R1285" s="5">
        <f t="shared" si="120"/>
        <v>1085.1986301369861</v>
      </c>
      <c r="S1285" s="5">
        <f t="shared" si="121"/>
        <v>84.211413698630125</v>
      </c>
      <c r="T1285" s="5">
        <f t="shared" si="122"/>
        <v>1000.987216438356</v>
      </c>
      <c r="U1285" s="15">
        <f t="shared" si="123"/>
        <v>24</v>
      </c>
      <c r="V1285" s="3">
        <f t="shared" si="124"/>
        <v>0</v>
      </c>
      <c r="W1285" s="3">
        <f t="shared" si="125"/>
        <v>1278</v>
      </c>
    </row>
    <row r="1286" spans="1:23" x14ac:dyDescent="0.2">
      <c r="A1286" t="s">
        <v>163</v>
      </c>
      <c r="B1286" t="s">
        <v>164</v>
      </c>
      <c r="C1286" t="s">
        <v>77</v>
      </c>
      <c r="D1286" t="s">
        <v>66</v>
      </c>
      <c r="E1286" t="s">
        <v>25</v>
      </c>
      <c r="F1286" s="7">
        <v>4709015</v>
      </c>
      <c r="G1286" t="s">
        <v>192</v>
      </c>
      <c r="H1286" s="5">
        <v>32308</v>
      </c>
      <c r="I1286" s="12">
        <v>45677</v>
      </c>
      <c r="J1286" s="15">
        <v>30</v>
      </c>
      <c r="K1286" s="15">
        <v>2</v>
      </c>
      <c r="L1286" s="9">
        <v>0.121</v>
      </c>
      <c r="M1286" s="9">
        <v>5.5199999999999999E-2</v>
      </c>
      <c r="N1286" s="15">
        <v>10</v>
      </c>
      <c r="O1286" t="s">
        <v>27</v>
      </c>
      <c r="P1286" t="s">
        <v>27</v>
      </c>
      <c r="Q1286" s="24">
        <v>0</v>
      </c>
      <c r="R1286" s="5">
        <f t="shared" si="120"/>
        <v>321.30969863013695</v>
      </c>
      <c r="S1286" s="5">
        <f t="shared" si="121"/>
        <v>48.860317808219172</v>
      </c>
      <c r="T1286" s="5">
        <f t="shared" si="122"/>
        <v>272.44938082191777</v>
      </c>
      <c r="U1286" s="15">
        <f t="shared" si="123"/>
        <v>20</v>
      </c>
      <c r="V1286" s="3">
        <f t="shared" si="124"/>
        <v>0</v>
      </c>
      <c r="W1286" s="3">
        <f t="shared" si="125"/>
        <v>1278</v>
      </c>
    </row>
    <row r="1287" spans="1:23" x14ac:dyDescent="0.2">
      <c r="A1287" t="s">
        <v>206</v>
      </c>
      <c r="B1287" t="s">
        <v>207</v>
      </c>
      <c r="C1287" t="s">
        <v>77</v>
      </c>
      <c r="D1287" t="s">
        <v>32</v>
      </c>
      <c r="E1287" t="s">
        <v>25</v>
      </c>
      <c r="F1287" s="7">
        <v>3819447</v>
      </c>
      <c r="G1287" t="s">
        <v>208</v>
      </c>
      <c r="H1287" s="5">
        <v>79286</v>
      </c>
      <c r="I1287" s="12">
        <v>45671</v>
      </c>
      <c r="J1287" s="15">
        <v>45</v>
      </c>
      <c r="K1287" s="15">
        <v>5</v>
      </c>
      <c r="L1287" s="9">
        <v>0.12620000000000001</v>
      </c>
      <c r="M1287" s="9">
        <v>4.6800000000000001E-2</v>
      </c>
      <c r="N1287" s="15">
        <v>6</v>
      </c>
      <c r="O1287" t="s">
        <v>27</v>
      </c>
      <c r="P1287" t="s">
        <v>27</v>
      </c>
      <c r="Q1287" s="24">
        <v>0</v>
      </c>
      <c r="R1287" s="5">
        <f t="shared" si="120"/>
        <v>1233.6032712328768</v>
      </c>
      <c r="S1287" s="5">
        <f t="shared" si="121"/>
        <v>60.995914520547942</v>
      </c>
      <c r="T1287" s="5">
        <f t="shared" si="122"/>
        <v>1172.6073567123287</v>
      </c>
      <c r="U1287" s="15">
        <f t="shared" si="123"/>
        <v>39</v>
      </c>
      <c r="V1287" s="3">
        <f t="shared" si="124"/>
        <v>0</v>
      </c>
      <c r="W1287" s="3">
        <f t="shared" si="125"/>
        <v>1278</v>
      </c>
    </row>
    <row r="1288" spans="1:23" x14ac:dyDescent="0.2">
      <c r="A1288" t="s">
        <v>226</v>
      </c>
      <c r="B1288" t="s">
        <v>59</v>
      </c>
      <c r="C1288" t="s">
        <v>77</v>
      </c>
      <c r="D1288" t="s">
        <v>66</v>
      </c>
      <c r="E1288" t="s">
        <v>25</v>
      </c>
      <c r="F1288" s="7">
        <v>3501061</v>
      </c>
      <c r="G1288" t="s">
        <v>227</v>
      </c>
      <c r="H1288" s="5">
        <v>78535</v>
      </c>
      <c r="I1288" s="12">
        <v>45787</v>
      </c>
      <c r="J1288" s="15">
        <v>60</v>
      </c>
      <c r="K1288" s="15">
        <v>5</v>
      </c>
      <c r="L1288" s="9">
        <v>9.6299999999999997E-2</v>
      </c>
      <c r="M1288" s="9">
        <v>6.25E-2</v>
      </c>
      <c r="N1288" s="15">
        <v>5</v>
      </c>
      <c r="O1288" t="s">
        <v>27</v>
      </c>
      <c r="P1288" t="s">
        <v>27</v>
      </c>
      <c r="Q1288" s="24">
        <v>0</v>
      </c>
      <c r="R1288" s="5">
        <f t="shared" si="120"/>
        <v>1243.219808219178</v>
      </c>
      <c r="S1288" s="5">
        <f t="shared" si="121"/>
        <v>67.23886986301369</v>
      </c>
      <c r="T1288" s="5">
        <f t="shared" si="122"/>
        <v>1175.9809383561644</v>
      </c>
      <c r="U1288" s="15">
        <f t="shared" si="123"/>
        <v>55</v>
      </c>
      <c r="V1288" s="3">
        <f t="shared" si="124"/>
        <v>0</v>
      </c>
      <c r="W1288" s="3">
        <f t="shared" si="125"/>
        <v>1278</v>
      </c>
    </row>
    <row r="1289" spans="1:23" x14ac:dyDescent="0.2">
      <c r="A1289" t="s">
        <v>88</v>
      </c>
      <c r="B1289" t="s">
        <v>89</v>
      </c>
      <c r="C1289" t="s">
        <v>23</v>
      </c>
      <c r="D1289" t="s">
        <v>66</v>
      </c>
      <c r="E1289" t="s">
        <v>49</v>
      </c>
      <c r="F1289" s="7">
        <v>896464</v>
      </c>
      <c r="G1289" t="s">
        <v>243</v>
      </c>
      <c r="H1289" s="5">
        <v>107265</v>
      </c>
      <c r="I1289" s="12">
        <v>45687</v>
      </c>
      <c r="J1289" s="15">
        <v>90</v>
      </c>
      <c r="K1289" s="15">
        <v>4</v>
      </c>
      <c r="L1289" s="9">
        <v>0.13550000000000001</v>
      </c>
      <c r="M1289" s="9">
        <v>5.7299999999999997E-2</v>
      </c>
      <c r="N1289" s="15">
        <v>8</v>
      </c>
      <c r="O1289" t="s">
        <v>27</v>
      </c>
      <c r="P1289" t="s">
        <v>27</v>
      </c>
      <c r="Q1289" s="24">
        <v>0</v>
      </c>
      <c r="R1289" s="5">
        <f t="shared" si="120"/>
        <v>3583.8265068493151</v>
      </c>
      <c r="S1289" s="5">
        <f t="shared" si="121"/>
        <v>134.71308493150684</v>
      </c>
      <c r="T1289" s="5">
        <f t="shared" si="122"/>
        <v>3449.1134219178084</v>
      </c>
      <c r="U1289" s="15">
        <f t="shared" si="123"/>
        <v>82</v>
      </c>
      <c r="V1289" s="3">
        <f t="shared" si="124"/>
        <v>0</v>
      </c>
      <c r="W1289" s="3">
        <f t="shared" si="125"/>
        <v>1278</v>
      </c>
    </row>
    <row r="1290" spans="1:23" x14ac:dyDescent="0.2">
      <c r="A1290" t="s">
        <v>247</v>
      </c>
      <c r="B1290" t="s">
        <v>47</v>
      </c>
      <c r="C1290" t="s">
        <v>31</v>
      </c>
      <c r="D1290" t="s">
        <v>48</v>
      </c>
      <c r="E1290" t="s">
        <v>49</v>
      </c>
      <c r="F1290" s="7">
        <v>1089809</v>
      </c>
      <c r="G1290" t="s">
        <v>248</v>
      </c>
      <c r="H1290" s="5">
        <v>69432</v>
      </c>
      <c r="I1290" s="12">
        <v>45674</v>
      </c>
      <c r="J1290" s="15">
        <v>30</v>
      </c>
      <c r="K1290" s="15">
        <v>2</v>
      </c>
      <c r="L1290" s="9">
        <v>0.16689999999999999</v>
      </c>
      <c r="M1290" s="9">
        <v>4.9700000000000001E-2</v>
      </c>
      <c r="N1290" s="15">
        <v>7</v>
      </c>
      <c r="O1290" t="s">
        <v>27</v>
      </c>
      <c r="P1290" t="s">
        <v>27</v>
      </c>
      <c r="Q1290" s="24">
        <v>0</v>
      </c>
      <c r="R1290" s="5">
        <f t="shared" si="120"/>
        <v>952.45486027397249</v>
      </c>
      <c r="S1290" s="5">
        <f t="shared" si="121"/>
        <v>66.179158356164379</v>
      </c>
      <c r="T1290" s="5">
        <f t="shared" si="122"/>
        <v>886.27570191780808</v>
      </c>
      <c r="U1290" s="15">
        <f t="shared" si="123"/>
        <v>23</v>
      </c>
      <c r="V1290" s="3">
        <f t="shared" si="124"/>
        <v>0</v>
      </c>
      <c r="W1290" s="3">
        <f t="shared" si="125"/>
        <v>1278</v>
      </c>
    </row>
    <row r="1291" spans="1:23" x14ac:dyDescent="0.2">
      <c r="A1291" t="s">
        <v>127</v>
      </c>
      <c r="B1291" t="s">
        <v>128</v>
      </c>
      <c r="C1291" t="s">
        <v>31</v>
      </c>
      <c r="D1291" t="s">
        <v>66</v>
      </c>
      <c r="E1291" t="s">
        <v>49</v>
      </c>
      <c r="F1291" s="7">
        <v>261628</v>
      </c>
      <c r="G1291" t="s">
        <v>262</v>
      </c>
      <c r="H1291" s="5">
        <v>59303</v>
      </c>
      <c r="I1291" s="12">
        <v>45691</v>
      </c>
      <c r="J1291" s="15">
        <v>60</v>
      </c>
      <c r="K1291" s="15">
        <v>4</v>
      </c>
      <c r="L1291" s="9">
        <v>0.17249999999999999</v>
      </c>
      <c r="M1291" s="9">
        <v>5.4300000000000001E-2</v>
      </c>
      <c r="N1291" s="15">
        <v>10</v>
      </c>
      <c r="O1291" t="s">
        <v>28</v>
      </c>
      <c r="P1291" t="s">
        <v>27</v>
      </c>
      <c r="Q1291" s="24">
        <v>0</v>
      </c>
      <c r="R1291" s="5">
        <f t="shared" si="120"/>
        <v>1681.605616438356</v>
      </c>
      <c r="S1291" s="5">
        <f t="shared" si="121"/>
        <v>88.223367123287673</v>
      </c>
      <c r="T1291" s="5">
        <f t="shared" si="122"/>
        <v>1593.3822493150683</v>
      </c>
      <c r="U1291" s="15">
        <f t="shared" si="123"/>
        <v>50</v>
      </c>
      <c r="V1291" s="3">
        <f t="shared" si="124"/>
        <v>0</v>
      </c>
      <c r="W1291" s="3">
        <f t="shared" si="125"/>
        <v>1278</v>
      </c>
    </row>
    <row r="1292" spans="1:23" x14ac:dyDescent="0.2">
      <c r="A1292" t="s">
        <v>21</v>
      </c>
      <c r="B1292" t="s">
        <v>22</v>
      </c>
      <c r="C1292" t="s">
        <v>23</v>
      </c>
      <c r="D1292" t="s">
        <v>24</v>
      </c>
      <c r="E1292" t="s">
        <v>25</v>
      </c>
      <c r="F1292" s="7">
        <v>2280589</v>
      </c>
      <c r="G1292" t="s">
        <v>284</v>
      </c>
      <c r="H1292" s="5">
        <v>62351</v>
      </c>
      <c r="I1292" s="12">
        <v>46027</v>
      </c>
      <c r="J1292" s="15">
        <v>90</v>
      </c>
      <c r="K1292" s="15">
        <v>5</v>
      </c>
      <c r="L1292" s="9">
        <v>0.1047</v>
      </c>
      <c r="M1292" s="9">
        <v>0.05</v>
      </c>
      <c r="N1292" s="15">
        <v>6</v>
      </c>
      <c r="O1292" t="s">
        <v>27</v>
      </c>
      <c r="P1292" t="s">
        <v>27</v>
      </c>
      <c r="Q1292" s="24">
        <v>0</v>
      </c>
      <c r="R1292" s="5">
        <f t="shared" si="120"/>
        <v>1609.6807479452054</v>
      </c>
      <c r="S1292" s="5">
        <f t="shared" si="121"/>
        <v>51.247397260273971</v>
      </c>
      <c r="T1292" s="5">
        <f t="shared" si="122"/>
        <v>1558.4333506849314</v>
      </c>
      <c r="U1292" s="15">
        <f t="shared" si="123"/>
        <v>84</v>
      </c>
      <c r="V1292" s="3">
        <f t="shared" si="124"/>
        <v>0</v>
      </c>
      <c r="W1292" s="3">
        <f t="shared" si="125"/>
        <v>1278</v>
      </c>
    </row>
    <row r="1293" spans="1:23" x14ac:dyDescent="0.2">
      <c r="A1293" t="s">
        <v>285</v>
      </c>
      <c r="B1293" t="s">
        <v>286</v>
      </c>
      <c r="C1293" t="s">
        <v>77</v>
      </c>
      <c r="D1293" t="s">
        <v>32</v>
      </c>
      <c r="E1293" t="s">
        <v>25</v>
      </c>
      <c r="F1293" s="7">
        <v>6140796</v>
      </c>
      <c r="G1293" t="s">
        <v>287</v>
      </c>
      <c r="H1293" s="5">
        <v>52988</v>
      </c>
      <c r="I1293" s="12">
        <v>45912</v>
      </c>
      <c r="J1293" s="15">
        <v>45</v>
      </c>
      <c r="K1293" s="15">
        <v>3</v>
      </c>
      <c r="L1293" s="9">
        <v>0.13300000000000001</v>
      </c>
      <c r="M1293" s="9">
        <v>5.5E-2</v>
      </c>
      <c r="N1293" s="15">
        <v>10</v>
      </c>
      <c r="O1293" t="s">
        <v>27</v>
      </c>
      <c r="P1293" t="s">
        <v>27</v>
      </c>
      <c r="Q1293" s="24">
        <v>0</v>
      </c>
      <c r="R1293" s="5">
        <f t="shared" si="120"/>
        <v>868.85802739726023</v>
      </c>
      <c r="S1293" s="5">
        <f t="shared" si="121"/>
        <v>79.844931506849321</v>
      </c>
      <c r="T1293" s="5">
        <f t="shared" si="122"/>
        <v>789.01309589041091</v>
      </c>
      <c r="U1293" s="15">
        <f t="shared" si="123"/>
        <v>35</v>
      </c>
      <c r="V1293" s="3">
        <f t="shared" si="124"/>
        <v>0</v>
      </c>
      <c r="W1293" s="3">
        <f t="shared" si="125"/>
        <v>1278</v>
      </c>
    </row>
    <row r="1294" spans="1:23" x14ac:dyDescent="0.2">
      <c r="A1294" t="s">
        <v>72</v>
      </c>
      <c r="B1294" t="s">
        <v>73</v>
      </c>
      <c r="C1294" t="s">
        <v>31</v>
      </c>
      <c r="D1294" t="s">
        <v>32</v>
      </c>
      <c r="E1294" t="s">
        <v>56</v>
      </c>
      <c r="F1294" s="7">
        <v>21625874</v>
      </c>
      <c r="G1294" t="s">
        <v>292</v>
      </c>
      <c r="H1294" s="5">
        <v>49827</v>
      </c>
      <c r="I1294" s="12">
        <v>46006</v>
      </c>
      <c r="J1294" s="15">
        <v>30</v>
      </c>
      <c r="K1294" s="15">
        <v>7</v>
      </c>
      <c r="L1294" s="9">
        <v>9.5399999999999999E-2</v>
      </c>
      <c r="M1294" s="9">
        <v>5.3999999999999999E-2</v>
      </c>
      <c r="N1294" s="15">
        <v>10</v>
      </c>
      <c r="O1294" t="s">
        <v>27</v>
      </c>
      <c r="P1294" t="s">
        <v>27</v>
      </c>
      <c r="Q1294" s="24">
        <v>0</v>
      </c>
      <c r="R1294" s="5">
        <f t="shared" si="120"/>
        <v>390.69828493150681</v>
      </c>
      <c r="S1294" s="5">
        <f t="shared" si="121"/>
        <v>73.716657534246565</v>
      </c>
      <c r="T1294" s="5">
        <f t="shared" si="122"/>
        <v>316.98162739726024</v>
      </c>
      <c r="U1294" s="15">
        <f t="shared" si="123"/>
        <v>20</v>
      </c>
      <c r="V1294" s="3">
        <f t="shared" si="124"/>
        <v>0</v>
      </c>
      <c r="W1294" s="3">
        <f t="shared" si="125"/>
        <v>1278</v>
      </c>
    </row>
    <row r="1295" spans="1:23" x14ac:dyDescent="0.2">
      <c r="A1295" t="s">
        <v>289</v>
      </c>
      <c r="B1295" t="s">
        <v>204</v>
      </c>
      <c r="C1295" t="s">
        <v>31</v>
      </c>
      <c r="D1295" t="s">
        <v>32</v>
      </c>
      <c r="E1295" t="s">
        <v>49</v>
      </c>
      <c r="F1295" s="7">
        <v>782629</v>
      </c>
      <c r="G1295" t="s">
        <v>317</v>
      </c>
      <c r="H1295" s="5">
        <v>49721</v>
      </c>
      <c r="I1295" s="12">
        <v>46069</v>
      </c>
      <c r="J1295" s="15">
        <v>45</v>
      </c>
      <c r="K1295" s="15">
        <v>10</v>
      </c>
      <c r="L1295" s="9">
        <v>0.14219999999999999</v>
      </c>
      <c r="M1295" s="9">
        <v>5.5899999999999998E-2</v>
      </c>
      <c r="N1295" s="15">
        <v>8</v>
      </c>
      <c r="O1295" t="s">
        <v>27</v>
      </c>
      <c r="P1295" t="s">
        <v>27</v>
      </c>
      <c r="Q1295" s="24">
        <v>0</v>
      </c>
      <c r="R1295" s="5">
        <f t="shared" si="120"/>
        <v>871.68405205479439</v>
      </c>
      <c r="S1295" s="5">
        <f t="shared" si="121"/>
        <v>60.918441643835614</v>
      </c>
      <c r="T1295" s="5">
        <f t="shared" si="122"/>
        <v>810.76561041095874</v>
      </c>
      <c r="U1295" s="15">
        <f t="shared" si="123"/>
        <v>37</v>
      </c>
      <c r="V1295" s="3">
        <f t="shared" si="124"/>
        <v>0</v>
      </c>
      <c r="W1295" s="3">
        <f t="shared" si="125"/>
        <v>1278</v>
      </c>
    </row>
    <row r="1296" spans="1:23" x14ac:dyDescent="0.2">
      <c r="A1296" t="s">
        <v>127</v>
      </c>
      <c r="B1296" t="s">
        <v>128</v>
      </c>
      <c r="C1296" t="s">
        <v>31</v>
      </c>
      <c r="D1296" t="s">
        <v>66</v>
      </c>
      <c r="E1296" t="s">
        <v>49</v>
      </c>
      <c r="F1296" s="7">
        <v>261628</v>
      </c>
      <c r="G1296" t="s">
        <v>329</v>
      </c>
      <c r="H1296" s="5">
        <v>49941</v>
      </c>
      <c r="I1296" s="12">
        <v>45803</v>
      </c>
      <c r="J1296" s="15">
        <v>90</v>
      </c>
      <c r="K1296" s="15">
        <v>2</v>
      </c>
      <c r="L1296" s="9">
        <v>0.17249999999999999</v>
      </c>
      <c r="M1296" s="9">
        <v>5.0999999999999997E-2</v>
      </c>
      <c r="N1296" s="15">
        <v>10</v>
      </c>
      <c r="O1296" t="s">
        <v>28</v>
      </c>
      <c r="P1296" t="s">
        <v>27</v>
      </c>
      <c r="Q1296" s="24">
        <v>0</v>
      </c>
      <c r="R1296" s="5">
        <f t="shared" si="120"/>
        <v>2124.2028082191782</v>
      </c>
      <c r="S1296" s="5">
        <f t="shared" si="121"/>
        <v>69.780575342465752</v>
      </c>
      <c r="T1296" s="5">
        <f t="shared" si="122"/>
        <v>2054.4222328767123</v>
      </c>
      <c r="U1296" s="15">
        <f t="shared" si="123"/>
        <v>80</v>
      </c>
      <c r="V1296" s="3">
        <f t="shared" si="124"/>
        <v>0</v>
      </c>
      <c r="W1296" s="3">
        <f t="shared" si="125"/>
        <v>1278</v>
      </c>
    </row>
    <row r="1297" spans="1:23" x14ac:dyDescent="0.2">
      <c r="A1297" t="s">
        <v>58</v>
      </c>
      <c r="B1297" t="s">
        <v>59</v>
      </c>
      <c r="C1297" t="s">
        <v>23</v>
      </c>
      <c r="D1297" t="s">
        <v>24</v>
      </c>
      <c r="E1297" t="s">
        <v>25</v>
      </c>
      <c r="F1297" s="7">
        <v>4269919</v>
      </c>
      <c r="G1297" t="s">
        <v>337</v>
      </c>
      <c r="H1297" s="5">
        <v>20142</v>
      </c>
      <c r="I1297" s="12">
        <v>46018</v>
      </c>
      <c r="J1297" s="15">
        <v>60</v>
      </c>
      <c r="K1297" s="15">
        <v>5</v>
      </c>
      <c r="L1297" s="9">
        <v>0.1212</v>
      </c>
      <c r="M1297" s="9">
        <v>5.11E-2</v>
      </c>
      <c r="N1297" s="15">
        <v>8</v>
      </c>
      <c r="O1297" t="s">
        <v>27</v>
      </c>
      <c r="P1297" t="s">
        <v>27</v>
      </c>
      <c r="Q1297" s="24">
        <v>0</v>
      </c>
      <c r="R1297" s="5">
        <f t="shared" si="120"/>
        <v>401.29486027397257</v>
      </c>
      <c r="S1297" s="5">
        <f t="shared" si="121"/>
        <v>22.55904</v>
      </c>
      <c r="T1297" s="5">
        <f t="shared" si="122"/>
        <v>378.73582027397259</v>
      </c>
      <c r="U1297" s="15">
        <f t="shared" si="123"/>
        <v>52</v>
      </c>
      <c r="V1297" s="3">
        <f t="shared" si="124"/>
        <v>0</v>
      </c>
      <c r="W1297" s="3">
        <f t="shared" si="125"/>
        <v>1278</v>
      </c>
    </row>
    <row r="1298" spans="1:23" x14ac:dyDescent="0.2">
      <c r="A1298" t="s">
        <v>34</v>
      </c>
      <c r="B1298" t="s">
        <v>35</v>
      </c>
      <c r="C1298" t="s">
        <v>36</v>
      </c>
      <c r="D1298" t="s">
        <v>37</v>
      </c>
      <c r="E1298" t="s">
        <v>25</v>
      </c>
      <c r="F1298" s="7">
        <v>3714458</v>
      </c>
      <c r="G1298" t="s">
        <v>350</v>
      </c>
      <c r="H1298" s="5">
        <v>63518</v>
      </c>
      <c r="I1298" s="12">
        <v>45895</v>
      </c>
      <c r="J1298" s="15">
        <v>60</v>
      </c>
      <c r="K1298" s="15">
        <v>10</v>
      </c>
      <c r="L1298" s="9">
        <v>0.1153</v>
      </c>
      <c r="M1298" s="9">
        <v>6.4600000000000005E-2</v>
      </c>
      <c r="N1298" s="15">
        <v>5</v>
      </c>
      <c r="O1298" t="s">
        <v>27</v>
      </c>
      <c r="P1298" t="s">
        <v>27</v>
      </c>
      <c r="Q1298" s="24">
        <v>0</v>
      </c>
      <c r="R1298" s="5">
        <f t="shared" si="120"/>
        <v>1203.8836273972602</v>
      </c>
      <c r="S1298" s="5">
        <f t="shared" si="121"/>
        <v>56.209079452054795</v>
      </c>
      <c r="T1298" s="5">
        <f t="shared" si="122"/>
        <v>1147.6745479452054</v>
      </c>
      <c r="U1298" s="15">
        <f t="shared" si="123"/>
        <v>55</v>
      </c>
      <c r="V1298" s="3">
        <f t="shared" si="124"/>
        <v>0</v>
      </c>
      <c r="W1298" s="3">
        <f t="shared" si="125"/>
        <v>1278</v>
      </c>
    </row>
    <row r="1299" spans="1:23" x14ac:dyDescent="0.2">
      <c r="A1299" t="s">
        <v>210</v>
      </c>
      <c r="B1299" t="s">
        <v>211</v>
      </c>
      <c r="C1299" t="s">
        <v>41</v>
      </c>
      <c r="D1299" t="s">
        <v>32</v>
      </c>
      <c r="E1299" t="s">
        <v>56</v>
      </c>
      <c r="F1299" s="7">
        <v>17014146</v>
      </c>
      <c r="G1299" t="s">
        <v>354</v>
      </c>
      <c r="H1299" s="5">
        <v>107030</v>
      </c>
      <c r="I1299" s="12">
        <v>45666</v>
      </c>
      <c r="J1299" s="15">
        <v>60</v>
      </c>
      <c r="K1299" s="15">
        <v>2</v>
      </c>
      <c r="L1299" s="9">
        <v>0.1037</v>
      </c>
      <c r="M1299" s="9">
        <v>6.1199999999999997E-2</v>
      </c>
      <c r="N1299" s="15">
        <v>8</v>
      </c>
      <c r="O1299" t="s">
        <v>27</v>
      </c>
      <c r="P1299" t="s">
        <v>27</v>
      </c>
      <c r="Q1299" s="24">
        <v>0</v>
      </c>
      <c r="R1299" s="5">
        <f t="shared" si="120"/>
        <v>1824.4949589041096</v>
      </c>
      <c r="S1299" s="5">
        <f t="shared" si="121"/>
        <v>143.56681643835617</v>
      </c>
      <c r="T1299" s="5">
        <f t="shared" si="122"/>
        <v>1680.9281424657534</v>
      </c>
      <c r="U1299" s="15">
        <f t="shared" si="123"/>
        <v>52</v>
      </c>
      <c r="V1299" s="3">
        <f t="shared" si="124"/>
        <v>0</v>
      </c>
      <c r="W1299" s="3">
        <f t="shared" si="125"/>
        <v>1278</v>
      </c>
    </row>
    <row r="1300" spans="1:23" x14ac:dyDescent="0.2">
      <c r="A1300" t="s">
        <v>362</v>
      </c>
      <c r="B1300" t="s">
        <v>363</v>
      </c>
      <c r="C1300" t="s">
        <v>31</v>
      </c>
      <c r="D1300" t="s">
        <v>66</v>
      </c>
      <c r="E1300" t="s">
        <v>25</v>
      </c>
      <c r="F1300" s="7">
        <v>3573998</v>
      </c>
      <c r="G1300" t="s">
        <v>364</v>
      </c>
      <c r="H1300" s="5">
        <v>34955</v>
      </c>
      <c r="I1300" s="12">
        <v>46001</v>
      </c>
      <c r="J1300" s="15">
        <v>60</v>
      </c>
      <c r="K1300" s="15">
        <v>5</v>
      </c>
      <c r="L1300" s="9">
        <v>0.13200000000000001</v>
      </c>
      <c r="M1300" s="9">
        <v>5.6099999999999997E-2</v>
      </c>
      <c r="N1300" s="15">
        <v>5</v>
      </c>
      <c r="O1300" t="s">
        <v>27</v>
      </c>
      <c r="P1300" t="s">
        <v>27</v>
      </c>
      <c r="Q1300" s="24">
        <v>0</v>
      </c>
      <c r="R1300" s="5">
        <f t="shared" si="120"/>
        <v>758.47561643835616</v>
      </c>
      <c r="S1300" s="5">
        <f t="shared" si="121"/>
        <v>26.862678082191781</v>
      </c>
      <c r="T1300" s="5">
        <f t="shared" si="122"/>
        <v>731.61293835616436</v>
      </c>
      <c r="U1300" s="15">
        <f t="shared" si="123"/>
        <v>55</v>
      </c>
      <c r="V1300" s="3">
        <f t="shared" si="124"/>
        <v>0</v>
      </c>
      <c r="W1300" s="3">
        <f t="shared" si="125"/>
        <v>1278</v>
      </c>
    </row>
    <row r="1301" spans="1:23" x14ac:dyDescent="0.2">
      <c r="A1301" t="s">
        <v>366</v>
      </c>
      <c r="B1301" t="s">
        <v>367</v>
      </c>
      <c r="C1301" t="s">
        <v>41</v>
      </c>
      <c r="D1301" t="s">
        <v>37</v>
      </c>
      <c r="E1301" t="s">
        <v>56</v>
      </c>
      <c r="F1301" s="7">
        <v>13330124</v>
      </c>
      <c r="G1301" t="s">
        <v>368</v>
      </c>
      <c r="H1301" s="5">
        <v>43584</v>
      </c>
      <c r="I1301" s="12">
        <v>45945</v>
      </c>
      <c r="J1301" s="15">
        <v>60</v>
      </c>
      <c r="K1301" s="15">
        <v>4</v>
      </c>
      <c r="L1301" s="9">
        <v>0.10920000000000001</v>
      </c>
      <c r="M1301" s="9">
        <v>6.2199999999999998E-2</v>
      </c>
      <c r="N1301" s="15">
        <v>6</v>
      </c>
      <c r="O1301" t="s">
        <v>27</v>
      </c>
      <c r="P1301" t="s">
        <v>27</v>
      </c>
      <c r="Q1301" s="24">
        <v>0</v>
      </c>
      <c r="R1301" s="5">
        <f t="shared" si="120"/>
        <v>782.36265205479447</v>
      </c>
      <c r="S1301" s="5">
        <f t="shared" si="121"/>
        <v>44.563147397260266</v>
      </c>
      <c r="T1301" s="5">
        <f t="shared" si="122"/>
        <v>737.79950465753416</v>
      </c>
      <c r="U1301" s="15">
        <f t="shared" si="123"/>
        <v>54</v>
      </c>
      <c r="V1301" s="3">
        <f t="shared" si="124"/>
        <v>0</v>
      </c>
      <c r="W1301" s="3">
        <f t="shared" si="125"/>
        <v>1278</v>
      </c>
    </row>
    <row r="1302" spans="1:23" x14ac:dyDescent="0.2">
      <c r="A1302" t="s">
        <v>236</v>
      </c>
      <c r="B1302" t="s">
        <v>204</v>
      </c>
      <c r="C1302" t="s">
        <v>41</v>
      </c>
      <c r="D1302" t="s">
        <v>66</v>
      </c>
      <c r="E1302" t="s">
        <v>25</v>
      </c>
      <c r="F1302" s="7">
        <v>2121447</v>
      </c>
      <c r="G1302" t="s">
        <v>399</v>
      </c>
      <c r="H1302" s="5">
        <v>17577</v>
      </c>
      <c r="I1302" s="12">
        <v>46008</v>
      </c>
      <c r="J1302" s="15">
        <v>45</v>
      </c>
      <c r="K1302" s="15">
        <v>10</v>
      </c>
      <c r="L1302" s="9">
        <v>0.11890000000000001</v>
      </c>
      <c r="M1302" s="9">
        <v>6.2799999999999995E-2</v>
      </c>
      <c r="N1302" s="15">
        <v>8</v>
      </c>
      <c r="O1302" t="s">
        <v>27</v>
      </c>
      <c r="P1302" t="s">
        <v>27</v>
      </c>
      <c r="Q1302" s="24">
        <v>0</v>
      </c>
      <c r="R1302" s="5">
        <f t="shared" si="120"/>
        <v>257.65955753424657</v>
      </c>
      <c r="S1302" s="5">
        <f t="shared" si="121"/>
        <v>24.193656986301367</v>
      </c>
      <c r="T1302" s="5">
        <f t="shared" si="122"/>
        <v>233.46590054794521</v>
      </c>
      <c r="U1302" s="15">
        <f t="shared" si="123"/>
        <v>37</v>
      </c>
      <c r="V1302" s="3">
        <f t="shared" si="124"/>
        <v>0</v>
      </c>
      <c r="W1302" s="3">
        <f t="shared" si="125"/>
        <v>1278</v>
      </c>
    </row>
    <row r="1303" spans="1:23" x14ac:dyDescent="0.2">
      <c r="A1303" t="s">
        <v>203</v>
      </c>
      <c r="B1303" t="s">
        <v>204</v>
      </c>
      <c r="C1303" t="s">
        <v>23</v>
      </c>
      <c r="D1303" t="s">
        <v>24</v>
      </c>
      <c r="E1303" t="s">
        <v>25</v>
      </c>
      <c r="F1303" s="7">
        <v>1716971</v>
      </c>
      <c r="G1303" t="s">
        <v>425</v>
      </c>
      <c r="H1303" s="5">
        <v>48739</v>
      </c>
      <c r="I1303" s="12">
        <v>45750</v>
      </c>
      <c r="J1303" s="15">
        <v>60</v>
      </c>
      <c r="K1303" s="15">
        <v>5</v>
      </c>
      <c r="L1303" s="9">
        <v>9.4600000000000004E-2</v>
      </c>
      <c r="M1303" s="9">
        <v>5.2299999999999999E-2</v>
      </c>
      <c r="N1303" s="15">
        <v>10</v>
      </c>
      <c r="O1303" t="s">
        <v>28</v>
      </c>
      <c r="P1303" t="s">
        <v>27</v>
      </c>
      <c r="Q1303" s="24">
        <v>0</v>
      </c>
      <c r="R1303" s="5">
        <f t="shared" si="120"/>
        <v>757.92483287671223</v>
      </c>
      <c r="S1303" s="5">
        <f t="shared" si="121"/>
        <v>69.836978082191777</v>
      </c>
      <c r="T1303" s="5">
        <f t="shared" si="122"/>
        <v>688.08785479452047</v>
      </c>
      <c r="U1303" s="15">
        <f t="shared" si="123"/>
        <v>50</v>
      </c>
      <c r="V1303" s="3">
        <f t="shared" si="124"/>
        <v>0</v>
      </c>
      <c r="W1303" s="3">
        <f t="shared" si="125"/>
        <v>1278</v>
      </c>
    </row>
    <row r="1304" spans="1:23" x14ac:dyDescent="0.2">
      <c r="A1304" t="s">
        <v>366</v>
      </c>
      <c r="B1304" t="s">
        <v>367</v>
      </c>
      <c r="C1304" t="s">
        <v>41</v>
      </c>
      <c r="D1304" t="s">
        <v>37</v>
      </c>
      <c r="E1304" t="s">
        <v>56</v>
      </c>
      <c r="F1304" s="7">
        <v>13330124</v>
      </c>
      <c r="G1304" t="s">
        <v>432</v>
      </c>
      <c r="H1304" s="5">
        <v>66827</v>
      </c>
      <c r="I1304" s="12">
        <v>45713</v>
      </c>
      <c r="J1304" s="15">
        <v>60</v>
      </c>
      <c r="K1304" s="15">
        <v>4</v>
      </c>
      <c r="L1304" s="9">
        <v>0.10920000000000001</v>
      </c>
      <c r="M1304" s="9">
        <v>5.8999999999999997E-2</v>
      </c>
      <c r="N1304" s="15">
        <v>10</v>
      </c>
      <c r="O1304" t="s">
        <v>27</v>
      </c>
      <c r="P1304" t="s">
        <v>27</v>
      </c>
      <c r="Q1304" s="24">
        <v>0</v>
      </c>
      <c r="R1304" s="5">
        <f t="shared" si="120"/>
        <v>1199.5904219178083</v>
      </c>
      <c r="S1304" s="5">
        <f t="shared" si="121"/>
        <v>108.02172602739725</v>
      </c>
      <c r="T1304" s="5">
        <f t="shared" si="122"/>
        <v>1091.5686958904109</v>
      </c>
      <c r="U1304" s="15">
        <f t="shared" si="123"/>
        <v>50</v>
      </c>
      <c r="V1304" s="3">
        <f t="shared" si="124"/>
        <v>0</v>
      </c>
      <c r="W1304" s="3">
        <f t="shared" si="125"/>
        <v>1278</v>
      </c>
    </row>
    <row r="1305" spans="1:23" x14ac:dyDescent="0.2">
      <c r="A1305" t="s">
        <v>58</v>
      </c>
      <c r="B1305" t="s">
        <v>59</v>
      </c>
      <c r="C1305" t="s">
        <v>23</v>
      </c>
      <c r="D1305" t="s">
        <v>24</v>
      </c>
      <c r="E1305" t="s">
        <v>25</v>
      </c>
      <c r="F1305" s="7">
        <v>4269919</v>
      </c>
      <c r="G1305" t="s">
        <v>433</v>
      </c>
      <c r="H1305" s="5">
        <v>44536</v>
      </c>
      <c r="I1305" s="12">
        <v>46004</v>
      </c>
      <c r="J1305" s="15">
        <v>60</v>
      </c>
      <c r="K1305" s="15">
        <v>4</v>
      </c>
      <c r="L1305" s="9">
        <v>0.1212</v>
      </c>
      <c r="M1305" s="9">
        <v>4.8300000000000003E-2</v>
      </c>
      <c r="N1305" s="15">
        <v>10</v>
      </c>
      <c r="O1305" t="s">
        <v>28</v>
      </c>
      <c r="P1305" t="s">
        <v>27</v>
      </c>
      <c r="Q1305" s="24">
        <v>0</v>
      </c>
      <c r="R1305" s="5">
        <f t="shared" si="120"/>
        <v>887.30353972602745</v>
      </c>
      <c r="S1305" s="5">
        <f t="shared" si="121"/>
        <v>58.933939726027397</v>
      </c>
      <c r="T1305" s="5">
        <f t="shared" si="122"/>
        <v>828.3696000000001</v>
      </c>
      <c r="U1305" s="15">
        <f t="shared" si="123"/>
        <v>50</v>
      </c>
      <c r="V1305" s="3">
        <f t="shared" si="124"/>
        <v>0</v>
      </c>
      <c r="W1305" s="3">
        <f t="shared" si="125"/>
        <v>1278</v>
      </c>
    </row>
    <row r="1306" spans="1:23" x14ac:dyDescent="0.2">
      <c r="A1306" t="s">
        <v>377</v>
      </c>
      <c r="B1306" t="s">
        <v>378</v>
      </c>
      <c r="C1306" t="s">
        <v>31</v>
      </c>
      <c r="D1306" t="s">
        <v>48</v>
      </c>
      <c r="E1306" t="s">
        <v>25</v>
      </c>
      <c r="F1306" s="7">
        <v>3293043</v>
      </c>
      <c r="G1306" t="s">
        <v>452</v>
      </c>
      <c r="H1306" s="5">
        <v>33871</v>
      </c>
      <c r="I1306" s="12">
        <v>45662</v>
      </c>
      <c r="J1306" s="15">
        <v>60</v>
      </c>
      <c r="K1306" s="15">
        <v>3</v>
      </c>
      <c r="L1306" s="9">
        <v>0.13320000000000001</v>
      </c>
      <c r="M1306" s="9">
        <v>4.87E-2</v>
      </c>
      <c r="N1306" s="15">
        <v>8</v>
      </c>
      <c r="O1306" t="s">
        <v>27</v>
      </c>
      <c r="P1306" t="s">
        <v>27</v>
      </c>
      <c r="Q1306" s="24">
        <v>0</v>
      </c>
      <c r="R1306" s="5">
        <f t="shared" si="120"/>
        <v>741.63570410958914</v>
      </c>
      <c r="S1306" s="5">
        <f t="shared" si="121"/>
        <v>36.153812602739727</v>
      </c>
      <c r="T1306" s="5">
        <f t="shared" si="122"/>
        <v>705.48189150684937</v>
      </c>
      <c r="U1306" s="15">
        <f t="shared" si="123"/>
        <v>52</v>
      </c>
      <c r="V1306" s="3">
        <f t="shared" si="124"/>
        <v>0</v>
      </c>
      <c r="W1306" s="3">
        <f t="shared" si="125"/>
        <v>1278</v>
      </c>
    </row>
    <row r="1307" spans="1:23" x14ac:dyDescent="0.2">
      <c r="A1307" t="s">
        <v>133</v>
      </c>
      <c r="B1307" t="s">
        <v>134</v>
      </c>
      <c r="C1307" t="s">
        <v>36</v>
      </c>
      <c r="D1307" t="s">
        <v>24</v>
      </c>
      <c r="E1307" t="s">
        <v>25</v>
      </c>
      <c r="F1307" s="7">
        <v>6056843</v>
      </c>
      <c r="G1307" t="s">
        <v>461</v>
      </c>
      <c r="H1307" s="5">
        <v>16224</v>
      </c>
      <c r="I1307" s="12">
        <v>46055</v>
      </c>
      <c r="J1307" s="15">
        <v>60</v>
      </c>
      <c r="K1307" s="15">
        <v>4</v>
      </c>
      <c r="L1307" s="9">
        <v>0.12520000000000001</v>
      </c>
      <c r="M1307" s="9">
        <v>6.2199999999999998E-2</v>
      </c>
      <c r="N1307" s="15">
        <v>5</v>
      </c>
      <c r="O1307" t="s">
        <v>27</v>
      </c>
      <c r="P1307" t="s">
        <v>27</v>
      </c>
      <c r="Q1307" s="24">
        <v>0</v>
      </c>
      <c r="R1307" s="5">
        <f t="shared" si="120"/>
        <v>333.90325479452054</v>
      </c>
      <c r="S1307" s="5">
        <f t="shared" si="121"/>
        <v>13.823736986301368</v>
      </c>
      <c r="T1307" s="5">
        <f t="shared" si="122"/>
        <v>320.07951780821918</v>
      </c>
      <c r="U1307" s="15">
        <f t="shared" si="123"/>
        <v>55</v>
      </c>
      <c r="V1307" s="3">
        <f t="shared" si="124"/>
        <v>0</v>
      </c>
      <c r="W1307" s="3">
        <f t="shared" si="125"/>
        <v>1278</v>
      </c>
    </row>
    <row r="1308" spans="1:23" x14ac:dyDescent="0.2">
      <c r="A1308" t="s">
        <v>249</v>
      </c>
      <c r="B1308" t="s">
        <v>250</v>
      </c>
      <c r="C1308" t="s">
        <v>23</v>
      </c>
      <c r="D1308" t="s">
        <v>66</v>
      </c>
      <c r="E1308" t="s">
        <v>25</v>
      </c>
      <c r="F1308" s="7">
        <v>2803992</v>
      </c>
      <c r="G1308" t="s">
        <v>464</v>
      </c>
      <c r="H1308" s="5">
        <v>34069</v>
      </c>
      <c r="I1308" s="12">
        <v>46005</v>
      </c>
      <c r="J1308" s="15">
        <v>60</v>
      </c>
      <c r="K1308" s="15">
        <v>10</v>
      </c>
      <c r="L1308" s="9">
        <v>0.1036</v>
      </c>
      <c r="M1308" s="9">
        <v>5.0900000000000001E-2</v>
      </c>
      <c r="N1308" s="15">
        <v>10</v>
      </c>
      <c r="O1308" t="s">
        <v>27</v>
      </c>
      <c r="P1308" t="s">
        <v>27</v>
      </c>
      <c r="Q1308" s="24">
        <v>0</v>
      </c>
      <c r="R1308" s="5">
        <f t="shared" si="120"/>
        <v>580.19973698630133</v>
      </c>
      <c r="S1308" s="5">
        <f t="shared" si="121"/>
        <v>47.509920547945207</v>
      </c>
      <c r="T1308" s="5">
        <f t="shared" si="122"/>
        <v>532.68981643835616</v>
      </c>
      <c r="U1308" s="15">
        <f t="shared" si="123"/>
        <v>50</v>
      </c>
      <c r="V1308" s="3">
        <f t="shared" si="124"/>
        <v>0</v>
      </c>
      <c r="W1308" s="3">
        <f t="shared" si="125"/>
        <v>1278</v>
      </c>
    </row>
    <row r="1309" spans="1:23" x14ac:dyDescent="0.2">
      <c r="A1309" t="s">
        <v>193</v>
      </c>
      <c r="B1309" t="s">
        <v>194</v>
      </c>
      <c r="C1309" t="s">
        <v>31</v>
      </c>
      <c r="D1309" t="s">
        <v>66</v>
      </c>
      <c r="E1309" t="s">
        <v>49</v>
      </c>
      <c r="F1309" s="7">
        <v>764840</v>
      </c>
      <c r="G1309" t="s">
        <v>471</v>
      </c>
      <c r="H1309" s="5">
        <v>56270</v>
      </c>
      <c r="I1309" s="12">
        <v>46048</v>
      </c>
      <c r="J1309" s="15">
        <v>60</v>
      </c>
      <c r="K1309" s="15">
        <v>3</v>
      </c>
      <c r="L1309" s="9">
        <v>0.16819999999999999</v>
      </c>
      <c r="M1309" s="9">
        <v>5.6300000000000003E-2</v>
      </c>
      <c r="N1309" s="15">
        <v>8</v>
      </c>
      <c r="O1309" t="s">
        <v>27</v>
      </c>
      <c r="P1309" t="s">
        <v>27</v>
      </c>
      <c r="Q1309" s="24">
        <v>0</v>
      </c>
      <c r="R1309" s="5">
        <f t="shared" si="120"/>
        <v>1555.8269589041095</v>
      </c>
      <c r="S1309" s="5">
        <f t="shared" si="121"/>
        <v>69.43563835616439</v>
      </c>
      <c r="T1309" s="5">
        <f t="shared" si="122"/>
        <v>1486.391320547945</v>
      </c>
      <c r="U1309" s="15">
        <f t="shared" si="123"/>
        <v>52</v>
      </c>
      <c r="V1309" s="3">
        <f t="shared" si="124"/>
        <v>0</v>
      </c>
      <c r="W1309" s="3">
        <f t="shared" si="125"/>
        <v>1278</v>
      </c>
    </row>
    <row r="1310" spans="1:23" x14ac:dyDescent="0.2">
      <c r="A1310" t="s">
        <v>472</v>
      </c>
      <c r="B1310" t="s">
        <v>164</v>
      </c>
      <c r="C1310" t="s">
        <v>31</v>
      </c>
      <c r="D1310" t="s">
        <v>37</v>
      </c>
      <c r="E1310" t="s">
        <v>25</v>
      </c>
      <c r="F1310" s="7">
        <v>5598489</v>
      </c>
      <c r="G1310" t="s">
        <v>473</v>
      </c>
      <c r="H1310" s="5">
        <v>18345</v>
      </c>
      <c r="I1310" s="12">
        <v>45738</v>
      </c>
      <c r="J1310" s="15">
        <v>30</v>
      </c>
      <c r="K1310" s="15">
        <v>10</v>
      </c>
      <c r="L1310" s="9">
        <v>0.1178</v>
      </c>
      <c r="M1310" s="9">
        <v>6.0699999999999997E-2</v>
      </c>
      <c r="N1310" s="15">
        <v>8</v>
      </c>
      <c r="O1310" t="s">
        <v>28</v>
      </c>
      <c r="P1310" t="s">
        <v>27</v>
      </c>
      <c r="Q1310" s="24">
        <v>0</v>
      </c>
      <c r="R1310" s="5">
        <f t="shared" si="120"/>
        <v>177.61980821917808</v>
      </c>
      <c r="S1310" s="5">
        <f t="shared" si="121"/>
        <v>24.406389041095892</v>
      </c>
      <c r="T1310" s="5">
        <f t="shared" si="122"/>
        <v>153.21341917808218</v>
      </c>
      <c r="U1310" s="15">
        <f t="shared" si="123"/>
        <v>22</v>
      </c>
      <c r="V1310" s="3">
        <f t="shared" si="124"/>
        <v>0</v>
      </c>
      <c r="W1310" s="3">
        <f t="shared" si="125"/>
        <v>1278</v>
      </c>
    </row>
    <row r="1311" spans="1:23" x14ac:dyDescent="0.2">
      <c r="A1311" t="s">
        <v>120</v>
      </c>
      <c r="B1311" t="s">
        <v>121</v>
      </c>
      <c r="C1311" t="s">
        <v>31</v>
      </c>
      <c r="D1311" t="s">
        <v>48</v>
      </c>
      <c r="E1311" t="s">
        <v>56</v>
      </c>
      <c r="F1311" s="7">
        <v>14943587</v>
      </c>
      <c r="G1311" t="s">
        <v>479</v>
      </c>
      <c r="H1311" s="5">
        <v>80084</v>
      </c>
      <c r="I1311" s="12">
        <v>45874</v>
      </c>
      <c r="J1311" s="15">
        <v>60</v>
      </c>
      <c r="K1311" s="15">
        <v>2</v>
      </c>
      <c r="L1311" s="9">
        <v>0.1046</v>
      </c>
      <c r="M1311" s="9">
        <v>4.5199999999999997E-2</v>
      </c>
      <c r="N1311" s="15">
        <v>7</v>
      </c>
      <c r="O1311" t="s">
        <v>27</v>
      </c>
      <c r="P1311" t="s">
        <v>27</v>
      </c>
      <c r="Q1311" s="24">
        <v>0</v>
      </c>
      <c r="R1311" s="5">
        <f t="shared" si="120"/>
        <v>1377.0059835616437</v>
      </c>
      <c r="S1311" s="5">
        <f t="shared" si="121"/>
        <v>69.420760547945207</v>
      </c>
      <c r="T1311" s="5">
        <f t="shared" si="122"/>
        <v>1307.5852230136984</v>
      </c>
      <c r="U1311" s="15">
        <f t="shared" si="123"/>
        <v>53</v>
      </c>
      <c r="V1311" s="3">
        <f t="shared" si="124"/>
        <v>0</v>
      </c>
      <c r="W1311" s="3">
        <f t="shared" si="125"/>
        <v>1278</v>
      </c>
    </row>
    <row r="1312" spans="1:23" x14ac:dyDescent="0.2">
      <c r="A1312" t="s">
        <v>79</v>
      </c>
      <c r="B1312" t="s">
        <v>80</v>
      </c>
      <c r="C1312" t="s">
        <v>31</v>
      </c>
      <c r="D1312" t="s">
        <v>32</v>
      </c>
      <c r="E1312" t="s">
        <v>25</v>
      </c>
      <c r="F1312" s="7">
        <v>1969242</v>
      </c>
      <c r="G1312" t="s">
        <v>498</v>
      </c>
      <c r="H1312" s="5">
        <v>109079</v>
      </c>
      <c r="I1312" s="12">
        <v>45925</v>
      </c>
      <c r="J1312" s="15">
        <v>45</v>
      </c>
      <c r="K1312" s="15">
        <v>2</v>
      </c>
      <c r="L1312" s="9">
        <v>0.10150000000000001</v>
      </c>
      <c r="M1312" s="9">
        <v>5.9200000000000003E-2</v>
      </c>
      <c r="N1312" s="15">
        <v>5</v>
      </c>
      <c r="O1312" t="s">
        <v>28</v>
      </c>
      <c r="P1312" t="s">
        <v>27</v>
      </c>
      <c r="Q1312" s="24">
        <v>0</v>
      </c>
      <c r="R1312" s="5">
        <f t="shared" si="120"/>
        <v>1364.9817328767122</v>
      </c>
      <c r="S1312" s="5">
        <f t="shared" si="121"/>
        <v>88.458586301369863</v>
      </c>
      <c r="T1312" s="5">
        <f t="shared" si="122"/>
        <v>1276.5231465753423</v>
      </c>
      <c r="U1312" s="15">
        <f t="shared" si="123"/>
        <v>40</v>
      </c>
      <c r="V1312" s="3">
        <f t="shared" si="124"/>
        <v>0</v>
      </c>
      <c r="W1312" s="3">
        <f t="shared" si="125"/>
        <v>1278</v>
      </c>
    </row>
    <row r="1313" spans="1:23" x14ac:dyDescent="0.2">
      <c r="A1313" t="s">
        <v>293</v>
      </c>
      <c r="B1313" t="s">
        <v>231</v>
      </c>
      <c r="C1313" t="s">
        <v>36</v>
      </c>
      <c r="D1313" t="s">
        <v>32</v>
      </c>
      <c r="E1313" t="s">
        <v>25</v>
      </c>
      <c r="F1313" s="7">
        <v>3723173</v>
      </c>
      <c r="G1313" t="s">
        <v>505</v>
      </c>
      <c r="H1313" s="5">
        <v>44053</v>
      </c>
      <c r="I1313" s="12">
        <v>45676</v>
      </c>
      <c r="J1313" s="15">
        <v>30</v>
      </c>
      <c r="K1313" s="15">
        <v>4</v>
      </c>
      <c r="L1313" s="9">
        <v>0.1069</v>
      </c>
      <c r="M1313" s="9">
        <v>5.2699999999999997E-2</v>
      </c>
      <c r="N1313" s="15">
        <v>6</v>
      </c>
      <c r="O1313" t="s">
        <v>28</v>
      </c>
      <c r="P1313" t="s">
        <v>27</v>
      </c>
      <c r="Q1313" s="24">
        <v>0</v>
      </c>
      <c r="R1313" s="5">
        <f t="shared" si="120"/>
        <v>387.06293424657531</v>
      </c>
      <c r="S1313" s="5">
        <f t="shared" si="121"/>
        <v>38.163174246575338</v>
      </c>
      <c r="T1313" s="5">
        <f t="shared" si="122"/>
        <v>348.89975999999996</v>
      </c>
      <c r="U1313" s="15">
        <f t="shared" si="123"/>
        <v>24</v>
      </c>
      <c r="V1313" s="3">
        <f t="shared" si="124"/>
        <v>0</v>
      </c>
      <c r="W1313" s="3">
        <f t="shared" si="125"/>
        <v>1278</v>
      </c>
    </row>
    <row r="1314" spans="1:23" x14ac:dyDescent="0.2">
      <c r="A1314" t="s">
        <v>189</v>
      </c>
      <c r="B1314" t="s">
        <v>190</v>
      </c>
      <c r="C1314" t="s">
        <v>36</v>
      </c>
      <c r="D1314" t="s">
        <v>37</v>
      </c>
      <c r="E1314" t="s">
        <v>49</v>
      </c>
      <c r="F1314" s="7">
        <v>965613</v>
      </c>
      <c r="G1314" t="s">
        <v>534</v>
      </c>
      <c r="H1314" s="5">
        <v>48670</v>
      </c>
      <c r="I1314" s="12">
        <v>45936</v>
      </c>
      <c r="J1314" s="15">
        <v>60</v>
      </c>
      <c r="K1314" s="15">
        <v>5</v>
      </c>
      <c r="L1314" s="9">
        <v>0.1109</v>
      </c>
      <c r="M1314" s="9">
        <v>4.9000000000000002E-2</v>
      </c>
      <c r="N1314" s="15">
        <v>10</v>
      </c>
      <c r="O1314" t="s">
        <v>28</v>
      </c>
      <c r="P1314" t="s">
        <v>27</v>
      </c>
      <c r="Q1314" s="24">
        <v>0</v>
      </c>
      <c r="R1314" s="5">
        <f t="shared" si="120"/>
        <v>887.26076712328756</v>
      </c>
      <c r="S1314" s="5">
        <f t="shared" si="121"/>
        <v>65.337808219178072</v>
      </c>
      <c r="T1314" s="5">
        <f t="shared" si="122"/>
        <v>821.92295890410946</v>
      </c>
      <c r="U1314" s="15">
        <f t="shared" si="123"/>
        <v>50</v>
      </c>
      <c r="V1314" s="3">
        <f t="shared" si="124"/>
        <v>0</v>
      </c>
      <c r="W1314" s="3">
        <f t="shared" si="125"/>
        <v>1278</v>
      </c>
    </row>
    <row r="1315" spans="1:23" x14ac:dyDescent="0.2">
      <c r="A1315" t="s">
        <v>133</v>
      </c>
      <c r="B1315" t="s">
        <v>134</v>
      </c>
      <c r="C1315" t="s">
        <v>36</v>
      </c>
      <c r="D1315" t="s">
        <v>24</v>
      </c>
      <c r="E1315" t="s">
        <v>25</v>
      </c>
      <c r="F1315" s="7">
        <v>6056843</v>
      </c>
      <c r="G1315" t="s">
        <v>536</v>
      </c>
      <c r="H1315" s="5">
        <v>54153</v>
      </c>
      <c r="I1315" s="12">
        <v>46056</v>
      </c>
      <c r="J1315" s="15">
        <v>60</v>
      </c>
      <c r="K1315" s="15">
        <v>3</v>
      </c>
      <c r="L1315" s="9">
        <v>0.12520000000000001</v>
      </c>
      <c r="M1315" s="9">
        <v>4.5499999999999999E-2</v>
      </c>
      <c r="N1315" s="15">
        <v>10</v>
      </c>
      <c r="O1315" t="s">
        <v>28</v>
      </c>
      <c r="P1315" t="s">
        <v>27</v>
      </c>
      <c r="Q1315" s="24">
        <v>0</v>
      </c>
      <c r="R1315" s="5">
        <f t="shared" si="120"/>
        <v>1114.5132493150684</v>
      </c>
      <c r="S1315" s="5">
        <f t="shared" si="121"/>
        <v>67.505794520547937</v>
      </c>
      <c r="T1315" s="5">
        <f t="shared" si="122"/>
        <v>1047.0074547945205</v>
      </c>
      <c r="U1315" s="15">
        <f t="shared" si="123"/>
        <v>50</v>
      </c>
      <c r="V1315" s="3">
        <f t="shared" si="124"/>
        <v>0</v>
      </c>
      <c r="W1315" s="3">
        <f t="shared" si="125"/>
        <v>1278</v>
      </c>
    </row>
    <row r="1316" spans="1:23" x14ac:dyDescent="0.2">
      <c r="A1316" t="s">
        <v>268</v>
      </c>
      <c r="B1316" t="s">
        <v>269</v>
      </c>
      <c r="C1316" t="s">
        <v>36</v>
      </c>
      <c r="D1316" t="s">
        <v>37</v>
      </c>
      <c r="E1316" t="s">
        <v>25</v>
      </c>
      <c r="F1316" s="7">
        <v>1810544</v>
      </c>
      <c r="G1316" t="s">
        <v>537</v>
      </c>
      <c r="H1316" s="5">
        <v>48822</v>
      </c>
      <c r="I1316" s="12">
        <v>45709</v>
      </c>
      <c r="J1316" s="15">
        <v>30</v>
      </c>
      <c r="K1316" s="15">
        <v>5</v>
      </c>
      <c r="L1316" s="9">
        <v>9.6299999999999997E-2</v>
      </c>
      <c r="M1316" s="9">
        <v>5.5599999999999997E-2</v>
      </c>
      <c r="N1316" s="15">
        <v>10</v>
      </c>
      <c r="O1316" t="s">
        <v>27</v>
      </c>
      <c r="P1316" t="s">
        <v>27</v>
      </c>
      <c r="Q1316" s="24">
        <v>0</v>
      </c>
      <c r="R1316" s="5">
        <f t="shared" si="120"/>
        <v>386.42947397260269</v>
      </c>
      <c r="S1316" s="5">
        <f t="shared" si="121"/>
        <v>74.369950684931496</v>
      </c>
      <c r="T1316" s="5">
        <f t="shared" si="122"/>
        <v>312.0595232876712</v>
      </c>
      <c r="U1316" s="15">
        <f t="shared" si="123"/>
        <v>20</v>
      </c>
      <c r="V1316" s="3">
        <f t="shared" si="124"/>
        <v>0</v>
      </c>
      <c r="W1316" s="3">
        <f t="shared" si="125"/>
        <v>1278</v>
      </c>
    </row>
    <row r="1317" spans="1:23" x14ac:dyDescent="0.2">
      <c r="A1317" t="s">
        <v>123</v>
      </c>
      <c r="B1317" t="s">
        <v>124</v>
      </c>
      <c r="C1317" t="s">
        <v>31</v>
      </c>
      <c r="D1317" t="s">
        <v>32</v>
      </c>
      <c r="E1317" t="s">
        <v>25</v>
      </c>
      <c r="F1317" s="7">
        <v>5642255</v>
      </c>
      <c r="G1317" t="s">
        <v>538</v>
      </c>
      <c r="H1317" s="5">
        <v>44487</v>
      </c>
      <c r="I1317" s="12">
        <v>45952</v>
      </c>
      <c r="J1317" s="15">
        <v>60</v>
      </c>
      <c r="K1317" s="15">
        <v>4</v>
      </c>
      <c r="L1317" s="9">
        <v>0.1119</v>
      </c>
      <c r="M1317" s="9">
        <v>5.57E-2</v>
      </c>
      <c r="N1317" s="15">
        <v>5</v>
      </c>
      <c r="O1317" t="s">
        <v>27</v>
      </c>
      <c r="P1317" t="s">
        <v>27</v>
      </c>
      <c r="Q1317" s="24">
        <v>0</v>
      </c>
      <c r="R1317" s="5">
        <f t="shared" si="120"/>
        <v>818.31703561643826</v>
      </c>
      <c r="S1317" s="5">
        <f t="shared" si="121"/>
        <v>33.944190410958903</v>
      </c>
      <c r="T1317" s="5">
        <f t="shared" si="122"/>
        <v>784.37284520547939</v>
      </c>
      <c r="U1317" s="15">
        <f t="shared" si="123"/>
        <v>55</v>
      </c>
      <c r="V1317" s="3">
        <f t="shared" si="124"/>
        <v>0</v>
      </c>
      <c r="W1317" s="3">
        <f t="shared" si="125"/>
        <v>1278</v>
      </c>
    </row>
    <row r="1318" spans="1:23" x14ac:dyDescent="0.2">
      <c r="A1318" t="s">
        <v>123</v>
      </c>
      <c r="B1318" t="s">
        <v>124</v>
      </c>
      <c r="C1318" t="s">
        <v>31</v>
      </c>
      <c r="D1318" t="s">
        <v>32</v>
      </c>
      <c r="E1318" t="s">
        <v>25</v>
      </c>
      <c r="F1318" s="7">
        <v>5642255</v>
      </c>
      <c r="G1318" t="s">
        <v>540</v>
      </c>
      <c r="H1318" s="5">
        <v>15697</v>
      </c>
      <c r="I1318" s="12">
        <v>46072</v>
      </c>
      <c r="J1318" s="15">
        <v>60</v>
      </c>
      <c r="K1318" s="15">
        <v>4</v>
      </c>
      <c r="L1318" s="9">
        <v>0.1119</v>
      </c>
      <c r="M1318" s="9">
        <v>6.4000000000000001E-2</v>
      </c>
      <c r="N1318" s="15">
        <v>10</v>
      </c>
      <c r="O1318" t="s">
        <v>28</v>
      </c>
      <c r="P1318" t="s">
        <v>27</v>
      </c>
      <c r="Q1318" s="24">
        <v>0</v>
      </c>
      <c r="R1318" s="5">
        <f t="shared" si="120"/>
        <v>288.73878904109591</v>
      </c>
      <c r="S1318" s="5">
        <f t="shared" si="121"/>
        <v>27.523506849315069</v>
      </c>
      <c r="T1318" s="5">
        <f t="shared" si="122"/>
        <v>261.21528219178083</v>
      </c>
      <c r="U1318" s="15">
        <f t="shared" si="123"/>
        <v>50</v>
      </c>
      <c r="V1318" s="3">
        <f t="shared" si="124"/>
        <v>0</v>
      </c>
      <c r="W1318" s="3">
        <f t="shared" si="125"/>
        <v>1278</v>
      </c>
    </row>
    <row r="1319" spans="1:23" x14ac:dyDescent="0.2">
      <c r="A1319" t="s">
        <v>112</v>
      </c>
      <c r="B1319" t="s">
        <v>113</v>
      </c>
      <c r="C1319" t="s">
        <v>31</v>
      </c>
      <c r="D1319" t="s">
        <v>24</v>
      </c>
      <c r="E1319" t="s">
        <v>49</v>
      </c>
      <c r="F1319" s="7">
        <v>1045125</v>
      </c>
      <c r="G1319" t="s">
        <v>543</v>
      </c>
      <c r="H1319" s="5">
        <v>14872</v>
      </c>
      <c r="I1319" s="12">
        <v>45695</v>
      </c>
      <c r="J1319" s="15">
        <v>45</v>
      </c>
      <c r="K1319" s="15">
        <v>10</v>
      </c>
      <c r="L1319" s="9">
        <v>0.15740000000000001</v>
      </c>
      <c r="M1319" s="9">
        <v>6.3299999999999995E-2</v>
      </c>
      <c r="N1319" s="15">
        <v>5</v>
      </c>
      <c r="O1319" t="s">
        <v>27</v>
      </c>
      <c r="P1319" t="s">
        <v>27</v>
      </c>
      <c r="Q1319" s="24">
        <v>0</v>
      </c>
      <c r="R1319" s="5">
        <f t="shared" si="120"/>
        <v>288.5982904109589</v>
      </c>
      <c r="S1319" s="5">
        <f t="shared" si="121"/>
        <v>12.895857534246574</v>
      </c>
      <c r="T1319" s="5">
        <f t="shared" si="122"/>
        <v>275.70243287671235</v>
      </c>
      <c r="U1319" s="15">
        <f t="shared" si="123"/>
        <v>40</v>
      </c>
      <c r="V1319" s="3">
        <f t="shared" si="124"/>
        <v>0</v>
      </c>
      <c r="W1319" s="3">
        <f t="shared" si="125"/>
        <v>1278</v>
      </c>
    </row>
    <row r="1320" spans="1:23" x14ac:dyDescent="0.2">
      <c r="A1320" t="s">
        <v>160</v>
      </c>
      <c r="B1320" t="s">
        <v>161</v>
      </c>
      <c r="C1320" t="s">
        <v>23</v>
      </c>
      <c r="D1320" t="s">
        <v>66</v>
      </c>
      <c r="E1320" t="s">
        <v>56</v>
      </c>
      <c r="F1320" s="7">
        <v>8479307</v>
      </c>
      <c r="G1320" t="s">
        <v>555</v>
      </c>
      <c r="H1320" s="5">
        <v>61212</v>
      </c>
      <c r="I1320" s="12">
        <v>45905</v>
      </c>
      <c r="J1320" s="15">
        <v>45</v>
      </c>
      <c r="K1320" s="15">
        <v>2</v>
      </c>
      <c r="L1320" s="9">
        <v>7.0099999999999996E-2</v>
      </c>
      <c r="M1320" s="9">
        <v>5.5899999999999998E-2</v>
      </c>
      <c r="N1320" s="15">
        <v>5</v>
      </c>
      <c r="O1320" t="s">
        <v>27</v>
      </c>
      <c r="P1320" t="s">
        <v>27</v>
      </c>
      <c r="Q1320" s="24">
        <v>0</v>
      </c>
      <c r="R1320" s="5">
        <f t="shared" si="120"/>
        <v>529.02261369863004</v>
      </c>
      <c r="S1320" s="5">
        <f t="shared" si="121"/>
        <v>46.873298630136979</v>
      </c>
      <c r="T1320" s="5">
        <f t="shared" si="122"/>
        <v>482.14931506849308</v>
      </c>
      <c r="U1320" s="15">
        <f t="shared" si="123"/>
        <v>40</v>
      </c>
      <c r="V1320" s="3">
        <f t="shared" si="124"/>
        <v>0</v>
      </c>
      <c r="W1320" s="3">
        <f t="shared" si="125"/>
        <v>1278</v>
      </c>
    </row>
    <row r="1321" spans="1:23" x14ac:dyDescent="0.2">
      <c r="A1321" t="s">
        <v>453</v>
      </c>
      <c r="B1321" t="s">
        <v>454</v>
      </c>
      <c r="C1321" t="s">
        <v>23</v>
      </c>
      <c r="D1321" t="s">
        <v>32</v>
      </c>
      <c r="E1321" t="s">
        <v>49</v>
      </c>
      <c r="F1321" s="7">
        <v>1410716</v>
      </c>
      <c r="G1321" t="s">
        <v>566</v>
      </c>
      <c r="H1321" s="5">
        <v>42886</v>
      </c>
      <c r="I1321" s="12">
        <v>46067</v>
      </c>
      <c r="J1321" s="15">
        <v>60</v>
      </c>
      <c r="K1321" s="15">
        <v>2</v>
      </c>
      <c r="L1321" s="9">
        <v>0.1472</v>
      </c>
      <c r="M1321" s="9">
        <v>5.2900000000000003E-2</v>
      </c>
      <c r="N1321" s="15">
        <v>5</v>
      </c>
      <c r="O1321" t="s">
        <v>27</v>
      </c>
      <c r="P1321" t="s">
        <v>27</v>
      </c>
      <c r="Q1321" s="24">
        <v>0</v>
      </c>
      <c r="R1321" s="5">
        <f t="shared" si="120"/>
        <v>1037.7237041095889</v>
      </c>
      <c r="S1321" s="5">
        <f t="shared" si="121"/>
        <v>31.077663013698633</v>
      </c>
      <c r="T1321" s="5">
        <f t="shared" si="122"/>
        <v>1006.6460410958903</v>
      </c>
      <c r="U1321" s="15">
        <f t="shared" si="123"/>
        <v>55</v>
      </c>
      <c r="V1321" s="3">
        <f t="shared" si="124"/>
        <v>0</v>
      </c>
      <c r="W1321" s="3">
        <f t="shared" si="125"/>
        <v>1278</v>
      </c>
    </row>
    <row r="1322" spans="1:23" x14ac:dyDescent="0.2">
      <c r="A1322" t="s">
        <v>401</v>
      </c>
      <c r="B1322" t="s">
        <v>402</v>
      </c>
      <c r="C1322" t="s">
        <v>41</v>
      </c>
      <c r="D1322" t="s">
        <v>32</v>
      </c>
      <c r="E1322" t="s">
        <v>25</v>
      </c>
      <c r="F1322" s="7">
        <v>4153903</v>
      </c>
      <c r="G1322" t="s">
        <v>567</v>
      </c>
      <c r="H1322" s="5">
        <v>86905</v>
      </c>
      <c r="I1322" s="12">
        <v>45766</v>
      </c>
      <c r="J1322" s="15">
        <v>60</v>
      </c>
      <c r="K1322" s="15">
        <v>7</v>
      </c>
      <c r="L1322" s="9">
        <v>0.13669999999999999</v>
      </c>
      <c r="M1322" s="9">
        <v>4.7899999999999998E-2</v>
      </c>
      <c r="N1322" s="15">
        <v>8</v>
      </c>
      <c r="O1322" t="s">
        <v>28</v>
      </c>
      <c r="P1322" t="s">
        <v>27</v>
      </c>
      <c r="Q1322" s="24">
        <v>0</v>
      </c>
      <c r="R1322" s="5">
        <f t="shared" si="120"/>
        <v>1952.8624931506847</v>
      </c>
      <c r="S1322" s="5">
        <f t="shared" si="121"/>
        <v>91.238345205479447</v>
      </c>
      <c r="T1322" s="5">
        <f t="shared" si="122"/>
        <v>1861.6241479452053</v>
      </c>
      <c r="U1322" s="15">
        <f t="shared" si="123"/>
        <v>52</v>
      </c>
      <c r="V1322" s="3">
        <f t="shared" si="124"/>
        <v>0</v>
      </c>
      <c r="W1322" s="3">
        <f t="shared" si="125"/>
        <v>1278</v>
      </c>
    </row>
    <row r="1323" spans="1:23" x14ac:dyDescent="0.2">
      <c r="A1323" t="s">
        <v>228</v>
      </c>
      <c r="B1323" t="s">
        <v>62</v>
      </c>
      <c r="C1323" t="s">
        <v>23</v>
      </c>
      <c r="D1323" t="s">
        <v>66</v>
      </c>
      <c r="E1323" t="s">
        <v>49</v>
      </c>
      <c r="F1323" s="7">
        <v>1218251</v>
      </c>
      <c r="G1323" t="s">
        <v>576</v>
      </c>
      <c r="H1323" s="5">
        <v>48745</v>
      </c>
      <c r="I1323" s="12">
        <v>45884</v>
      </c>
      <c r="J1323" s="15">
        <v>60</v>
      </c>
      <c r="K1323" s="15">
        <v>10</v>
      </c>
      <c r="L1323" s="9">
        <v>0.1227</v>
      </c>
      <c r="M1323" s="9">
        <v>5.8700000000000002E-2</v>
      </c>
      <c r="N1323" s="15">
        <v>6</v>
      </c>
      <c r="O1323" t="s">
        <v>28</v>
      </c>
      <c r="P1323" t="s">
        <v>27</v>
      </c>
      <c r="Q1323" s="24">
        <v>0</v>
      </c>
      <c r="R1323" s="5">
        <f t="shared" si="120"/>
        <v>983.17997260273978</v>
      </c>
      <c r="S1323" s="5">
        <f t="shared" si="121"/>
        <v>47.035586301369861</v>
      </c>
      <c r="T1323" s="5">
        <f t="shared" si="122"/>
        <v>936.14438630136988</v>
      </c>
      <c r="U1323" s="15">
        <f t="shared" si="123"/>
        <v>54</v>
      </c>
      <c r="V1323" s="3">
        <f t="shared" si="124"/>
        <v>0</v>
      </c>
      <c r="W1323" s="3">
        <f t="shared" si="125"/>
        <v>1278</v>
      </c>
    </row>
    <row r="1324" spans="1:23" x14ac:dyDescent="0.2">
      <c r="A1324" t="s">
        <v>549</v>
      </c>
      <c r="B1324" t="s">
        <v>161</v>
      </c>
      <c r="C1324" t="s">
        <v>77</v>
      </c>
      <c r="D1324" t="s">
        <v>48</v>
      </c>
      <c r="E1324" t="s">
        <v>56</v>
      </c>
      <c r="F1324" s="7">
        <v>15837870</v>
      </c>
      <c r="G1324" t="s">
        <v>579</v>
      </c>
      <c r="H1324" s="5">
        <v>64872</v>
      </c>
      <c r="I1324" s="12">
        <v>45760</v>
      </c>
      <c r="J1324" s="15">
        <v>45</v>
      </c>
      <c r="K1324" s="15">
        <v>7</v>
      </c>
      <c r="L1324" s="9">
        <v>0.1089</v>
      </c>
      <c r="M1324" s="9">
        <v>6.2600000000000003E-2</v>
      </c>
      <c r="N1324" s="15">
        <v>5</v>
      </c>
      <c r="O1324" t="s">
        <v>28</v>
      </c>
      <c r="P1324" t="s">
        <v>27</v>
      </c>
      <c r="Q1324" s="24">
        <v>0</v>
      </c>
      <c r="R1324" s="5">
        <f t="shared" si="120"/>
        <v>870.97324931506841</v>
      </c>
      <c r="S1324" s="5">
        <f t="shared" si="121"/>
        <v>55.629961643835614</v>
      </c>
      <c r="T1324" s="5">
        <f t="shared" si="122"/>
        <v>815.34328767123282</v>
      </c>
      <c r="U1324" s="15">
        <f t="shared" si="123"/>
        <v>40</v>
      </c>
      <c r="V1324" s="3">
        <f t="shared" si="124"/>
        <v>0</v>
      </c>
      <c r="W1324" s="3">
        <f t="shared" si="125"/>
        <v>1278</v>
      </c>
    </row>
    <row r="1325" spans="1:23" x14ac:dyDescent="0.2">
      <c r="A1325" t="s">
        <v>151</v>
      </c>
      <c r="B1325" t="s">
        <v>131</v>
      </c>
      <c r="C1325" t="s">
        <v>77</v>
      </c>
      <c r="D1325" t="s">
        <v>66</v>
      </c>
      <c r="E1325" t="s">
        <v>49</v>
      </c>
      <c r="F1325" s="7">
        <v>1106462</v>
      </c>
      <c r="G1325" t="s">
        <v>590</v>
      </c>
      <c r="H1325" s="5">
        <v>101707</v>
      </c>
      <c r="I1325" s="12">
        <v>45791</v>
      </c>
      <c r="J1325" s="15">
        <v>45</v>
      </c>
      <c r="K1325" s="15">
        <v>2</v>
      </c>
      <c r="L1325" s="9">
        <v>0.1328</v>
      </c>
      <c r="M1325" s="9">
        <v>5.1700000000000003E-2</v>
      </c>
      <c r="N1325" s="15">
        <v>7</v>
      </c>
      <c r="O1325" t="s">
        <v>27</v>
      </c>
      <c r="P1325" t="s">
        <v>27</v>
      </c>
      <c r="Q1325" s="24">
        <v>0</v>
      </c>
      <c r="R1325" s="5">
        <f t="shared" si="120"/>
        <v>1665.208306849315</v>
      </c>
      <c r="S1325" s="5">
        <f t="shared" si="121"/>
        <v>100.84318712328768</v>
      </c>
      <c r="T1325" s="5">
        <f t="shared" si="122"/>
        <v>1564.3651197260274</v>
      </c>
      <c r="U1325" s="15">
        <f t="shared" si="123"/>
        <v>38</v>
      </c>
      <c r="V1325" s="3">
        <f t="shared" si="124"/>
        <v>0</v>
      </c>
      <c r="W1325" s="3">
        <f t="shared" si="125"/>
        <v>1278</v>
      </c>
    </row>
    <row r="1326" spans="1:23" x14ac:dyDescent="0.2">
      <c r="A1326" t="s">
        <v>21</v>
      </c>
      <c r="B1326" t="s">
        <v>22</v>
      </c>
      <c r="C1326" t="s">
        <v>23</v>
      </c>
      <c r="D1326" t="s">
        <v>24</v>
      </c>
      <c r="E1326" t="s">
        <v>25</v>
      </c>
      <c r="F1326" s="7">
        <v>2280589</v>
      </c>
      <c r="G1326" t="s">
        <v>592</v>
      </c>
      <c r="H1326" s="5">
        <v>90647</v>
      </c>
      <c r="I1326" s="12">
        <v>45790</v>
      </c>
      <c r="J1326" s="15">
        <v>60</v>
      </c>
      <c r="K1326" s="15">
        <v>4</v>
      </c>
      <c r="L1326" s="9">
        <v>0.1047</v>
      </c>
      <c r="M1326" s="9">
        <v>5.8599999999999999E-2</v>
      </c>
      <c r="N1326" s="15">
        <v>5</v>
      </c>
      <c r="O1326" t="s">
        <v>27</v>
      </c>
      <c r="P1326" t="s">
        <v>27</v>
      </c>
      <c r="Q1326" s="24">
        <v>0</v>
      </c>
      <c r="R1326" s="5">
        <f t="shared" si="120"/>
        <v>1560.1217917808219</v>
      </c>
      <c r="S1326" s="5">
        <f t="shared" si="121"/>
        <v>72.765947945205482</v>
      </c>
      <c r="T1326" s="5">
        <f t="shared" si="122"/>
        <v>1487.3558438356165</v>
      </c>
      <c r="U1326" s="15">
        <f t="shared" si="123"/>
        <v>55</v>
      </c>
      <c r="V1326" s="3">
        <f t="shared" si="124"/>
        <v>0</v>
      </c>
      <c r="W1326" s="3">
        <f t="shared" si="125"/>
        <v>1278</v>
      </c>
    </row>
    <row r="1327" spans="1:23" x14ac:dyDescent="0.2">
      <c r="A1327" t="s">
        <v>362</v>
      </c>
      <c r="B1327" t="s">
        <v>363</v>
      </c>
      <c r="C1327" t="s">
        <v>31</v>
      </c>
      <c r="D1327" t="s">
        <v>66</v>
      </c>
      <c r="E1327" t="s">
        <v>25</v>
      </c>
      <c r="F1327" s="7">
        <v>3573998</v>
      </c>
      <c r="G1327" t="s">
        <v>599</v>
      </c>
      <c r="H1327" s="5">
        <v>55992</v>
      </c>
      <c r="I1327" s="12">
        <v>45848</v>
      </c>
      <c r="J1327" s="15">
        <v>60</v>
      </c>
      <c r="K1327" s="15">
        <v>3</v>
      </c>
      <c r="L1327" s="9">
        <v>0.13200000000000001</v>
      </c>
      <c r="M1327" s="9">
        <v>5.21E-2</v>
      </c>
      <c r="N1327" s="15">
        <v>7</v>
      </c>
      <c r="O1327" t="s">
        <v>27</v>
      </c>
      <c r="P1327" t="s">
        <v>27</v>
      </c>
      <c r="Q1327" s="24">
        <v>0</v>
      </c>
      <c r="R1327" s="5">
        <f t="shared" si="120"/>
        <v>1214.9496986301369</v>
      </c>
      <c r="S1327" s="5">
        <f t="shared" si="121"/>
        <v>55.94597917808219</v>
      </c>
      <c r="T1327" s="5">
        <f t="shared" si="122"/>
        <v>1159.0037194520548</v>
      </c>
      <c r="U1327" s="15">
        <f t="shared" si="123"/>
        <v>53</v>
      </c>
      <c r="V1327" s="3">
        <f t="shared" si="124"/>
        <v>0</v>
      </c>
      <c r="W1327" s="3">
        <f t="shared" si="125"/>
        <v>1278</v>
      </c>
    </row>
    <row r="1328" spans="1:23" x14ac:dyDescent="0.2">
      <c r="A1328" t="s">
        <v>602</v>
      </c>
      <c r="B1328" t="s">
        <v>367</v>
      </c>
      <c r="C1328" t="s">
        <v>41</v>
      </c>
      <c r="D1328" t="s">
        <v>66</v>
      </c>
      <c r="E1328" t="s">
        <v>56</v>
      </c>
      <c r="F1328" s="7">
        <v>9703738</v>
      </c>
      <c r="G1328" t="s">
        <v>603</v>
      </c>
      <c r="H1328" s="5">
        <v>38253</v>
      </c>
      <c r="I1328" s="12">
        <v>45750</v>
      </c>
      <c r="J1328" s="15">
        <v>60</v>
      </c>
      <c r="K1328" s="15">
        <v>7</v>
      </c>
      <c r="L1328" s="9">
        <v>7.5499999999999998E-2</v>
      </c>
      <c r="M1328" s="9">
        <v>6.2899999999999998E-2</v>
      </c>
      <c r="N1328" s="15">
        <v>8</v>
      </c>
      <c r="O1328" t="s">
        <v>28</v>
      </c>
      <c r="P1328" t="s">
        <v>27</v>
      </c>
      <c r="Q1328" s="24">
        <v>0</v>
      </c>
      <c r="R1328" s="5">
        <f t="shared" si="120"/>
        <v>474.75641095890404</v>
      </c>
      <c r="S1328" s="5">
        <f t="shared" si="121"/>
        <v>52.736738630136983</v>
      </c>
      <c r="T1328" s="5">
        <f t="shared" si="122"/>
        <v>422.01967232876706</v>
      </c>
      <c r="U1328" s="15">
        <f t="shared" si="123"/>
        <v>52</v>
      </c>
      <c r="V1328" s="3">
        <f t="shared" si="124"/>
        <v>0</v>
      </c>
      <c r="W1328" s="3">
        <f t="shared" si="125"/>
        <v>1278</v>
      </c>
    </row>
    <row r="1329" spans="1:23" x14ac:dyDescent="0.2">
      <c r="A1329" t="s">
        <v>61</v>
      </c>
      <c r="B1329" t="s">
        <v>62</v>
      </c>
      <c r="C1329" t="s">
        <v>31</v>
      </c>
      <c r="D1329" t="s">
        <v>48</v>
      </c>
      <c r="E1329" t="s">
        <v>25</v>
      </c>
      <c r="F1329" s="7">
        <v>3350013</v>
      </c>
      <c r="G1329" t="s">
        <v>607</v>
      </c>
      <c r="H1329" s="5">
        <v>81603</v>
      </c>
      <c r="I1329" s="12">
        <v>45817</v>
      </c>
      <c r="J1329" s="15">
        <v>45</v>
      </c>
      <c r="K1329" s="15">
        <v>10</v>
      </c>
      <c r="L1329" s="9">
        <v>0.1144</v>
      </c>
      <c r="M1329" s="9">
        <v>4.5100000000000001E-2</v>
      </c>
      <c r="N1329" s="15">
        <v>6</v>
      </c>
      <c r="O1329" t="s">
        <v>28</v>
      </c>
      <c r="P1329" t="s">
        <v>27</v>
      </c>
      <c r="Q1329" s="24">
        <v>0</v>
      </c>
      <c r="R1329" s="5">
        <f t="shared" si="120"/>
        <v>1150.9376547945205</v>
      </c>
      <c r="S1329" s="5">
        <f t="shared" si="121"/>
        <v>60.498004931506848</v>
      </c>
      <c r="T1329" s="5">
        <f t="shared" si="122"/>
        <v>1090.4396498630138</v>
      </c>
      <c r="U1329" s="15">
        <f t="shared" si="123"/>
        <v>39</v>
      </c>
      <c r="V1329" s="3">
        <f t="shared" si="124"/>
        <v>0</v>
      </c>
      <c r="W1329" s="3">
        <f t="shared" si="125"/>
        <v>1278</v>
      </c>
    </row>
    <row r="1330" spans="1:23" x14ac:dyDescent="0.2">
      <c r="A1330" t="s">
        <v>149</v>
      </c>
      <c r="B1330" t="s">
        <v>30</v>
      </c>
      <c r="C1330" t="s">
        <v>77</v>
      </c>
      <c r="D1330" t="s">
        <v>66</v>
      </c>
      <c r="E1330" t="s">
        <v>25</v>
      </c>
      <c r="F1330" s="7">
        <v>3553623</v>
      </c>
      <c r="G1330" t="s">
        <v>611</v>
      </c>
      <c r="H1330" s="5">
        <v>107398</v>
      </c>
      <c r="I1330" s="12">
        <v>45841</v>
      </c>
      <c r="J1330" s="15">
        <v>60</v>
      </c>
      <c r="K1330" s="15">
        <v>7</v>
      </c>
      <c r="L1330" s="9">
        <v>9.8199999999999996E-2</v>
      </c>
      <c r="M1330" s="9">
        <v>5.1799999999999999E-2</v>
      </c>
      <c r="N1330" s="15">
        <v>6</v>
      </c>
      <c r="O1330" t="s">
        <v>27</v>
      </c>
      <c r="P1330" t="s">
        <v>27</v>
      </c>
      <c r="Q1330" s="24">
        <v>0</v>
      </c>
      <c r="R1330" s="5">
        <f t="shared" si="120"/>
        <v>1733.6685369863012</v>
      </c>
      <c r="S1330" s="5">
        <f t="shared" si="121"/>
        <v>91.450132602739714</v>
      </c>
      <c r="T1330" s="5">
        <f t="shared" si="122"/>
        <v>1642.2184043835614</v>
      </c>
      <c r="U1330" s="15">
        <f t="shared" si="123"/>
        <v>54</v>
      </c>
      <c r="V1330" s="3">
        <f t="shared" si="124"/>
        <v>0</v>
      </c>
      <c r="W1330" s="3">
        <f t="shared" si="125"/>
        <v>1278</v>
      </c>
    </row>
    <row r="1331" spans="1:23" x14ac:dyDescent="0.2">
      <c r="A1331" t="s">
        <v>34</v>
      </c>
      <c r="B1331" t="s">
        <v>35</v>
      </c>
      <c r="C1331" t="s">
        <v>36</v>
      </c>
      <c r="D1331" t="s">
        <v>37</v>
      </c>
      <c r="E1331" t="s">
        <v>25</v>
      </c>
      <c r="F1331" s="7">
        <v>3714458</v>
      </c>
      <c r="G1331" t="s">
        <v>618</v>
      </c>
      <c r="H1331" s="5">
        <v>38433</v>
      </c>
      <c r="I1331" s="12">
        <v>46010</v>
      </c>
      <c r="J1331" s="15">
        <v>60</v>
      </c>
      <c r="K1331" s="15">
        <v>5</v>
      </c>
      <c r="L1331" s="9">
        <v>0.1153</v>
      </c>
      <c r="M1331" s="9">
        <v>5.0900000000000001E-2</v>
      </c>
      <c r="N1331" s="15">
        <v>5</v>
      </c>
      <c r="O1331" t="s">
        <v>27</v>
      </c>
      <c r="P1331" t="s">
        <v>27</v>
      </c>
      <c r="Q1331" s="24">
        <v>0</v>
      </c>
      <c r="R1331" s="5">
        <f t="shared" si="120"/>
        <v>728.43696986301359</v>
      </c>
      <c r="S1331" s="5">
        <f t="shared" si="121"/>
        <v>26.797804109589041</v>
      </c>
      <c r="T1331" s="5">
        <f t="shared" si="122"/>
        <v>701.63916575342455</v>
      </c>
      <c r="U1331" s="15">
        <f t="shared" si="123"/>
        <v>55</v>
      </c>
      <c r="V1331" s="3">
        <f t="shared" si="124"/>
        <v>0</v>
      </c>
      <c r="W1331" s="3">
        <f t="shared" si="125"/>
        <v>1278</v>
      </c>
    </row>
    <row r="1332" spans="1:23" x14ac:dyDescent="0.2">
      <c r="A1332" t="s">
        <v>233</v>
      </c>
      <c r="B1332" t="s">
        <v>59</v>
      </c>
      <c r="C1332" t="s">
        <v>77</v>
      </c>
      <c r="D1332" t="s">
        <v>66</v>
      </c>
      <c r="E1332" t="s">
        <v>49</v>
      </c>
      <c r="F1332" s="7">
        <v>809893</v>
      </c>
      <c r="G1332" t="s">
        <v>625</v>
      </c>
      <c r="H1332" s="5">
        <v>33860</v>
      </c>
      <c r="I1332" s="12">
        <v>45905</v>
      </c>
      <c r="J1332" s="15">
        <v>45</v>
      </c>
      <c r="K1332" s="15">
        <v>10</v>
      </c>
      <c r="L1332" s="9">
        <v>0.15909999999999999</v>
      </c>
      <c r="M1332" s="9">
        <v>5.9499999999999997E-2</v>
      </c>
      <c r="N1332" s="15">
        <v>6</v>
      </c>
      <c r="O1332" t="s">
        <v>28</v>
      </c>
      <c r="P1332" t="s">
        <v>27</v>
      </c>
      <c r="Q1332" s="24">
        <v>0</v>
      </c>
      <c r="R1332" s="5">
        <f t="shared" si="120"/>
        <v>664.16621917808209</v>
      </c>
      <c r="S1332" s="5">
        <f t="shared" si="121"/>
        <v>33.117863013698624</v>
      </c>
      <c r="T1332" s="5">
        <f t="shared" si="122"/>
        <v>631.04835616438345</v>
      </c>
      <c r="U1332" s="15">
        <f t="shared" si="123"/>
        <v>39</v>
      </c>
      <c r="V1332" s="3">
        <f t="shared" si="124"/>
        <v>0</v>
      </c>
      <c r="W1332" s="3">
        <f t="shared" si="125"/>
        <v>1278</v>
      </c>
    </row>
    <row r="1333" spans="1:23" x14ac:dyDescent="0.2">
      <c r="A1333" t="s">
        <v>46</v>
      </c>
      <c r="B1333" t="s">
        <v>47</v>
      </c>
      <c r="C1333" t="s">
        <v>23</v>
      </c>
      <c r="D1333" t="s">
        <v>48</v>
      </c>
      <c r="E1333" t="s">
        <v>49</v>
      </c>
      <c r="F1333" s="7">
        <v>372648</v>
      </c>
      <c r="G1333" t="s">
        <v>626</v>
      </c>
      <c r="H1333" s="5">
        <v>86572</v>
      </c>
      <c r="I1333" s="12">
        <v>46030</v>
      </c>
      <c r="J1333" s="15">
        <v>60</v>
      </c>
      <c r="K1333" s="15">
        <v>3</v>
      </c>
      <c r="L1333" s="9">
        <v>0.15049999999999999</v>
      </c>
      <c r="M1333" s="9">
        <v>5.7200000000000001E-2</v>
      </c>
      <c r="N1333" s="15">
        <v>7</v>
      </c>
      <c r="O1333" t="s">
        <v>27</v>
      </c>
      <c r="P1333" t="s">
        <v>27</v>
      </c>
      <c r="Q1333" s="24">
        <v>0</v>
      </c>
      <c r="R1333" s="5">
        <f t="shared" si="120"/>
        <v>2141.7675616438355</v>
      </c>
      <c r="S1333" s="5">
        <f t="shared" si="121"/>
        <v>94.968298082191794</v>
      </c>
      <c r="T1333" s="5">
        <f t="shared" si="122"/>
        <v>2046.7992635616438</v>
      </c>
      <c r="U1333" s="15">
        <f t="shared" si="123"/>
        <v>53</v>
      </c>
      <c r="V1333" s="3">
        <f t="shared" si="124"/>
        <v>0</v>
      </c>
      <c r="W1333" s="3">
        <f t="shared" si="125"/>
        <v>1278</v>
      </c>
    </row>
    <row r="1334" spans="1:23" x14ac:dyDescent="0.2">
      <c r="A1334" t="s">
        <v>189</v>
      </c>
      <c r="B1334" t="s">
        <v>190</v>
      </c>
      <c r="C1334" t="s">
        <v>36</v>
      </c>
      <c r="D1334" t="s">
        <v>37</v>
      </c>
      <c r="E1334" t="s">
        <v>49</v>
      </c>
      <c r="F1334" s="7">
        <v>965613</v>
      </c>
      <c r="G1334" t="s">
        <v>635</v>
      </c>
      <c r="H1334" s="5">
        <v>64879</v>
      </c>
      <c r="I1334" s="12">
        <v>45984</v>
      </c>
      <c r="J1334" s="15">
        <v>60</v>
      </c>
      <c r="K1334" s="15">
        <v>7</v>
      </c>
      <c r="L1334" s="9">
        <v>0.1109</v>
      </c>
      <c r="M1334" s="9">
        <v>5.6000000000000001E-2</v>
      </c>
      <c r="N1334" s="15">
        <v>5</v>
      </c>
      <c r="O1334" t="s">
        <v>27</v>
      </c>
      <c r="P1334" t="s">
        <v>27</v>
      </c>
      <c r="Q1334" s="24">
        <v>0</v>
      </c>
      <c r="R1334" s="5">
        <f t="shared" si="120"/>
        <v>1182.7530575342466</v>
      </c>
      <c r="S1334" s="5">
        <f t="shared" si="121"/>
        <v>49.770191780821918</v>
      </c>
      <c r="T1334" s="5">
        <f t="shared" si="122"/>
        <v>1132.9828657534247</v>
      </c>
      <c r="U1334" s="15">
        <f t="shared" si="123"/>
        <v>55</v>
      </c>
      <c r="V1334" s="3">
        <f t="shared" si="124"/>
        <v>0</v>
      </c>
      <c r="W1334" s="3">
        <f t="shared" si="125"/>
        <v>1278</v>
      </c>
    </row>
    <row r="1335" spans="1:23" x14ac:dyDescent="0.2">
      <c r="A1335" t="s">
        <v>75</v>
      </c>
      <c r="B1335" t="s">
        <v>76</v>
      </c>
      <c r="C1335" t="s">
        <v>77</v>
      </c>
      <c r="D1335" t="s">
        <v>37</v>
      </c>
      <c r="E1335" t="s">
        <v>49</v>
      </c>
      <c r="F1335" s="7">
        <v>1309806</v>
      </c>
      <c r="G1335" t="s">
        <v>643</v>
      </c>
      <c r="H1335" s="5">
        <v>84512</v>
      </c>
      <c r="I1335" s="12">
        <v>46012</v>
      </c>
      <c r="J1335" s="15">
        <v>90</v>
      </c>
      <c r="K1335" s="15">
        <v>7</v>
      </c>
      <c r="L1335" s="9">
        <v>0.15210000000000001</v>
      </c>
      <c r="M1335" s="9">
        <v>5.4699999999999999E-2</v>
      </c>
      <c r="N1335" s="15">
        <v>10</v>
      </c>
      <c r="O1335" t="s">
        <v>27</v>
      </c>
      <c r="P1335" t="s">
        <v>27</v>
      </c>
      <c r="Q1335" s="24">
        <v>0</v>
      </c>
      <c r="R1335" s="5">
        <f t="shared" si="120"/>
        <v>3169.5473095890416</v>
      </c>
      <c r="S1335" s="5">
        <f t="shared" si="121"/>
        <v>126.65223013698628</v>
      </c>
      <c r="T1335" s="5">
        <f t="shared" si="122"/>
        <v>3042.8950794520551</v>
      </c>
      <c r="U1335" s="15">
        <f t="shared" si="123"/>
        <v>80</v>
      </c>
      <c r="V1335" s="3">
        <f t="shared" si="124"/>
        <v>0</v>
      </c>
      <c r="W1335" s="3">
        <f t="shared" si="125"/>
        <v>1278</v>
      </c>
    </row>
    <row r="1336" spans="1:23" x14ac:dyDescent="0.2">
      <c r="A1336" t="s">
        <v>654</v>
      </c>
      <c r="B1336" t="s">
        <v>110</v>
      </c>
      <c r="C1336" t="s">
        <v>23</v>
      </c>
      <c r="D1336" t="s">
        <v>66</v>
      </c>
      <c r="E1336" t="s">
        <v>25</v>
      </c>
      <c r="F1336" s="7">
        <v>6809493</v>
      </c>
      <c r="G1336" t="s">
        <v>655</v>
      </c>
      <c r="H1336" s="5">
        <v>103242</v>
      </c>
      <c r="I1336" s="12">
        <v>46008</v>
      </c>
      <c r="J1336" s="15">
        <v>45</v>
      </c>
      <c r="K1336" s="15">
        <v>10</v>
      </c>
      <c r="L1336" s="9">
        <v>0.121</v>
      </c>
      <c r="M1336" s="9">
        <v>4.5900000000000003E-2</v>
      </c>
      <c r="N1336" s="15">
        <v>8</v>
      </c>
      <c r="O1336" t="s">
        <v>27</v>
      </c>
      <c r="P1336" t="s">
        <v>27</v>
      </c>
      <c r="Q1336" s="24">
        <v>0</v>
      </c>
      <c r="R1336" s="5">
        <f t="shared" si="120"/>
        <v>1540.1443561643835</v>
      </c>
      <c r="S1336" s="5">
        <f t="shared" si="121"/>
        <v>103.86428054794521</v>
      </c>
      <c r="T1336" s="5">
        <f t="shared" si="122"/>
        <v>1436.2800756164384</v>
      </c>
      <c r="U1336" s="15">
        <f t="shared" si="123"/>
        <v>37</v>
      </c>
      <c r="V1336" s="3">
        <f t="shared" si="124"/>
        <v>0</v>
      </c>
      <c r="W1336" s="3">
        <f t="shared" si="125"/>
        <v>1278</v>
      </c>
    </row>
    <row r="1337" spans="1:23" x14ac:dyDescent="0.2">
      <c r="A1337" t="s">
        <v>530</v>
      </c>
      <c r="B1337" t="s">
        <v>531</v>
      </c>
      <c r="C1337" t="s">
        <v>36</v>
      </c>
      <c r="D1337" t="s">
        <v>37</v>
      </c>
      <c r="E1337" t="s">
        <v>49</v>
      </c>
      <c r="F1337" s="7">
        <v>701545</v>
      </c>
      <c r="G1337" t="s">
        <v>656</v>
      </c>
      <c r="H1337" s="5">
        <v>52980</v>
      </c>
      <c r="I1337" s="12">
        <v>45884</v>
      </c>
      <c r="J1337" s="15">
        <v>90</v>
      </c>
      <c r="K1337" s="15">
        <v>2</v>
      </c>
      <c r="L1337" s="9">
        <v>0.17699999999999999</v>
      </c>
      <c r="M1337" s="9">
        <v>4.53E-2</v>
      </c>
      <c r="N1337" s="15">
        <v>7</v>
      </c>
      <c r="O1337" t="s">
        <v>28</v>
      </c>
      <c r="P1337" t="s">
        <v>27</v>
      </c>
      <c r="Q1337" s="24">
        <v>0</v>
      </c>
      <c r="R1337" s="5">
        <f t="shared" si="120"/>
        <v>2312.2504109589036</v>
      </c>
      <c r="S1337" s="5">
        <f t="shared" si="121"/>
        <v>46.027282191780827</v>
      </c>
      <c r="T1337" s="5">
        <f t="shared" si="122"/>
        <v>2266.2231287671229</v>
      </c>
      <c r="U1337" s="15">
        <f t="shared" si="123"/>
        <v>83</v>
      </c>
      <c r="V1337" s="3">
        <f t="shared" si="124"/>
        <v>0</v>
      </c>
      <c r="W1337" s="3">
        <f t="shared" si="125"/>
        <v>1278</v>
      </c>
    </row>
    <row r="1338" spans="1:23" x14ac:dyDescent="0.2">
      <c r="A1338" t="s">
        <v>54</v>
      </c>
      <c r="B1338" t="s">
        <v>55</v>
      </c>
      <c r="C1338" t="s">
        <v>31</v>
      </c>
      <c r="D1338" t="s">
        <v>24</v>
      </c>
      <c r="E1338" t="s">
        <v>56</v>
      </c>
      <c r="F1338" s="7">
        <v>15261617</v>
      </c>
      <c r="G1338" t="s">
        <v>663</v>
      </c>
      <c r="H1338" s="5">
        <v>98944</v>
      </c>
      <c r="I1338" s="12">
        <v>46079</v>
      </c>
      <c r="J1338" s="15">
        <v>60</v>
      </c>
      <c r="K1338" s="15">
        <v>4</v>
      </c>
      <c r="L1338" s="9">
        <v>9.3200000000000005E-2</v>
      </c>
      <c r="M1338" s="9">
        <v>5.0900000000000001E-2</v>
      </c>
      <c r="N1338" s="15">
        <v>10</v>
      </c>
      <c r="O1338" t="s">
        <v>27</v>
      </c>
      <c r="P1338" t="s">
        <v>27</v>
      </c>
      <c r="Q1338" s="24">
        <v>0</v>
      </c>
      <c r="R1338" s="5">
        <f t="shared" si="120"/>
        <v>1515.8762958904108</v>
      </c>
      <c r="S1338" s="5">
        <f t="shared" si="121"/>
        <v>137.97944109589039</v>
      </c>
      <c r="T1338" s="5">
        <f t="shared" si="122"/>
        <v>1377.8968547945203</v>
      </c>
      <c r="U1338" s="15">
        <f t="shared" si="123"/>
        <v>50</v>
      </c>
      <c r="V1338" s="3">
        <f t="shared" si="124"/>
        <v>0</v>
      </c>
      <c r="W1338" s="3">
        <f t="shared" si="125"/>
        <v>1278</v>
      </c>
    </row>
    <row r="1339" spans="1:23" x14ac:dyDescent="0.2">
      <c r="A1339" t="s">
        <v>627</v>
      </c>
      <c r="B1339" t="s">
        <v>383</v>
      </c>
      <c r="C1339" t="s">
        <v>77</v>
      </c>
      <c r="D1339" t="s">
        <v>37</v>
      </c>
      <c r="E1339" t="s">
        <v>56</v>
      </c>
      <c r="F1339" s="7">
        <v>17195029</v>
      </c>
      <c r="G1339" t="s">
        <v>670</v>
      </c>
      <c r="H1339" s="5">
        <v>21600</v>
      </c>
      <c r="I1339" s="12">
        <v>45866</v>
      </c>
      <c r="J1339" s="15">
        <v>30</v>
      </c>
      <c r="K1339" s="15">
        <v>4</v>
      </c>
      <c r="L1339" s="9">
        <v>7.3400000000000007E-2</v>
      </c>
      <c r="M1339" s="9">
        <v>5.62E-2</v>
      </c>
      <c r="N1339" s="15">
        <v>10</v>
      </c>
      <c r="O1339" t="s">
        <v>27</v>
      </c>
      <c r="P1339" t="s">
        <v>27</v>
      </c>
      <c r="Q1339" s="24">
        <v>0</v>
      </c>
      <c r="R1339" s="5">
        <f t="shared" si="120"/>
        <v>130.31013698630136</v>
      </c>
      <c r="S1339" s="5">
        <f t="shared" si="121"/>
        <v>33.258082191780822</v>
      </c>
      <c r="T1339" s="5">
        <f t="shared" si="122"/>
        <v>97.052054794520529</v>
      </c>
      <c r="U1339" s="15">
        <f t="shared" si="123"/>
        <v>20</v>
      </c>
      <c r="V1339" s="3">
        <f t="shared" si="124"/>
        <v>0</v>
      </c>
      <c r="W1339" s="3">
        <f t="shared" si="125"/>
        <v>1278</v>
      </c>
    </row>
    <row r="1340" spans="1:23" x14ac:dyDescent="0.2">
      <c r="A1340" t="s">
        <v>521</v>
      </c>
      <c r="B1340" t="s">
        <v>522</v>
      </c>
      <c r="C1340" t="s">
        <v>23</v>
      </c>
      <c r="D1340" t="s">
        <v>66</v>
      </c>
      <c r="E1340" t="s">
        <v>49</v>
      </c>
      <c r="F1340" s="7">
        <v>617401</v>
      </c>
      <c r="G1340" t="s">
        <v>677</v>
      </c>
      <c r="H1340" s="5">
        <v>63653</v>
      </c>
      <c r="I1340" s="12">
        <v>45920</v>
      </c>
      <c r="J1340" s="15">
        <v>60</v>
      </c>
      <c r="K1340" s="15">
        <v>2</v>
      </c>
      <c r="L1340" s="9">
        <v>0.1429</v>
      </c>
      <c r="M1340" s="9">
        <v>5.11E-2</v>
      </c>
      <c r="N1340" s="15">
        <v>7</v>
      </c>
      <c r="O1340" t="s">
        <v>28</v>
      </c>
      <c r="P1340" t="s">
        <v>27</v>
      </c>
      <c r="Q1340" s="24">
        <v>0</v>
      </c>
      <c r="R1340" s="5">
        <f t="shared" si="120"/>
        <v>1495.2351287671231</v>
      </c>
      <c r="S1340" s="5">
        <f t="shared" si="121"/>
        <v>62.379939999999998</v>
      </c>
      <c r="T1340" s="5">
        <f t="shared" si="122"/>
        <v>1432.8551887671231</v>
      </c>
      <c r="U1340" s="15">
        <f t="shared" si="123"/>
        <v>53</v>
      </c>
      <c r="V1340" s="3">
        <f t="shared" si="124"/>
        <v>0</v>
      </c>
      <c r="W1340" s="3">
        <f t="shared" si="125"/>
        <v>1278</v>
      </c>
    </row>
    <row r="1341" spans="1:23" x14ac:dyDescent="0.2">
      <c r="A1341" t="s">
        <v>608</v>
      </c>
      <c r="B1341" t="s">
        <v>609</v>
      </c>
      <c r="C1341" t="s">
        <v>77</v>
      </c>
      <c r="D1341" t="s">
        <v>48</v>
      </c>
      <c r="E1341" t="s">
        <v>56</v>
      </c>
      <c r="F1341" s="7">
        <v>24905394</v>
      </c>
      <c r="G1341" t="s">
        <v>684</v>
      </c>
      <c r="H1341" s="5">
        <v>22744</v>
      </c>
      <c r="I1341" s="12">
        <v>45697</v>
      </c>
      <c r="J1341" s="15">
        <v>60</v>
      </c>
      <c r="K1341" s="15">
        <v>3</v>
      </c>
      <c r="L1341" s="9">
        <v>8.5199999999999998E-2</v>
      </c>
      <c r="M1341" s="9">
        <v>6.2799999999999995E-2</v>
      </c>
      <c r="N1341" s="15">
        <v>6</v>
      </c>
      <c r="O1341" t="s">
        <v>27</v>
      </c>
      <c r="P1341" t="s">
        <v>27</v>
      </c>
      <c r="Q1341" s="24">
        <v>0</v>
      </c>
      <c r="R1341" s="5">
        <f t="shared" si="120"/>
        <v>318.54062465753424</v>
      </c>
      <c r="S1341" s="5">
        <f t="shared" si="121"/>
        <v>23.479285479452049</v>
      </c>
      <c r="T1341" s="5">
        <f t="shared" si="122"/>
        <v>295.06133917808216</v>
      </c>
      <c r="U1341" s="15">
        <f t="shared" si="123"/>
        <v>54</v>
      </c>
      <c r="V1341" s="3">
        <f t="shared" si="124"/>
        <v>0</v>
      </c>
      <c r="W1341" s="3">
        <f t="shared" si="125"/>
        <v>1278</v>
      </c>
    </row>
    <row r="1342" spans="1:23" x14ac:dyDescent="0.2">
      <c r="A1342" t="s">
        <v>530</v>
      </c>
      <c r="B1342" t="s">
        <v>531</v>
      </c>
      <c r="C1342" t="s">
        <v>36</v>
      </c>
      <c r="D1342" t="s">
        <v>37</v>
      </c>
      <c r="E1342" t="s">
        <v>49</v>
      </c>
      <c r="F1342" s="7">
        <v>701545</v>
      </c>
      <c r="G1342" t="s">
        <v>728</v>
      </c>
      <c r="H1342" s="5">
        <v>102989</v>
      </c>
      <c r="I1342" s="12">
        <v>45892</v>
      </c>
      <c r="J1342" s="15">
        <v>60</v>
      </c>
      <c r="K1342" s="15">
        <v>5</v>
      </c>
      <c r="L1342" s="9">
        <v>0.17699999999999999</v>
      </c>
      <c r="M1342" s="9">
        <v>5.6300000000000003E-2</v>
      </c>
      <c r="N1342" s="15">
        <v>6</v>
      </c>
      <c r="O1342" t="s">
        <v>27</v>
      </c>
      <c r="P1342" t="s">
        <v>27</v>
      </c>
      <c r="Q1342" s="24">
        <v>0</v>
      </c>
      <c r="R1342" s="5">
        <f t="shared" si="120"/>
        <v>2996.5566575342464</v>
      </c>
      <c r="S1342" s="5">
        <f t="shared" si="121"/>
        <v>95.314203287671234</v>
      </c>
      <c r="T1342" s="5">
        <f t="shared" si="122"/>
        <v>2901.2424542465751</v>
      </c>
      <c r="U1342" s="15">
        <f t="shared" si="123"/>
        <v>54</v>
      </c>
      <c r="V1342" s="3">
        <f t="shared" si="124"/>
        <v>0</v>
      </c>
      <c r="W1342" s="3">
        <f t="shared" si="125"/>
        <v>1278</v>
      </c>
    </row>
    <row r="1343" spans="1:23" x14ac:dyDescent="0.2">
      <c r="A1343" t="s">
        <v>355</v>
      </c>
      <c r="B1343" t="s">
        <v>356</v>
      </c>
      <c r="C1343" t="s">
        <v>23</v>
      </c>
      <c r="D1343" t="s">
        <v>66</v>
      </c>
      <c r="E1343" t="s">
        <v>25</v>
      </c>
      <c r="F1343" s="7">
        <v>2561855</v>
      </c>
      <c r="G1343" t="s">
        <v>731</v>
      </c>
      <c r="H1343" s="5">
        <v>46517</v>
      </c>
      <c r="I1343" s="12">
        <v>45901</v>
      </c>
      <c r="J1343" s="15">
        <v>45</v>
      </c>
      <c r="K1343" s="15">
        <v>2</v>
      </c>
      <c r="L1343" s="9">
        <v>0.1037</v>
      </c>
      <c r="M1343" s="9">
        <v>5.2999999999999999E-2</v>
      </c>
      <c r="N1343" s="15">
        <v>7</v>
      </c>
      <c r="O1343" t="s">
        <v>28</v>
      </c>
      <c r="P1343" t="s">
        <v>27</v>
      </c>
      <c r="Q1343" s="24">
        <v>0</v>
      </c>
      <c r="R1343" s="5">
        <f t="shared" si="120"/>
        <v>594.71665890410952</v>
      </c>
      <c r="S1343" s="5">
        <f t="shared" si="121"/>
        <v>47.281663013698626</v>
      </c>
      <c r="T1343" s="5">
        <f t="shared" si="122"/>
        <v>547.43499589041085</v>
      </c>
      <c r="U1343" s="15">
        <f t="shared" si="123"/>
        <v>38</v>
      </c>
      <c r="V1343" s="3">
        <f t="shared" si="124"/>
        <v>0</v>
      </c>
      <c r="W1343" s="3">
        <f t="shared" si="125"/>
        <v>1278</v>
      </c>
    </row>
    <row r="1344" spans="1:23" x14ac:dyDescent="0.2">
      <c r="A1344" t="s">
        <v>415</v>
      </c>
      <c r="B1344" t="s">
        <v>416</v>
      </c>
      <c r="C1344" t="s">
        <v>31</v>
      </c>
      <c r="D1344" t="s">
        <v>66</v>
      </c>
      <c r="E1344" t="s">
        <v>49</v>
      </c>
      <c r="F1344" s="7">
        <v>1241903</v>
      </c>
      <c r="G1344" t="s">
        <v>741</v>
      </c>
      <c r="H1344" s="5">
        <v>101916</v>
      </c>
      <c r="I1344" s="12">
        <v>45758</v>
      </c>
      <c r="J1344" s="15">
        <v>45</v>
      </c>
      <c r="K1344" s="15">
        <v>2</v>
      </c>
      <c r="L1344" s="9">
        <v>0.15939999999999999</v>
      </c>
      <c r="M1344" s="9">
        <v>5.9400000000000001E-2</v>
      </c>
      <c r="N1344" s="15">
        <v>6</v>
      </c>
      <c r="O1344" t="s">
        <v>27</v>
      </c>
      <c r="P1344" t="s">
        <v>27</v>
      </c>
      <c r="Q1344" s="24">
        <v>0</v>
      </c>
      <c r="R1344" s="5">
        <f t="shared" si="120"/>
        <v>2002.8588164383559</v>
      </c>
      <c r="S1344" s="5">
        <f t="shared" si="121"/>
        <v>99.514691506849317</v>
      </c>
      <c r="T1344" s="5">
        <f t="shared" si="122"/>
        <v>1903.3441249315065</v>
      </c>
      <c r="U1344" s="15">
        <f t="shared" si="123"/>
        <v>39</v>
      </c>
      <c r="V1344" s="3">
        <f t="shared" si="124"/>
        <v>0</v>
      </c>
      <c r="W1344" s="3">
        <f t="shared" si="125"/>
        <v>1278</v>
      </c>
    </row>
    <row r="1345" spans="1:23" x14ac:dyDescent="0.2">
      <c r="A1345" t="s">
        <v>186</v>
      </c>
      <c r="B1345" t="s">
        <v>187</v>
      </c>
      <c r="C1345" t="s">
        <v>41</v>
      </c>
      <c r="D1345" t="s">
        <v>32</v>
      </c>
      <c r="E1345" t="s">
        <v>25</v>
      </c>
      <c r="F1345" s="7">
        <v>3649528</v>
      </c>
      <c r="G1345" t="s">
        <v>745</v>
      </c>
      <c r="H1345" s="5">
        <v>85446</v>
      </c>
      <c r="I1345" s="12">
        <v>45968</v>
      </c>
      <c r="J1345" s="15">
        <v>60</v>
      </c>
      <c r="K1345" s="15">
        <v>4</v>
      </c>
      <c r="L1345" s="9">
        <v>0.1283</v>
      </c>
      <c r="M1345" s="9">
        <v>5.1900000000000002E-2</v>
      </c>
      <c r="N1345" s="15">
        <v>8</v>
      </c>
      <c r="O1345" t="s">
        <v>28</v>
      </c>
      <c r="P1345" t="s">
        <v>27</v>
      </c>
      <c r="Q1345" s="24">
        <v>0</v>
      </c>
      <c r="R1345" s="5">
        <f t="shared" si="120"/>
        <v>1802.0912547945204</v>
      </c>
      <c r="S1345" s="5">
        <f t="shared" si="121"/>
        <v>97.197751232876712</v>
      </c>
      <c r="T1345" s="5">
        <f t="shared" si="122"/>
        <v>1704.8935035616437</v>
      </c>
      <c r="U1345" s="15">
        <f t="shared" si="123"/>
        <v>52</v>
      </c>
      <c r="V1345" s="3">
        <f t="shared" si="124"/>
        <v>0</v>
      </c>
      <c r="W1345" s="3">
        <f t="shared" si="125"/>
        <v>1278</v>
      </c>
    </row>
    <row r="1346" spans="1:23" x14ac:dyDescent="0.2">
      <c r="A1346" t="s">
        <v>259</v>
      </c>
      <c r="B1346" t="s">
        <v>260</v>
      </c>
      <c r="C1346" t="s">
        <v>77</v>
      </c>
      <c r="D1346" t="s">
        <v>37</v>
      </c>
      <c r="E1346" t="s">
        <v>56</v>
      </c>
      <c r="F1346" s="7">
        <v>20068674</v>
      </c>
      <c r="G1346" t="s">
        <v>768</v>
      </c>
      <c r="H1346" s="5">
        <v>31148</v>
      </c>
      <c r="I1346" s="12">
        <v>45786</v>
      </c>
      <c r="J1346" s="15">
        <v>30</v>
      </c>
      <c r="K1346" s="15">
        <v>5</v>
      </c>
      <c r="L1346" s="9">
        <v>0.1062</v>
      </c>
      <c r="M1346" s="9">
        <v>4.6399999999999997E-2</v>
      </c>
      <c r="N1346" s="15">
        <v>8</v>
      </c>
      <c r="O1346" t="s">
        <v>28</v>
      </c>
      <c r="P1346" t="s">
        <v>27</v>
      </c>
      <c r="Q1346" s="24">
        <v>0</v>
      </c>
      <c r="R1346" s="5">
        <f t="shared" ref="R1346:R1409" si="126">H1346*L1346*(J1346/365)</f>
        <v>271.8836383561644</v>
      </c>
      <c r="S1346" s="5">
        <f t="shared" ref="S1346:S1409" si="127">H1346*M1346*(N1346/365)</f>
        <v>31.677089315068493</v>
      </c>
      <c r="T1346" s="5">
        <f t="shared" ref="T1346:T1409" si="128">R1346-S1346</f>
        <v>240.20654904109591</v>
      </c>
      <c r="U1346" s="15">
        <f t="shared" ref="U1346:U1409" si="129">J1346-N1346</f>
        <v>22</v>
      </c>
      <c r="V1346" s="3">
        <f t="shared" ref="V1346:V1409" si="130">Q1346*(L1346-M1346)*H1346</f>
        <v>0</v>
      </c>
      <c r="W1346" s="3">
        <f t="shared" ref="W1346:W1409" si="131">RANK(V1346,$V$2:$V$1501)</f>
        <v>1278</v>
      </c>
    </row>
    <row r="1347" spans="1:23" x14ac:dyDescent="0.2">
      <c r="A1347" t="s">
        <v>91</v>
      </c>
      <c r="B1347" t="s">
        <v>92</v>
      </c>
      <c r="C1347" t="s">
        <v>36</v>
      </c>
      <c r="D1347" t="s">
        <v>24</v>
      </c>
      <c r="E1347" t="s">
        <v>56</v>
      </c>
      <c r="F1347" s="7">
        <v>15029491</v>
      </c>
      <c r="G1347" t="s">
        <v>769</v>
      </c>
      <c r="H1347" s="5">
        <v>62014</v>
      </c>
      <c r="I1347" s="12">
        <v>45784</v>
      </c>
      <c r="J1347" s="15">
        <v>60</v>
      </c>
      <c r="K1347" s="15">
        <v>2</v>
      </c>
      <c r="L1347" s="9">
        <v>9.8400000000000001E-2</v>
      </c>
      <c r="M1347" s="9">
        <v>6.4500000000000002E-2</v>
      </c>
      <c r="N1347" s="15">
        <v>6</v>
      </c>
      <c r="O1347" t="s">
        <v>27</v>
      </c>
      <c r="P1347" t="s">
        <v>27</v>
      </c>
      <c r="Q1347" s="24">
        <v>0</v>
      </c>
      <c r="R1347" s="5">
        <f t="shared" si="126"/>
        <v>1003.0976876712328</v>
      </c>
      <c r="S1347" s="5">
        <f t="shared" si="127"/>
        <v>65.7518301369863</v>
      </c>
      <c r="T1347" s="5">
        <f t="shared" si="128"/>
        <v>937.34585753424653</v>
      </c>
      <c r="U1347" s="15">
        <f t="shared" si="129"/>
        <v>54</v>
      </c>
      <c r="V1347" s="3">
        <f t="shared" si="130"/>
        <v>0</v>
      </c>
      <c r="W1347" s="3">
        <f t="shared" si="131"/>
        <v>1278</v>
      </c>
    </row>
    <row r="1348" spans="1:23" x14ac:dyDescent="0.2">
      <c r="A1348" t="s">
        <v>51</v>
      </c>
      <c r="B1348" t="s">
        <v>52</v>
      </c>
      <c r="C1348" t="s">
        <v>41</v>
      </c>
      <c r="D1348" t="s">
        <v>37</v>
      </c>
      <c r="E1348" t="s">
        <v>49</v>
      </c>
      <c r="F1348" s="7">
        <v>876116</v>
      </c>
      <c r="G1348" t="s">
        <v>770</v>
      </c>
      <c r="H1348" s="5">
        <v>108681</v>
      </c>
      <c r="I1348" s="12">
        <v>45900</v>
      </c>
      <c r="J1348" s="15">
        <v>90</v>
      </c>
      <c r="K1348" s="15">
        <v>3</v>
      </c>
      <c r="L1348" s="9">
        <v>0.1686</v>
      </c>
      <c r="M1348" s="9">
        <v>5.4199999999999998E-2</v>
      </c>
      <c r="N1348" s="15">
        <v>5</v>
      </c>
      <c r="O1348" t="s">
        <v>27</v>
      </c>
      <c r="P1348" t="s">
        <v>27</v>
      </c>
      <c r="Q1348" s="24">
        <v>0</v>
      </c>
      <c r="R1348" s="5">
        <f t="shared" si="126"/>
        <v>4518.1520383561647</v>
      </c>
      <c r="S1348" s="5">
        <f t="shared" si="127"/>
        <v>80.691920547945202</v>
      </c>
      <c r="T1348" s="5">
        <f t="shared" si="128"/>
        <v>4437.4601178082194</v>
      </c>
      <c r="U1348" s="15">
        <f t="shared" si="129"/>
        <v>85</v>
      </c>
      <c r="V1348" s="3">
        <f t="shared" si="130"/>
        <v>0</v>
      </c>
      <c r="W1348" s="3">
        <f t="shared" si="131"/>
        <v>1278</v>
      </c>
    </row>
    <row r="1349" spans="1:23" x14ac:dyDescent="0.2">
      <c r="A1349" t="s">
        <v>263</v>
      </c>
      <c r="B1349" t="s">
        <v>264</v>
      </c>
      <c r="C1349" t="s">
        <v>77</v>
      </c>
      <c r="D1349" t="s">
        <v>24</v>
      </c>
      <c r="E1349" t="s">
        <v>25</v>
      </c>
      <c r="F1349" s="7">
        <v>4450767</v>
      </c>
      <c r="G1349" t="s">
        <v>772</v>
      </c>
      <c r="H1349" s="5">
        <v>28009</v>
      </c>
      <c r="I1349" s="12">
        <v>45769</v>
      </c>
      <c r="J1349" s="15">
        <v>45</v>
      </c>
      <c r="K1349" s="15">
        <v>10</v>
      </c>
      <c r="L1349" s="9">
        <v>0.10489999999999999</v>
      </c>
      <c r="M1349" s="9">
        <v>5.0999999999999997E-2</v>
      </c>
      <c r="N1349" s="15">
        <v>7</v>
      </c>
      <c r="O1349" t="s">
        <v>27</v>
      </c>
      <c r="P1349" t="s">
        <v>27</v>
      </c>
      <c r="Q1349" s="24">
        <v>0</v>
      </c>
      <c r="R1349" s="5">
        <f t="shared" si="126"/>
        <v>362.23694383561644</v>
      </c>
      <c r="S1349" s="5">
        <f t="shared" si="127"/>
        <v>27.395104109589038</v>
      </c>
      <c r="T1349" s="5">
        <f t="shared" si="128"/>
        <v>334.84183972602739</v>
      </c>
      <c r="U1349" s="15">
        <f t="shared" si="129"/>
        <v>38</v>
      </c>
      <c r="V1349" s="3">
        <f t="shared" si="130"/>
        <v>0</v>
      </c>
      <c r="W1349" s="3">
        <f t="shared" si="131"/>
        <v>1278</v>
      </c>
    </row>
    <row r="1350" spans="1:23" x14ac:dyDescent="0.2">
      <c r="A1350" t="s">
        <v>100</v>
      </c>
      <c r="B1350" t="s">
        <v>101</v>
      </c>
      <c r="C1350" t="s">
        <v>77</v>
      </c>
      <c r="D1350" t="s">
        <v>48</v>
      </c>
      <c r="E1350" t="s">
        <v>49</v>
      </c>
      <c r="F1350" s="7">
        <v>1484226</v>
      </c>
      <c r="G1350" t="s">
        <v>785</v>
      </c>
      <c r="H1350" s="5">
        <v>45546</v>
      </c>
      <c r="I1350" s="12">
        <v>45993</v>
      </c>
      <c r="J1350" s="15">
        <v>30</v>
      </c>
      <c r="K1350" s="15">
        <v>3</v>
      </c>
      <c r="L1350" s="9">
        <v>0.17929999999999999</v>
      </c>
      <c r="M1350" s="9">
        <v>5.7099999999999998E-2</v>
      </c>
      <c r="N1350" s="15">
        <v>5</v>
      </c>
      <c r="O1350" t="s">
        <v>28</v>
      </c>
      <c r="P1350" t="s">
        <v>27</v>
      </c>
      <c r="Q1350" s="24">
        <v>0</v>
      </c>
      <c r="R1350" s="5">
        <f t="shared" si="126"/>
        <v>671.21077808219172</v>
      </c>
      <c r="S1350" s="5">
        <f t="shared" si="127"/>
        <v>35.625706849315065</v>
      </c>
      <c r="T1350" s="5">
        <f t="shared" si="128"/>
        <v>635.58507123287666</v>
      </c>
      <c r="U1350" s="15">
        <f t="shared" si="129"/>
        <v>25</v>
      </c>
      <c r="V1350" s="3">
        <f t="shared" si="130"/>
        <v>0</v>
      </c>
      <c r="W1350" s="3">
        <f t="shared" si="131"/>
        <v>1278</v>
      </c>
    </row>
    <row r="1351" spans="1:23" x14ac:dyDescent="0.2">
      <c r="A1351" t="s">
        <v>273</v>
      </c>
      <c r="B1351" t="s">
        <v>274</v>
      </c>
      <c r="C1351" t="s">
        <v>41</v>
      </c>
      <c r="D1351" t="s">
        <v>37</v>
      </c>
      <c r="E1351" t="s">
        <v>56</v>
      </c>
      <c r="F1351" s="7">
        <v>12001432</v>
      </c>
      <c r="G1351" t="s">
        <v>791</v>
      </c>
      <c r="H1351" s="5">
        <v>56238</v>
      </c>
      <c r="I1351" s="12">
        <v>45939</v>
      </c>
      <c r="J1351" s="15">
        <v>60</v>
      </c>
      <c r="K1351" s="15">
        <v>7</v>
      </c>
      <c r="L1351" s="9">
        <v>9.1800000000000007E-2</v>
      </c>
      <c r="M1351" s="9">
        <v>6.5000000000000002E-2</v>
      </c>
      <c r="N1351" s="15">
        <v>8</v>
      </c>
      <c r="O1351" t="s">
        <v>27</v>
      </c>
      <c r="P1351" t="s">
        <v>27</v>
      </c>
      <c r="Q1351" s="24">
        <v>0</v>
      </c>
      <c r="R1351" s="5">
        <f t="shared" si="126"/>
        <v>848.65453150684925</v>
      </c>
      <c r="S1351" s="5">
        <f t="shared" si="127"/>
        <v>80.119890410958917</v>
      </c>
      <c r="T1351" s="5">
        <f t="shared" si="128"/>
        <v>768.53464109589038</v>
      </c>
      <c r="U1351" s="15">
        <f t="shared" si="129"/>
        <v>52</v>
      </c>
      <c r="V1351" s="3">
        <f t="shared" si="130"/>
        <v>0</v>
      </c>
      <c r="W1351" s="3">
        <f t="shared" si="131"/>
        <v>1278</v>
      </c>
    </row>
    <row r="1352" spans="1:23" x14ac:dyDescent="0.2">
      <c r="A1352" t="s">
        <v>179</v>
      </c>
      <c r="B1352" t="s">
        <v>180</v>
      </c>
      <c r="C1352" t="s">
        <v>36</v>
      </c>
      <c r="D1352" t="s">
        <v>48</v>
      </c>
      <c r="E1352" t="s">
        <v>25</v>
      </c>
      <c r="F1352" s="7">
        <v>6074867</v>
      </c>
      <c r="G1352" t="s">
        <v>794</v>
      </c>
      <c r="H1352" s="5">
        <v>107199</v>
      </c>
      <c r="I1352" s="12">
        <v>45661</v>
      </c>
      <c r="J1352" s="15">
        <v>30</v>
      </c>
      <c r="K1352" s="15">
        <v>4</v>
      </c>
      <c r="L1352" s="9">
        <v>9.4299999999999995E-2</v>
      </c>
      <c r="M1352" s="9">
        <v>5.6899999999999999E-2</v>
      </c>
      <c r="N1352" s="15">
        <v>10</v>
      </c>
      <c r="O1352" t="s">
        <v>28</v>
      </c>
      <c r="P1352" t="s">
        <v>27</v>
      </c>
      <c r="Q1352" s="24">
        <v>0</v>
      </c>
      <c r="R1352" s="5">
        <f t="shared" si="126"/>
        <v>830.86567397260274</v>
      </c>
      <c r="S1352" s="5">
        <f t="shared" si="127"/>
        <v>167.1129616438356</v>
      </c>
      <c r="T1352" s="5">
        <f t="shared" si="128"/>
        <v>663.75271232876707</v>
      </c>
      <c r="U1352" s="15">
        <f t="shared" si="129"/>
        <v>20</v>
      </c>
      <c r="V1352" s="3">
        <f t="shared" si="130"/>
        <v>0</v>
      </c>
      <c r="W1352" s="3">
        <f t="shared" si="131"/>
        <v>1278</v>
      </c>
    </row>
    <row r="1353" spans="1:23" x14ac:dyDescent="0.2">
      <c r="A1353" t="s">
        <v>72</v>
      </c>
      <c r="B1353" t="s">
        <v>73</v>
      </c>
      <c r="C1353" t="s">
        <v>31</v>
      </c>
      <c r="D1353" t="s">
        <v>32</v>
      </c>
      <c r="E1353" t="s">
        <v>56</v>
      </c>
      <c r="F1353" s="7">
        <v>21625874</v>
      </c>
      <c r="G1353" t="s">
        <v>795</v>
      </c>
      <c r="H1353" s="5">
        <v>51365</v>
      </c>
      <c r="I1353" s="12">
        <v>46079</v>
      </c>
      <c r="J1353" s="15">
        <v>90</v>
      </c>
      <c r="K1353" s="15">
        <v>3</v>
      </c>
      <c r="L1353" s="9">
        <v>9.5399999999999999E-2</v>
      </c>
      <c r="M1353" s="9">
        <v>6.2100000000000002E-2</v>
      </c>
      <c r="N1353" s="15">
        <v>5</v>
      </c>
      <c r="O1353" t="s">
        <v>27</v>
      </c>
      <c r="P1353" t="s">
        <v>27</v>
      </c>
      <c r="Q1353" s="24">
        <v>0</v>
      </c>
      <c r="R1353" s="5">
        <f t="shared" si="126"/>
        <v>1208.2736712328765</v>
      </c>
      <c r="S1353" s="5">
        <f t="shared" si="127"/>
        <v>43.695431506849317</v>
      </c>
      <c r="T1353" s="5">
        <f t="shared" si="128"/>
        <v>1164.5782397260273</v>
      </c>
      <c r="U1353" s="15">
        <f t="shared" si="129"/>
        <v>85</v>
      </c>
      <c r="V1353" s="3">
        <f t="shared" si="130"/>
        <v>0</v>
      </c>
      <c r="W1353" s="3">
        <f t="shared" si="131"/>
        <v>1278</v>
      </c>
    </row>
    <row r="1354" spans="1:23" x14ac:dyDescent="0.2">
      <c r="A1354" t="s">
        <v>453</v>
      </c>
      <c r="B1354" t="s">
        <v>454</v>
      </c>
      <c r="C1354" t="s">
        <v>23</v>
      </c>
      <c r="D1354" t="s">
        <v>32</v>
      </c>
      <c r="E1354" t="s">
        <v>49</v>
      </c>
      <c r="F1354" s="7">
        <v>1410716</v>
      </c>
      <c r="G1354" t="s">
        <v>800</v>
      </c>
      <c r="H1354" s="5">
        <v>19329</v>
      </c>
      <c r="I1354" s="12">
        <v>46052</v>
      </c>
      <c r="J1354" s="15">
        <v>90</v>
      </c>
      <c r="K1354" s="15">
        <v>4</v>
      </c>
      <c r="L1354" s="9">
        <v>0.1472</v>
      </c>
      <c r="M1354" s="9">
        <v>5.1999999999999998E-2</v>
      </c>
      <c r="N1354" s="15">
        <v>8</v>
      </c>
      <c r="O1354" t="s">
        <v>27</v>
      </c>
      <c r="P1354" t="s">
        <v>27</v>
      </c>
      <c r="Q1354" s="24">
        <v>0</v>
      </c>
      <c r="R1354" s="5">
        <f t="shared" si="126"/>
        <v>701.56326575342462</v>
      </c>
      <c r="S1354" s="5">
        <f t="shared" si="127"/>
        <v>22.029764383561641</v>
      </c>
      <c r="T1354" s="5">
        <f t="shared" si="128"/>
        <v>679.53350136986296</v>
      </c>
      <c r="U1354" s="15">
        <f t="shared" si="129"/>
        <v>82</v>
      </c>
      <c r="V1354" s="3">
        <f t="shared" si="130"/>
        <v>0</v>
      </c>
      <c r="W1354" s="3">
        <f t="shared" si="131"/>
        <v>1278</v>
      </c>
    </row>
    <row r="1355" spans="1:23" x14ac:dyDescent="0.2">
      <c r="A1355" t="s">
        <v>382</v>
      </c>
      <c r="B1355" t="s">
        <v>383</v>
      </c>
      <c r="C1355" t="s">
        <v>41</v>
      </c>
      <c r="D1355" t="s">
        <v>32</v>
      </c>
      <c r="E1355" t="s">
        <v>25</v>
      </c>
      <c r="F1355" s="7">
        <v>3772612</v>
      </c>
      <c r="G1355" t="s">
        <v>815</v>
      </c>
      <c r="H1355" s="5">
        <v>53347</v>
      </c>
      <c r="I1355" s="12">
        <v>45945</v>
      </c>
      <c r="J1355" s="15">
        <v>60</v>
      </c>
      <c r="K1355" s="15">
        <v>7</v>
      </c>
      <c r="L1355" s="9">
        <v>0.1053</v>
      </c>
      <c r="M1355" s="9">
        <v>5.5599999999999997E-2</v>
      </c>
      <c r="N1355" s="15">
        <v>6</v>
      </c>
      <c r="O1355" t="s">
        <v>28</v>
      </c>
      <c r="P1355" t="s">
        <v>27</v>
      </c>
      <c r="Q1355" s="24">
        <v>0</v>
      </c>
      <c r="R1355" s="5">
        <f t="shared" si="126"/>
        <v>923.41464657534254</v>
      </c>
      <c r="S1355" s="5">
        <f t="shared" si="127"/>
        <v>48.757696438356156</v>
      </c>
      <c r="T1355" s="5">
        <f t="shared" si="128"/>
        <v>874.65695013698644</v>
      </c>
      <c r="U1355" s="15">
        <f t="shared" si="129"/>
        <v>54</v>
      </c>
      <c r="V1355" s="3">
        <f t="shared" si="130"/>
        <v>0</v>
      </c>
      <c r="W1355" s="3">
        <f t="shared" si="131"/>
        <v>1278</v>
      </c>
    </row>
    <row r="1356" spans="1:23" x14ac:dyDescent="0.2">
      <c r="A1356" t="s">
        <v>163</v>
      </c>
      <c r="B1356" t="s">
        <v>164</v>
      </c>
      <c r="C1356" t="s">
        <v>77</v>
      </c>
      <c r="D1356" t="s">
        <v>66</v>
      </c>
      <c r="E1356" t="s">
        <v>25</v>
      </c>
      <c r="F1356" s="7">
        <v>4709015</v>
      </c>
      <c r="G1356" t="s">
        <v>817</v>
      </c>
      <c r="H1356" s="5">
        <v>57453</v>
      </c>
      <c r="I1356" s="12">
        <v>45799</v>
      </c>
      <c r="J1356" s="15">
        <v>60</v>
      </c>
      <c r="K1356" s="15">
        <v>4</v>
      </c>
      <c r="L1356" s="9">
        <v>0.121</v>
      </c>
      <c r="M1356" s="9">
        <v>5.7500000000000002E-2</v>
      </c>
      <c r="N1356" s="15">
        <v>6</v>
      </c>
      <c r="O1356" t="s">
        <v>27</v>
      </c>
      <c r="P1356" t="s">
        <v>27</v>
      </c>
      <c r="Q1356" s="24">
        <v>0</v>
      </c>
      <c r="R1356" s="5">
        <f t="shared" si="126"/>
        <v>1142.7637808219179</v>
      </c>
      <c r="S1356" s="5">
        <f t="shared" si="127"/>
        <v>54.304890410958897</v>
      </c>
      <c r="T1356" s="5">
        <f t="shared" si="128"/>
        <v>1088.4588904109589</v>
      </c>
      <c r="U1356" s="15">
        <f t="shared" si="129"/>
        <v>54</v>
      </c>
      <c r="V1356" s="3">
        <f t="shared" si="130"/>
        <v>0</v>
      </c>
      <c r="W1356" s="3">
        <f t="shared" si="131"/>
        <v>1278</v>
      </c>
    </row>
    <row r="1357" spans="1:23" x14ac:dyDescent="0.2">
      <c r="A1357" t="s">
        <v>103</v>
      </c>
      <c r="B1357" t="s">
        <v>62</v>
      </c>
      <c r="C1357" t="s">
        <v>31</v>
      </c>
      <c r="D1357" t="s">
        <v>37</v>
      </c>
      <c r="E1357" t="s">
        <v>25</v>
      </c>
      <c r="F1357" s="7">
        <v>3948313</v>
      </c>
      <c r="G1357" t="s">
        <v>818</v>
      </c>
      <c r="H1357" s="5">
        <v>20127</v>
      </c>
      <c r="I1357" s="12">
        <v>45773</v>
      </c>
      <c r="J1357" s="15">
        <v>60</v>
      </c>
      <c r="K1357" s="15">
        <v>5</v>
      </c>
      <c r="L1357" s="9">
        <v>0.1154</v>
      </c>
      <c r="M1357" s="9">
        <v>6.2799999999999995E-2</v>
      </c>
      <c r="N1357" s="15">
        <v>5</v>
      </c>
      <c r="O1357" t="s">
        <v>27</v>
      </c>
      <c r="P1357" t="s">
        <v>27</v>
      </c>
      <c r="Q1357" s="24">
        <v>0</v>
      </c>
      <c r="R1357" s="5">
        <f t="shared" si="126"/>
        <v>381.80643287671234</v>
      </c>
      <c r="S1357" s="5">
        <f t="shared" si="127"/>
        <v>17.314734246575341</v>
      </c>
      <c r="T1357" s="5">
        <f t="shared" si="128"/>
        <v>364.49169863013697</v>
      </c>
      <c r="U1357" s="15">
        <f t="shared" si="129"/>
        <v>55</v>
      </c>
      <c r="V1357" s="3">
        <f t="shared" si="130"/>
        <v>0</v>
      </c>
      <c r="W1357" s="3">
        <f t="shared" si="131"/>
        <v>1278</v>
      </c>
    </row>
    <row r="1358" spans="1:23" x14ac:dyDescent="0.2">
      <c r="A1358" t="s">
        <v>236</v>
      </c>
      <c r="B1358" t="s">
        <v>204</v>
      </c>
      <c r="C1358" t="s">
        <v>41</v>
      </c>
      <c r="D1358" t="s">
        <v>66</v>
      </c>
      <c r="E1358" t="s">
        <v>25</v>
      </c>
      <c r="F1358" s="7">
        <v>2121447</v>
      </c>
      <c r="G1358" t="s">
        <v>822</v>
      </c>
      <c r="H1358" s="5">
        <v>102247</v>
      </c>
      <c r="I1358" s="12">
        <v>45732</v>
      </c>
      <c r="J1358" s="15">
        <v>60</v>
      </c>
      <c r="K1358" s="15">
        <v>7</v>
      </c>
      <c r="L1358" s="9">
        <v>0.11890000000000001</v>
      </c>
      <c r="M1358" s="9">
        <v>6.3200000000000006E-2</v>
      </c>
      <c r="N1358" s="15">
        <v>8</v>
      </c>
      <c r="O1358" t="s">
        <v>27</v>
      </c>
      <c r="P1358" t="s">
        <v>27</v>
      </c>
      <c r="Q1358" s="24">
        <v>0</v>
      </c>
      <c r="R1358" s="5">
        <f t="shared" si="126"/>
        <v>1998.4386246575343</v>
      </c>
      <c r="S1358" s="5">
        <f t="shared" si="127"/>
        <v>141.63310465753426</v>
      </c>
      <c r="T1358" s="5">
        <f t="shared" si="128"/>
        <v>1856.8055200000001</v>
      </c>
      <c r="U1358" s="15">
        <f t="shared" si="129"/>
        <v>52</v>
      </c>
      <c r="V1358" s="3">
        <f t="shared" si="130"/>
        <v>0</v>
      </c>
      <c r="W1358" s="3">
        <f t="shared" si="131"/>
        <v>1278</v>
      </c>
    </row>
    <row r="1359" spans="1:23" x14ac:dyDescent="0.2">
      <c r="A1359" t="s">
        <v>239</v>
      </c>
      <c r="B1359" t="s">
        <v>240</v>
      </c>
      <c r="C1359" t="s">
        <v>31</v>
      </c>
      <c r="D1359" t="s">
        <v>32</v>
      </c>
      <c r="E1359" t="s">
        <v>49</v>
      </c>
      <c r="F1359" s="7">
        <v>1485779</v>
      </c>
      <c r="G1359" t="s">
        <v>828</v>
      </c>
      <c r="H1359" s="5">
        <v>33467</v>
      </c>
      <c r="I1359" s="12">
        <v>45771</v>
      </c>
      <c r="J1359" s="15">
        <v>45</v>
      </c>
      <c r="K1359" s="15">
        <v>2</v>
      </c>
      <c r="L1359" s="9">
        <v>0.1295</v>
      </c>
      <c r="M1359" s="9">
        <v>5.3199999999999997E-2</v>
      </c>
      <c r="N1359" s="15">
        <v>5</v>
      </c>
      <c r="O1359" t="s">
        <v>27</v>
      </c>
      <c r="P1359" t="s">
        <v>27</v>
      </c>
      <c r="Q1359" s="24">
        <v>0</v>
      </c>
      <c r="R1359" s="5">
        <f t="shared" si="126"/>
        <v>534.32586986301362</v>
      </c>
      <c r="S1359" s="5">
        <f t="shared" si="127"/>
        <v>24.389649315068489</v>
      </c>
      <c r="T1359" s="5">
        <f t="shared" si="128"/>
        <v>509.93622054794514</v>
      </c>
      <c r="U1359" s="15">
        <f t="shared" si="129"/>
        <v>40</v>
      </c>
      <c r="V1359" s="3">
        <f t="shared" si="130"/>
        <v>0</v>
      </c>
      <c r="W1359" s="3">
        <f t="shared" si="131"/>
        <v>1278</v>
      </c>
    </row>
    <row r="1360" spans="1:23" x14ac:dyDescent="0.2">
      <c r="A1360" t="s">
        <v>829</v>
      </c>
      <c r="B1360" t="s">
        <v>194</v>
      </c>
      <c r="C1360" t="s">
        <v>23</v>
      </c>
      <c r="D1360" t="s">
        <v>24</v>
      </c>
      <c r="E1360" t="s">
        <v>25</v>
      </c>
      <c r="F1360" s="7">
        <v>4842575</v>
      </c>
      <c r="G1360" t="s">
        <v>830</v>
      </c>
      <c r="H1360" s="5">
        <v>109303</v>
      </c>
      <c r="I1360" s="12">
        <v>45882</v>
      </c>
      <c r="J1360" s="15">
        <v>60</v>
      </c>
      <c r="K1360" s="15">
        <v>3</v>
      </c>
      <c r="L1360" s="9">
        <v>0.10639999999999999</v>
      </c>
      <c r="M1360" s="9">
        <v>6.0199999999999997E-2</v>
      </c>
      <c r="N1360" s="15">
        <v>5</v>
      </c>
      <c r="O1360" t="s">
        <v>28</v>
      </c>
      <c r="P1360" t="s">
        <v>27</v>
      </c>
      <c r="Q1360" s="24">
        <v>0</v>
      </c>
      <c r="R1360" s="5">
        <f t="shared" si="126"/>
        <v>1911.7543890410955</v>
      </c>
      <c r="S1360" s="5">
        <f t="shared" si="127"/>
        <v>90.137542465753413</v>
      </c>
      <c r="T1360" s="5">
        <f t="shared" si="128"/>
        <v>1821.6168465753422</v>
      </c>
      <c r="U1360" s="15">
        <f t="shared" si="129"/>
        <v>55</v>
      </c>
      <c r="V1360" s="3">
        <f t="shared" si="130"/>
        <v>0</v>
      </c>
      <c r="W1360" s="3">
        <f t="shared" si="131"/>
        <v>1278</v>
      </c>
    </row>
    <row r="1361" spans="1:23" x14ac:dyDescent="0.2">
      <c r="A1361" t="s">
        <v>494</v>
      </c>
      <c r="B1361" t="s">
        <v>495</v>
      </c>
      <c r="C1361" t="s">
        <v>41</v>
      </c>
      <c r="D1361" t="s">
        <v>48</v>
      </c>
      <c r="E1361" t="s">
        <v>25</v>
      </c>
      <c r="F1361" s="7">
        <v>6247349</v>
      </c>
      <c r="G1361" t="s">
        <v>835</v>
      </c>
      <c r="H1361" s="5">
        <v>49475</v>
      </c>
      <c r="I1361" s="12">
        <v>45895</v>
      </c>
      <c r="J1361" s="15">
        <v>60</v>
      </c>
      <c r="K1361" s="15">
        <v>5</v>
      </c>
      <c r="L1361" s="9">
        <v>0.1241</v>
      </c>
      <c r="M1361" s="9">
        <v>5.0900000000000001E-2</v>
      </c>
      <c r="N1361" s="15">
        <v>5</v>
      </c>
      <c r="O1361" t="s">
        <v>27</v>
      </c>
      <c r="P1361" t="s">
        <v>27</v>
      </c>
      <c r="Q1361" s="24">
        <v>0</v>
      </c>
      <c r="R1361" s="5">
        <f t="shared" si="126"/>
        <v>1009.29</v>
      </c>
      <c r="S1361" s="5">
        <f t="shared" si="127"/>
        <v>34.496952054794519</v>
      </c>
      <c r="T1361" s="5">
        <f t="shared" si="128"/>
        <v>974.79304794520544</v>
      </c>
      <c r="U1361" s="15">
        <f t="shared" si="129"/>
        <v>55</v>
      </c>
      <c r="V1361" s="3">
        <f t="shared" si="130"/>
        <v>0</v>
      </c>
      <c r="W1361" s="3">
        <f t="shared" si="131"/>
        <v>1278</v>
      </c>
    </row>
    <row r="1362" spans="1:23" x14ac:dyDescent="0.2">
      <c r="A1362" t="s">
        <v>273</v>
      </c>
      <c r="B1362" t="s">
        <v>274</v>
      </c>
      <c r="C1362" t="s">
        <v>41</v>
      </c>
      <c r="D1362" t="s">
        <v>37</v>
      </c>
      <c r="E1362" t="s">
        <v>56</v>
      </c>
      <c r="F1362" s="7">
        <v>12001432</v>
      </c>
      <c r="G1362" t="s">
        <v>836</v>
      </c>
      <c r="H1362" s="5">
        <v>96685</v>
      </c>
      <c r="I1362" s="12">
        <v>46014</v>
      </c>
      <c r="J1362" s="15">
        <v>60</v>
      </c>
      <c r="K1362" s="15">
        <v>10</v>
      </c>
      <c r="L1362" s="9">
        <v>9.1800000000000007E-2</v>
      </c>
      <c r="M1362" s="9">
        <v>5.5E-2</v>
      </c>
      <c r="N1362" s="15">
        <v>6</v>
      </c>
      <c r="O1362" t="s">
        <v>27</v>
      </c>
      <c r="P1362" t="s">
        <v>27</v>
      </c>
      <c r="Q1362" s="24">
        <v>0</v>
      </c>
      <c r="R1362" s="5">
        <f t="shared" si="126"/>
        <v>1459.0163835616438</v>
      </c>
      <c r="S1362" s="5">
        <f t="shared" si="127"/>
        <v>87.413835616438348</v>
      </c>
      <c r="T1362" s="5">
        <f t="shared" si="128"/>
        <v>1371.6025479452055</v>
      </c>
      <c r="U1362" s="15">
        <f t="shared" si="129"/>
        <v>54</v>
      </c>
      <c r="V1362" s="3">
        <f t="shared" si="130"/>
        <v>0</v>
      </c>
      <c r="W1362" s="3">
        <f t="shared" si="131"/>
        <v>1278</v>
      </c>
    </row>
    <row r="1363" spans="1:23" x14ac:dyDescent="0.2">
      <c r="A1363" t="s">
        <v>201</v>
      </c>
      <c r="B1363" t="s">
        <v>76</v>
      </c>
      <c r="C1363" t="s">
        <v>23</v>
      </c>
      <c r="D1363" t="s">
        <v>37</v>
      </c>
      <c r="E1363" t="s">
        <v>56</v>
      </c>
      <c r="F1363" s="7">
        <v>21198154</v>
      </c>
      <c r="G1363" t="s">
        <v>841</v>
      </c>
      <c r="H1363" s="5">
        <v>70903</v>
      </c>
      <c r="I1363" s="12">
        <v>45971</v>
      </c>
      <c r="J1363" s="15">
        <v>60</v>
      </c>
      <c r="K1363" s="15">
        <v>2</v>
      </c>
      <c r="L1363" s="9">
        <v>0.1086</v>
      </c>
      <c r="M1363" s="9">
        <v>5.5500000000000001E-2</v>
      </c>
      <c r="N1363" s="15">
        <v>8</v>
      </c>
      <c r="O1363" t="s">
        <v>27</v>
      </c>
      <c r="P1363" t="s">
        <v>27</v>
      </c>
      <c r="Q1363" s="24">
        <v>0</v>
      </c>
      <c r="R1363" s="5">
        <f t="shared" si="126"/>
        <v>1265.7642410958904</v>
      </c>
      <c r="S1363" s="5">
        <f t="shared" si="127"/>
        <v>86.249128767123295</v>
      </c>
      <c r="T1363" s="5">
        <f t="shared" si="128"/>
        <v>1179.5151123287671</v>
      </c>
      <c r="U1363" s="15">
        <f t="shared" si="129"/>
        <v>52</v>
      </c>
      <c r="V1363" s="3">
        <f t="shared" si="130"/>
        <v>0</v>
      </c>
      <c r="W1363" s="3">
        <f t="shared" si="131"/>
        <v>1278</v>
      </c>
    </row>
    <row r="1364" spans="1:23" x14ac:dyDescent="0.2">
      <c r="A1364" t="s">
        <v>82</v>
      </c>
      <c r="B1364" t="s">
        <v>83</v>
      </c>
      <c r="C1364" t="s">
        <v>23</v>
      </c>
      <c r="D1364" t="s">
        <v>66</v>
      </c>
      <c r="E1364" t="s">
        <v>49</v>
      </c>
      <c r="F1364" s="7">
        <v>946643</v>
      </c>
      <c r="G1364" t="s">
        <v>847</v>
      </c>
      <c r="H1364" s="5">
        <v>39215</v>
      </c>
      <c r="I1364" s="12">
        <v>45999</v>
      </c>
      <c r="J1364" s="15">
        <v>30</v>
      </c>
      <c r="K1364" s="15">
        <v>3</v>
      </c>
      <c r="L1364" s="9">
        <v>0.1648</v>
      </c>
      <c r="M1364" s="9">
        <v>4.6100000000000002E-2</v>
      </c>
      <c r="N1364" s="15">
        <v>7</v>
      </c>
      <c r="O1364" t="s">
        <v>28</v>
      </c>
      <c r="P1364" t="s">
        <v>27</v>
      </c>
      <c r="Q1364" s="24">
        <v>0</v>
      </c>
      <c r="R1364" s="5">
        <f t="shared" si="126"/>
        <v>531.17523287671236</v>
      </c>
      <c r="S1364" s="5">
        <f t="shared" si="127"/>
        <v>34.670357534246577</v>
      </c>
      <c r="T1364" s="5">
        <f t="shared" si="128"/>
        <v>496.50487534246577</v>
      </c>
      <c r="U1364" s="15">
        <f t="shared" si="129"/>
        <v>23</v>
      </c>
      <c r="V1364" s="3">
        <f t="shared" si="130"/>
        <v>0</v>
      </c>
      <c r="W1364" s="3">
        <f t="shared" si="131"/>
        <v>1278</v>
      </c>
    </row>
    <row r="1365" spans="1:23" x14ac:dyDescent="0.2">
      <c r="A1365" t="s">
        <v>488</v>
      </c>
      <c r="B1365" t="s">
        <v>489</v>
      </c>
      <c r="C1365" t="s">
        <v>31</v>
      </c>
      <c r="D1365" t="s">
        <v>37</v>
      </c>
      <c r="E1365" t="s">
        <v>25</v>
      </c>
      <c r="F1365" s="7">
        <v>6687670</v>
      </c>
      <c r="G1365" t="s">
        <v>850</v>
      </c>
      <c r="H1365" s="5">
        <v>87886</v>
      </c>
      <c r="I1365" s="12">
        <v>46077</v>
      </c>
      <c r="J1365" s="15">
        <v>60</v>
      </c>
      <c r="K1365" s="15">
        <v>2</v>
      </c>
      <c r="L1365" s="9">
        <v>0.1013</v>
      </c>
      <c r="M1365" s="9">
        <v>4.6899999999999997E-2</v>
      </c>
      <c r="N1365" s="15">
        <v>7</v>
      </c>
      <c r="O1365" t="s">
        <v>27</v>
      </c>
      <c r="P1365" t="s">
        <v>27</v>
      </c>
      <c r="Q1365" s="24">
        <v>0</v>
      </c>
      <c r="R1365" s="5">
        <f t="shared" si="126"/>
        <v>1463.4824876712328</v>
      </c>
      <c r="S1365" s="5">
        <f t="shared" si="127"/>
        <v>79.049243287671231</v>
      </c>
      <c r="T1365" s="5">
        <f t="shared" si="128"/>
        <v>1384.4332443835615</v>
      </c>
      <c r="U1365" s="15">
        <f t="shared" si="129"/>
        <v>53</v>
      </c>
      <c r="V1365" s="3">
        <f t="shared" si="130"/>
        <v>0</v>
      </c>
      <c r="W1365" s="3">
        <f t="shared" si="131"/>
        <v>1278</v>
      </c>
    </row>
    <row r="1366" spans="1:23" x14ac:dyDescent="0.2">
      <c r="A1366" t="s">
        <v>201</v>
      </c>
      <c r="B1366" t="s">
        <v>76</v>
      </c>
      <c r="C1366" t="s">
        <v>23</v>
      </c>
      <c r="D1366" t="s">
        <v>37</v>
      </c>
      <c r="E1366" t="s">
        <v>56</v>
      </c>
      <c r="F1366" s="7">
        <v>21198154</v>
      </c>
      <c r="G1366" t="s">
        <v>865</v>
      </c>
      <c r="H1366" s="5">
        <v>80825</v>
      </c>
      <c r="I1366" s="12">
        <v>45885</v>
      </c>
      <c r="J1366" s="15">
        <v>60</v>
      </c>
      <c r="K1366" s="15">
        <v>2</v>
      </c>
      <c r="L1366" s="9">
        <v>0.1086</v>
      </c>
      <c r="M1366" s="9">
        <v>5.2499999999999998E-2</v>
      </c>
      <c r="N1366" s="15">
        <v>5</v>
      </c>
      <c r="O1366" t="s">
        <v>27</v>
      </c>
      <c r="P1366" t="s">
        <v>27</v>
      </c>
      <c r="Q1366" s="24">
        <v>0</v>
      </c>
      <c r="R1366" s="5">
        <f t="shared" si="126"/>
        <v>1442.892328767123</v>
      </c>
      <c r="S1366" s="5">
        <f t="shared" si="127"/>
        <v>58.127568493150683</v>
      </c>
      <c r="T1366" s="5">
        <f t="shared" si="128"/>
        <v>1384.7647602739723</v>
      </c>
      <c r="U1366" s="15">
        <f t="shared" si="129"/>
        <v>55</v>
      </c>
      <c r="V1366" s="3">
        <f t="shared" si="130"/>
        <v>0</v>
      </c>
      <c r="W1366" s="3">
        <f t="shared" si="131"/>
        <v>1278</v>
      </c>
    </row>
    <row r="1367" spans="1:23" x14ac:dyDescent="0.2">
      <c r="A1367" t="s">
        <v>407</v>
      </c>
      <c r="B1367" t="s">
        <v>218</v>
      </c>
      <c r="C1367" t="s">
        <v>41</v>
      </c>
      <c r="D1367" t="s">
        <v>32</v>
      </c>
      <c r="E1367" t="s">
        <v>25</v>
      </c>
      <c r="F1367" s="7">
        <v>1514188</v>
      </c>
      <c r="G1367" t="s">
        <v>866</v>
      </c>
      <c r="H1367" s="5">
        <v>78321</v>
      </c>
      <c r="I1367" s="12">
        <v>46033</v>
      </c>
      <c r="J1367" s="15">
        <v>30</v>
      </c>
      <c r="K1367" s="15">
        <v>5</v>
      </c>
      <c r="L1367" s="9">
        <v>0.11600000000000001</v>
      </c>
      <c r="M1367" s="9">
        <v>6.3100000000000003E-2</v>
      </c>
      <c r="N1367" s="15">
        <v>6</v>
      </c>
      <c r="O1367" t="s">
        <v>28</v>
      </c>
      <c r="P1367" t="s">
        <v>27</v>
      </c>
      <c r="Q1367" s="24">
        <v>0</v>
      </c>
      <c r="R1367" s="5">
        <f t="shared" si="126"/>
        <v>746.73172602739726</v>
      </c>
      <c r="S1367" s="5">
        <f t="shared" si="127"/>
        <v>81.239261917808221</v>
      </c>
      <c r="T1367" s="5">
        <f t="shared" si="128"/>
        <v>665.49246410958904</v>
      </c>
      <c r="U1367" s="15">
        <f t="shared" si="129"/>
        <v>24</v>
      </c>
      <c r="V1367" s="3">
        <f t="shared" si="130"/>
        <v>0</v>
      </c>
      <c r="W1367" s="3">
        <f t="shared" si="131"/>
        <v>1278</v>
      </c>
    </row>
    <row r="1368" spans="1:23" x14ac:dyDescent="0.2">
      <c r="A1368" t="s">
        <v>82</v>
      </c>
      <c r="B1368" t="s">
        <v>83</v>
      </c>
      <c r="C1368" t="s">
        <v>23</v>
      </c>
      <c r="D1368" t="s">
        <v>66</v>
      </c>
      <c r="E1368" t="s">
        <v>49</v>
      </c>
      <c r="F1368" s="7">
        <v>946643</v>
      </c>
      <c r="G1368" t="s">
        <v>867</v>
      </c>
      <c r="H1368" s="5">
        <v>80632</v>
      </c>
      <c r="I1368" s="12">
        <v>46004</v>
      </c>
      <c r="J1368" s="15">
        <v>60</v>
      </c>
      <c r="K1368" s="15">
        <v>4</v>
      </c>
      <c r="L1368" s="9">
        <v>0.1648</v>
      </c>
      <c r="M1368" s="9">
        <v>4.7899999999999998E-2</v>
      </c>
      <c r="N1368" s="15">
        <v>5</v>
      </c>
      <c r="O1368" t="s">
        <v>27</v>
      </c>
      <c r="P1368" t="s">
        <v>27</v>
      </c>
      <c r="Q1368" s="24">
        <v>0</v>
      </c>
      <c r="R1368" s="5">
        <f t="shared" si="126"/>
        <v>2184.3540164383562</v>
      </c>
      <c r="S1368" s="5">
        <f t="shared" si="127"/>
        <v>52.907846575342461</v>
      </c>
      <c r="T1368" s="5">
        <f t="shared" si="128"/>
        <v>2131.4461698630139</v>
      </c>
      <c r="U1368" s="15">
        <f t="shared" si="129"/>
        <v>55</v>
      </c>
      <c r="V1368" s="3">
        <f t="shared" si="130"/>
        <v>0</v>
      </c>
      <c r="W1368" s="3">
        <f t="shared" si="131"/>
        <v>1278</v>
      </c>
    </row>
    <row r="1369" spans="1:23" x14ac:dyDescent="0.2">
      <c r="A1369" t="s">
        <v>829</v>
      </c>
      <c r="B1369" t="s">
        <v>194</v>
      </c>
      <c r="C1369" t="s">
        <v>23</v>
      </c>
      <c r="D1369" t="s">
        <v>24</v>
      </c>
      <c r="E1369" t="s">
        <v>25</v>
      </c>
      <c r="F1369" s="7">
        <v>4842575</v>
      </c>
      <c r="G1369" t="s">
        <v>872</v>
      </c>
      <c r="H1369" s="5">
        <v>79378</v>
      </c>
      <c r="I1369" s="12">
        <v>46069</v>
      </c>
      <c r="J1369" s="15">
        <v>45</v>
      </c>
      <c r="K1369" s="15">
        <v>7</v>
      </c>
      <c r="L1369" s="9">
        <v>0.10639999999999999</v>
      </c>
      <c r="M1369" s="9">
        <v>5.1999999999999998E-2</v>
      </c>
      <c r="N1369" s="15">
        <v>7</v>
      </c>
      <c r="O1369" t="s">
        <v>27</v>
      </c>
      <c r="P1369" t="s">
        <v>27</v>
      </c>
      <c r="Q1369" s="24">
        <v>0</v>
      </c>
      <c r="R1369" s="5">
        <f t="shared" si="126"/>
        <v>1041.2653808219177</v>
      </c>
      <c r="S1369" s="5">
        <f t="shared" si="127"/>
        <v>79.160526027397268</v>
      </c>
      <c r="T1369" s="5">
        <f t="shared" si="128"/>
        <v>962.10485479452041</v>
      </c>
      <c r="U1369" s="15">
        <f t="shared" si="129"/>
        <v>38</v>
      </c>
      <c r="V1369" s="3">
        <f t="shared" si="130"/>
        <v>0</v>
      </c>
      <c r="W1369" s="3">
        <f t="shared" si="131"/>
        <v>1278</v>
      </c>
    </row>
    <row r="1370" spans="1:23" x14ac:dyDescent="0.2">
      <c r="A1370" t="s">
        <v>186</v>
      </c>
      <c r="B1370" t="s">
        <v>187</v>
      </c>
      <c r="C1370" t="s">
        <v>41</v>
      </c>
      <c r="D1370" t="s">
        <v>32</v>
      </c>
      <c r="E1370" t="s">
        <v>25</v>
      </c>
      <c r="F1370" s="7">
        <v>3649528</v>
      </c>
      <c r="G1370" t="s">
        <v>877</v>
      </c>
      <c r="H1370" s="5">
        <v>24748</v>
      </c>
      <c r="I1370" s="12">
        <v>45731</v>
      </c>
      <c r="J1370" s="15">
        <v>60</v>
      </c>
      <c r="K1370" s="15">
        <v>10</v>
      </c>
      <c r="L1370" s="9">
        <v>0.1283</v>
      </c>
      <c r="M1370" s="9">
        <v>5.79E-2</v>
      </c>
      <c r="N1370" s="15">
        <v>8</v>
      </c>
      <c r="O1370" t="s">
        <v>27</v>
      </c>
      <c r="P1370" t="s">
        <v>27</v>
      </c>
      <c r="Q1370" s="24">
        <v>0</v>
      </c>
      <c r="R1370" s="5">
        <f t="shared" si="126"/>
        <v>521.94549041095888</v>
      </c>
      <c r="S1370" s="5">
        <f t="shared" si="127"/>
        <v>31.406229041095891</v>
      </c>
      <c r="T1370" s="5">
        <f t="shared" si="128"/>
        <v>490.53926136986297</v>
      </c>
      <c r="U1370" s="15">
        <f t="shared" si="129"/>
        <v>52</v>
      </c>
      <c r="V1370" s="3">
        <f t="shared" si="130"/>
        <v>0</v>
      </c>
      <c r="W1370" s="3">
        <f t="shared" si="131"/>
        <v>1278</v>
      </c>
    </row>
    <row r="1371" spans="1:23" x14ac:dyDescent="0.2">
      <c r="A1371" t="s">
        <v>722</v>
      </c>
      <c r="B1371" t="s">
        <v>723</v>
      </c>
      <c r="C1371" t="s">
        <v>77</v>
      </c>
      <c r="D1371" t="s">
        <v>24</v>
      </c>
      <c r="E1371" t="s">
        <v>49</v>
      </c>
      <c r="F1371" s="7">
        <v>1097913</v>
      </c>
      <c r="G1371" t="s">
        <v>878</v>
      </c>
      <c r="H1371" s="5">
        <v>92863</v>
      </c>
      <c r="I1371" s="12">
        <v>45890</v>
      </c>
      <c r="J1371" s="15">
        <v>45</v>
      </c>
      <c r="K1371" s="15">
        <v>4</v>
      </c>
      <c r="L1371" s="9">
        <v>0.16070000000000001</v>
      </c>
      <c r="M1371" s="9">
        <v>5.28E-2</v>
      </c>
      <c r="N1371" s="15">
        <v>7</v>
      </c>
      <c r="O1371" t="s">
        <v>27</v>
      </c>
      <c r="P1371" t="s">
        <v>27</v>
      </c>
      <c r="Q1371" s="24">
        <v>0</v>
      </c>
      <c r="R1371" s="5">
        <f t="shared" si="126"/>
        <v>1839.8322863013698</v>
      </c>
      <c r="S1371" s="5">
        <f t="shared" si="127"/>
        <v>94.033328219178088</v>
      </c>
      <c r="T1371" s="5">
        <f t="shared" si="128"/>
        <v>1745.7989580821918</v>
      </c>
      <c r="U1371" s="15">
        <f t="shared" si="129"/>
        <v>38</v>
      </c>
      <c r="V1371" s="3">
        <f t="shared" si="130"/>
        <v>0</v>
      </c>
      <c r="W1371" s="3">
        <f t="shared" si="131"/>
        <v>1278</v>
      </c>
    </row>
    <row r="1372" spans="1:23" x14ac:dyDescent="0.2">
      <c r="A1372" t="s">
        <v>477</v>
      </c>
      <c r="B1372" t="s">
        <v>274</v>
      </c>
      <c r="C1372" t="s">
        <v>31</v>
      </c>
      <c r="D1372" t="s">
        <v>32</v>
      </c>
      <c r="E1372" t="s">
        <v>25</v>
      </c>
      <c r="F1372" s="7">
        <v>6247387</v>
      </c>
      <c r="G1372" t="s">
        <v>881</v>
      </c>
      <c r="H1372" s="5">
        <v>72420</v>
      </c>
      <c r="I1372" s="12">
        <v>45854</v>
      </c>
      <c r="J1372" s="15">
        <v>60</v>
      </c>
      <c r="K1372" s="15">
        <v>5</v>
      </c>
      <c r="L1372" s="9">
        <v>0.12909999999999999</v>
      </c>
      <c r="M1372" s="9">
        <v>4.9799999999999997E-2</v>
      </c>
      <c r="N1372" s="15">
        <v>6</v>
      </c>
      <c r="O1372" t="s">
        <v>27</v>
      </c>
      <c r="P1372" t="s">
        <v>27</v>
      </c>
      <c r="Q1372" s="24">
        <v>0</v>
      </c>
      <c r="R1372" s="5">
        <f t="shared" si="126"/>
        <v>1536.8912876712325</v>
      </c>
      <c r="S1372" s="5">
        <f t="shared" si="127"/>
        <v>59.285194520547932</v>
      </c>
      <c r="T1372" s="5">
        <f t="shared" si="128"/>
        <v>1477.6060931506845</v>
      </c>
      <c r="U1372" s="15">
        <f t="shared" si="129"/>
        <v>54</v>
      </c>
      <c r="V1372" s="3">
        <f t="shared" si="130"/>
        <v>0</v>
      </c>
      <c r="W1372" s="3">
        <f t="shared" si="131"/>
        <v>1278</v>
      </c>
    </row>
    <row r="1373" spans="1:23" x14ac:dyDescent="0.2">
      <c r="A1373" t="s">
        <v>133</v>
      </c>
      <c r="B1373" t="s">
        <v>134</v>
      </c>
      <c r="C1373" t="s">
        <v>36</v>
      </c>
      <c r="D1373" t="s">
        <v>24</v>
      </c>
      <c r="E1373" t="s">
        <v>25</v>
      </c>
      <c r="F1373" s="7">
        <v>6056843</v>
      </c>
      <c r="G1373" t="s">
        <v>887</v>
      </c>
      <c r="H1373" s="5">
        <v>37646</v>
      </c>
      <c r="I1373" s="12">
        <v>46025</v>
      </c>
      <c r="J1373" s="15">
        <v>45</v>
      </c>
      <c r="K1373" s="15">
        <v>4</v>
      </c>
      <c r="L1373" s="9">
        <v>0.12520000000000001</v>
      </c>
      <c r="M1373" s="9">
        <v>5.0999999999999997E-2</v>
      </c>
      <c r="N1373" s="15">
        <v>7</v>
      </c>
      <c r="O1373" t="s">
        <v>27</v>
      </c>
      <c r="P1373" t="s">
        <v>27</v>
      </c>
      <c r="Q1373" s="24">
        <v>0</v>
      </c>
      <c r="R1373" s="5">
        <f t="shared" si="126"/>
        <v>581.08921643835617</v>
      </c>
      <c r="S1373" s="5">
        <f t="shared" si="127"/>
        <v>36.820882191780825</v>
      </c>
      <c r="T1373" s="5">
        <f t="shared" si="128"/>
        <v>544.26833424657536</v>
      </c>
      <c r="U1373" s="15">
        <f t="shared" si="129"/>
        <v>38</v>
      </c>
      <c r="V1373" s="3">
        <f t="shared" si="130"/>
        <v>0</v>
      </c>
      <c r="W1373" s="3">
        <f t="shared" si="131"/>
        <v>1278</v>
      </c>
    </row>
    <row r="1374" spans="1:23" x14ac:dyDescent="0.2">
      <c r="A1374" t="s">
        <v>429</v>
      </c>
      <c r="B1374" t="s">
        <v>430</v>
      </c>
      <c r="C1374" t="s">
        <v>41</v>
      </c>
      <c r="D1374" t="s">
        <v>48</v>
      </c>
      <c r="E1374" t="s">
        <v>56</v>
      </c>
      <c r="F1374" s="7">
        <v>22445214</v>
      </c>
      <c r="G1374" t="s">
        <v>892</v>
      </c>
      <c r="H1374" s="5">
        <v>39684</v>
      </c>
      <c r="I1374" s="12">
        <v>45871</v>
      </c>
      <c r="J1374" s="15">
        <v>60</v>
      </c>
      <c r="K1374" s="15">
        <v>5</v>
      </c>
      <c r="L1374" s="9">
        <v>8.4000000000000005E-2</v>
      </c>
      <c r="M1374" s="9">
        <v>4.7800000000000002E-2</v>
      </c>
      <c r="N1374" s="15">
        <v>10</v>
      </c>
      <c r="O1374" t="s">
        <v>27</v>
      </c>
      <c r="P1374" t="s">
        <v>27</v>
      </c>
      <c r="Q1374" s="24">
        <v>0</v>
      </c>
      <c r="R1374" s="5">
        <f t="shared" si="126"/>
        <v>547.96536986301373</v>
      </c>
      <c r="S1374" s="5">
        <f t="shared" si="127"/>
        <v>51.969731506849314</v>
      </c>
      <c r="T1374" s="5">
        <f t="shared" si="128"/>
        <v>495.99563835616442</v>
      </c>
      <c r="U1374" s="15">
        <f t="shared" si="129"/>
        <v>50</v>
      </c>
      <c r="V1374" s="3">
        <f t="shared" si="130"/>
        <v>0</v>
      </c>
      <c r="W1374" s="3">
        <f t="shared" si="131"/>
        <v>1278</v>
      </c>
    </row>
    <row r="1375" spans="1:23" x14ac:dyDescent="0.2">
      <c r="A1375" t="s">
        <v>142</v>
      </c>
      <c r="B1375" t="s">
        <v>143</v>
      </c>
      <c r="C1375" t="s">
        <v>36</v>
      </c>
      <c r="D1375" t="s">
        <v>66</v>
      </c>
      <c r="E1375" t="s">
        <v>49</v>
      </c>
      <c r="F1375" s="7">
        <v>735440</v>
      </c>
      <c r="G1375" t="s">
        <v>894</v>
      </c>
      <c r="H1375" s="5">
        <v>98235</v>
      </c>
      <c r="I1375" s="12">
        <v>46014</v>
      </c>
      <c r="J1375" s="15">
        <v>60</v>
      </c>
      <c r="K1375" s="15">
        <v>3</v>
      </c>
      <c r="L1375" s="9">
        <v>0.13020000000000001</v>
      </c>
      <c r="M1375" s="9">
        <v>4.6699999999999998E-2</v>
      </c>
      <c r="N1375" s="15">
        <v>8</v>
      </c>
      <c r="O1375" t="s">
        <v>27</v>
      </c>
      <c r="P1375" t="s">
        <v>27</v>
      </c>
      <c r="Q1375" s="24">
        <v>0</v>
      </c>
      <c r="R1375" s="5">
        <f t="shared" si="126"/>
        <v>2102.4981369863012</v>
      </c>
      <c r="S1375" s="5">
        <f t="shared" si="127"/>
        <v>100.54957808219177</v>
      </c>
      <c r="T1375" s="5">
        <f t="shared" si="128"/>
        <v>2001.9485589041094</v>
      </c>
      <c r="U1375" s="15">
        <f t="shared" si="129"/>
        <v>52</v>
      </c>
      <c r="V1375" s="3">
        <f t="shared" si="130"/>
        <v>0</v>
      </c>
      <c r="W1375" s="3">
        <f t="shared" si="131"/>
        <v>1278</v>
      </c>
    </row>
    <row r="1376" spans="1:23" x14ac:dyDescent="0.2">
      <c r="A1376" t="s">
        <v>837</v>
      </c>
      <c r="B1376" t="s">
        <v>838</v>
      </c>
      <c r="C1376" t="s">
        <v>77</v>
      </c>
      <c r="D1376" t="s">
        <v>32</v>
      </c>
      <c r="E1376" t="s">
        <v>25</v>
      </c>
      <c r="F1376" s="7">
        <v>6051605</v>
      </c>
      <c r="G1376" t="s">
        <v>898</v>
      </c>
      <c r="H1376" s="5">
        <v>75115</v>
      </c>
      <c r="I1376" s="12">
        <v>46056</v>
      </c>
      <c r="J1376" s="15">
        <v>90</v>
      </c>
      <c r="K1376" s="15">
        <v>2</v>
      </c>
      <c r="L1376" s="9">
        <v>0.11310000000000001</v>
      </c>
      <c r="M1376" s="9">
        <v>4.7800000000000002E-2</v>
      </c>
      <c r="N1376" s="15">
        <v>10</v>
      </c>
      <c r="O1376" t="s">
        <v>27</v>
      </c>
      <c r="P1376" t="s">
        <v>27</v>
      </c>
      <c r="Q1376" s="24">
        <v>0</v>
      </c>
      <c r="R1376" s="5">
        <f t="shared" si="126"/>
        <v>2094.7824246575346</v>
      </c>
      <c r="S1376" s="5">
        <f t="shared" si="127"/>
        <v>98.369780821917814</v>
      </c>
      <c r="T1376" s="5">
        <f t="shared" si="128"/>
        <v>1996.4126438356168</v>
      </c>
      <c r="U1376" s="15">
        <f t="shared" si="129"/>
        <v>80</v>
      </c>
      <c r="V1376" s="3">
        <f t="shared" si="130"/>
        <v>0</v>
      </c>
      <c r="W1376" s="3">
        <f t="shared" si="131"/>
        <v>1278</v>
      </c>
    </row>
    <row r="1377" spans="1:23" x14ac:dyDescent="0.2">
      <c r="A1377" t="s">
        <v>163</v>
      </c>
      <c r="B1377" t="s">
        <v>164</v>
      </c>
      <c r="C1377" t="s">
        <v>77</v>
      </c>
      <c r="D1377" t="s">
        <v>66</v>
      </c>
      <c r="E1377" t="s">
        <v>25</v>
      </c>
      <c r="F1377" s="7">
        <v>4709015</v>
      </c>
      <c r="G1377" t="s">
        <v>904</v>
      </c>
      <c r="H1377" s="5">
        <v>22074</v>
      </c>
      <c r="I1377" s="12">
        <v>45665</v>
      </c>
      <c r="J1377" s="15">
        <v>90</v>
      </c>
      <c r="K1377" s="15">
        <v>4</v>
      </c>
      <c r="L1377" s="9">
        <v>0.121</v>
      </c>
      <c r="M1377" s="9">
        <v>0.05</v>
      </c>
      <c r="N1377" s="15">
        <v>10</v>
      </c>
      <c r="O1377" t="s">
        <v>27</v>
      </c>
      <c r="P1377" t="s">
        <v>27</v>
      </c>
      <c r="Q1377" s="24">
        <v>0</v>
      </c>
      <c r="R1377" s="5">
        <f t="shared" si="126"/>
        <v>658.59139726027388</v>
      </c>
      <c r="S1377" s="5">
        <f t="shared" si="127"/>
        <v>30.238356164383561</v>
      </c>
      <c r="T1377" s="5">
        <f t="shared" si="128"/>
        <v>628.35304109589038</v>
      </c>
      <c r="U1377" s="15">
        <f t="shared" si="129"/>
        <v>80</v>
      </c>
      <c r="V1377" s="3">
        <f t="shared" si="130"/>
        <v>0</v>
      </c>
      <c r="W1377" s="3">
        <f t="shared" si="131"/>
        <v>1278</v>
      </c>
    </row>
    <row r="1378" spans="1:23" x14ac:dyDescent="0.2">
      <c r="A1378" t="s">
        <v>151</v>
      </c>
      <c r="B1378" t="s">
        <v>131</v>
      </c>
      <c r="C1378" t="s">
        <v>77</v>
      </c>
      <c r="D1378" t="s">
        <v>66</v>
      </c>
      <c r="E1378" t="s">
        <v>49</v>
      </c>
      <c r="F1378" s="7">
        <v>1106462</v>
      </c>
      <c r="G1378" t="s">
        <v>917</v>
      </c>
      <c r="H1378" s="5">
        <v>36217</v>
      </c>
      <c r="I1378" s="12">
        <v>45985</v>
      </c>
      <c r="J1378" s="15">
        <v>90</v>
      </c>
      <c r="K1378" s="15">
        <v>10</v>
      </c>
      <c r="L1378" s="9">
        <v>0.1328</v>
      </c>
      <c r="M1378" s="9">
        <v>4.87E-2</v>
      </c>
      <c r="N1378" s="15">
        <v>7</v>
      </c>
      <c r="O1378" t="s">
        <v>27</v>
      </c>
      <c r="P1378" t="s">
        <v>27</v>
      </c>
      <c r="Q1378" s="24">
        <v>0</v>
      </c>
      <c r="R1378" s="5">
        <f t="shared" si="126"/>
        <v>1185.9331068493152</v>
      </c>
      <c r="S1378" s="5">
        <f t="shared" si="127"/>
        <v>33.825685753424658</v>
      </c>
      <c r="T1378" s="5">
        <f t="shared" si="128"/>
        <v>1152.1074210958905</v>
      </c>
      <c r="U1378" s="15">
        <f t="shared" si="129"/>
        <v>83</v>
      </c>
      <c r="V1378" s="3">
        <f t="shared" si="130"/>
        <v>0</v>
      </c>
      <c r="W1378" s="3">
        <f t="shared" si="131"/>
        <v>1278</v>
      </c>
    </row>
    <row r="1379" spans="1:23" x14ac:dyDescent="0.2">
      <c r="A1379" t="s">
        <v>236</v>
      </c>
      <c r="B1379" t="s">
        <v>204</v>
      </c>
      <c r="C1379" t="s">
        <v>41</v>
      </c>
      <c r="D1379" t="s">
        <v>66</v>
      </c>
      <c r="E1379" t="s">
        <v>25</v>
      </c>
      <c r="F1379" s="7">
        <v>2121447</v>
      </c>
      <c r="G1379" t="s">
        <v>943</v>
      </c>
      <c r="H1379" s="5">
        <v>39277</v>
      </c>
      <c r="I1379" s="12">
        <v>45900</v>
      </c>
      <c r="J1379" s="15">
        <v>45</v>
      </c>
      <c r="K1379" s="15">
        <v>3</v>
      </c>
      <c r="L1379" s="9">
        <v>0.11890000000000001</v>
      </c>
      <c r="M1379" s="9">
        <v>4.7300000000000002E-2</v>
      </c>
      <c r="N1379" s="15">
        <v>6</v>
      </c>
      <c r="O1379" t="s">
        <v>27</v>
      </c>
      <c r="P1379" t="s">
        <v>27</v>
      </c>
      <c r="Q1379" s="24">
        <v>0</v>
      </c>
      <c r="R1379" s="5">
        <f t="shared" si="126"/>
        <v>575.75777671232879</v>
      </c>
      <c r="S1379" s="5">
        <f t="shared" si="127"/>
        <v>30.539212602739724</v>
      </c>
      <c r="T1379" s="5">
        <f t="shared" si="128"/>
        <v>545.21856410958912</v>
      </c>
      <c r="U1379" s="15">
        <f t="shared" si="129"/>
        <v>39</v>
      </c>
      <c r="V1379" s="3">
        <f t="shared" si="130"/>
        <v>0</v>
      </c>
      <c r="W1379" s="3">
        <f t="shared" si="131"/>
        <v>1278</v>
      </c>
    </row>
    <row r="1380" spans="1:23" x14ac:dyDescent="0.2">
      <c r="A1380" t="s">
        <v>130</v>
      </c>
      <c r="B1380" t="s">
        <v>131</v>
      </c>
      <c r="C1380" t="s">
        <v>36</v>
      </c>
      <c r="D1380" t="s">
        <v>48</v>
      </c>
      <c r="E1380" t="s">
        <v>56</v>
      </c>
      <c r="F1380" s="7">
        <v>10372464</v>
      </c>
      <c r="G1380" t="s">
        <v>948</v>
      </c>
      <c r="H1380" s="5">
        <v>40922</v>
      </c>
      <c r="I1380" s="12">
        <v>45890</v>
      </c>
      <c r="J1380" s="15">
        <v>30</v>
      </c>
      <c r="K1380" s="15">
        <v>7</v>
      </c>
      <c r="L1380" s="9">
        <v>8.77E-2</v>
      </c>
      <c r="M1380" s="9">
        <v>5.4699999999999999E-2</v>
      </c>
      <c r="N1380" s="15">
        <v>8</v>
      </c>
      <c r="O1380" t="s">
        <v>28</v>
      </c>
      <c r="P1380" t="s">
        <v>27</v>
      </c>
      <c r="Q1380" s="24">
        <v>0</v>
      </c>
      <c r="R1380" s="5">
        <f t="shared" si="126"/>
        <v>294.97474520547939</v>
      </c>
      <c r="S1380" s="5">
        <f t="shared" si="127"/>
        <v>49.061553972602738</v>
      </c>
      <c r="T1380" s="5">
        <f t="shared" si="128"/>
        <v>245.91319123287667</v>
      </c>
      <c r="U1380" s="15">
        <f t="shared" si="129"/>
        <v>22</v>
      </c>
      <c r="V1380" s="3">
        <f t="shared" si="130"/>
        <v>0</v>
      </c>
      <c r="W1380" s="3">
        <f t="shared" si="131"/>
        <v>1278</v>
      </c>
    </row>
    <row r="1381" spans="1:23" x14ac:dyDescent="0.2">
      <c r="A1381" t="s">
        <v>582</v>
      </c>
      <c r="B1381" t="s">
        <v>76</v>
      </c>
      <c r="C1381" t="s">
        <v>36</v>
      </c>
      <c r="D1381" t="s">
        <v>37</v>
      </c>
      <c r="E1381" t="s">
        <v>49</v>
      </c>
      <c r="F1381" s="7">
        <v>1336236</v>
      </c>
      <c r="G1381" t="s">
        <v>949</v>
      </c>
      <c r="H1381" s="5">
        <v>35338</v>
      </c>
      <c r="I1381" s="12">
        <v>45761</v>
      </c>
      <c r="J1381" s="15">
        <v>60</v>
      </c>
      <c r="K1381" s="15">
        <v>3</v>
      </c>
      <c r="L1381" s="9">
        <v>0.14249999999999999</v>
      </c>
      <c r="M1381" s="9">
        <v>5.4199999999999998E-2</v>
      </c>
      <c r="N1381" s="15">
        <v>6</v>
      </c>
      <c r="O1381" t="s">
        <v>27</v>
      </c>
      <c r="P1381" t="s">
        <v>27</v>
      </c>
      <c r="Q1381" s="24">
        <v>0</v>
      </c>
      <c r="R1381" s="5">
        <f t="shared" si="126"/>
        <v>827.7805479452054</v>
      </c>
      <c r="S1381" s="5">
        <f t="shared" si="127"/>
        <v>31.484705753424656</v>
      </c>
      <c r="T1381" s="5">
        <f t="shared" si="128"/>
        <v>796.29584219178071</v>
      </c>
      <c r="U1381" s="15">
        <f t="shared" si="129"/>
        <v>54</v>
      </c>
      <c r="V1381" s="3">
        <f t="shared" si="130"/>
        <v>0</v>
      </c>
      <c r="W1381" s="3">
        <f t="shared" si="131"/>
        <v>1278</v>
      </c>
    </row>
    <row r="1382" spans="1:23" x14ac:dyDescent="0.2">
      <c r="A1382" t="s">
        <v>334</v>
      </c>
      <c r="B1382" t="s">
        <v>335</v>
      </c>
      <c r="C1382" t="s">
        <v>23</v>
      </c>
      <c r="D1382" t="s">
        <v>66</v>
      </c>
      <c r="E1382" t="s">
        <v>49</v>
      </c>
      <c r="F1382" s="7">
        <v>1475965</v>
      </c>
      <c r="G1382" t="s">
        <v>950</v>
      </c>
      <c r="H1382" s="5">
        <v>56025</v>
      </c>
      <c r="I1382" s="12">
        <v>45892</v>
      </c>
      <c r="J1382" s="15">
        <v>45</v>
      </c>
      <c r="K1382" s="15">
        <v>10</v>
      </c>
      <c r="L1382" s="9">
        <v>0.14000000000000001</v>
      </c>
      <c r="M1382" s="9">
        <v>5.6399999999999999E-2</v>
      </c>
      <c r="N1382" s="15">
        <v>7</v>
      </c>
      <c r="O1382" t="s">
        <v>28</v>
      </c>
      <c r="P1382" t="s">
        <v>27</v>
      </c>
      <c r="Q1382" s="24">
        <v>0</v>
      </c>
      <c r="R1382" s="5">
        <f t="shared" si="126"/>
        <v>967.00684931506851</v>
      </c>
      <c r="S1382" s="5">
        <f t="shared" si="127"/>
        <v>60.599095890410958</v>
      </c>
      <c r="T1382" s="5">
        <f t="shared" si="128"/>
        <v>906.40775342465759</v>
      </c>
      <c r="U1382" s="15">
        <f t="shared" si="129"/>
        <v>38</v>
      </c>
      <c r="V1382" s="3">
        <f t="shared" si="130"/>
        <v>0</v>
      </c>
      <c r="W1382" s="3">
        <f t="shared" si="131"/>
        <v>1278</v>
      </c>
    </row>
    <row r="1383" spans="1:23" x14ac:dyDescent="0.2">
      <c r="A1383" t="s">
        <v>377</v>
      </c>
      <c r="B1383" t="s">
        <v>378</v>
      </c>
      <c r="C1383" t="s">
        <v>31</v>
      </c>
      <c r="D1383" t="s">
        <v>48</v>
      </c>
      <c r="E1383" t="s">
        <v>25</v>
      </c>
      <c r="F1383" s="7">
        <v>3293043</v>
      </c>
      <c r="G1383" t="s">
        <v>958</v>
      </c>
      <c r="H1383" s="5">
        <v>86760</v>
      </c>
      <c r="I1383" s="12">
        <v>45865</v>
      </c>
      <c r="J1383" s="15">
        <v>60</v>
      </c>
      <c r="K1383" s="15">
        <v>2</v>
      </c>
      <c r="L1383" s="9">
        <v>0.13320000000000001</v>
      </c>
      <c r="M1383" s="9">
        <v>6.4500000000000002E-2</v>
      </c>
      <c r="N1383" s="15">
        <v>8</v>
      </c>
      <c r="O1383" t="s">
        <v>27</v>
      </c>
      <c r="P1383" t="s">
        <v>27</v>
      </c>
      <c r="Q1383" s="24">
        <v>0</v>
      </c>
      <c r="R1383" s="5">
        <f t="shared" si="126"/>
        <v>1899.6874520547944</v>
      </c>
      <c r="S1383" s="5">
        <f t="shared" si="127"/>
        <v>122.65249315068495</v>
      </c>
      <c r="T1383" s="5">
        <f t="shared" si="128"/>
        <v>1777.0349589041095</v>
      </c>
      <c r="U1383" s="15">
        <f t="shared" si="129"/>
        <v>52</v>
      </c>
      <c r="V1383" s="3">
        <f t="shared" si="130"/>
        <v>0</v>
      </c>
      <c r="W1383" s="3">
        <f t="shared" si="131"/>
        <v>1278</v>
      </c>
    </row>
    <row r="1384" spans="1:23" x14ac:dyDescent="0.2">
      <c r="A1384" t="s">
        <v>247</v>
      </c>
      <c r="B1384" t="s">
        <v>47</v>
      </c>
      <c r="C1384" t="s">
        <v>31</v>
      </c>
      <c r="D1384" t="s">
        <v>48</v>
      </c>
      <c r="E1384" t="s">
        <v>49</v>
      </c>
      <c r="F1384" s="7">
        <v>1089809</v>
      </c>
      <c r="G1384" t="s">
        <v>964</v>
      </c>
      <c r="H1384" s="5">
        <v>88037</v>
      </c>
      <c r="I1384" s="12">
        <v>45915</v>
      </c>
      <c r="J1384" s="15">
        <v>90</v>
      </c>
      <c r="K1384" s="15">
        <v>10</v>
      </c>
      <c r="L1384" s="9">
        <v>0.16689999999999999</v>
      </c>
      <c r="M1384" s="9">
        <v>4.9200000000000001E-2</v>
      </c>
      <c r="N1384" s="15">
        <v>6</v>
      </c>
      <c r="O1384" t="s">
        <v>27</v>
      </c>
      <c r="P1384" t="s">
        <v>27</v>
      </c>
      <c r="Q1384" s="24">
        <v>0</v>
      </c>
      <c r="R1384" s="5">
        <f t="shared" si="126"/>
        <v>3623.0240465753423</v>
      </c>
      <c r="S1384" s="5">
        <f t="shared" si="127"/>
        <v>71.201431232876701</v>
      </c>
      <c r="T1384" s="5">
        <f t="shared" si="128"/>
        <v>3551.8226153424657</v>
      </c>
      <c r="U1384" s="15">
        <f t="shared" si="129"/>
        <v>84</v>
      </c>
      <c r="V1384" s="3">
        <f t="shared" si="130"/>
        <v>0</v>
      </c>
      <c r="W1384" s="3">
        <f t="shared" si="131"/>
        <v>1278</v>
      </c>
    </row>
    <row r="1385" spans="1:23" x14ac:dyDescent="0.2">
      <c r="A1385" t="s">
        <v>308</v>
      </c>
      <c r="B1385" t="s">
        <v>309</v>
      </c>
      <c r="C1385" t="s">
        <v>31</v>
      </c>
      <c r="D1385" t="s">
        <v>24</v>
      </c>
      <c r="E1385" t="s">
        <v>49</v>
      </c>
      <c r="F1385" s="7">
        <v>1224427</v>
      </c>
      <c r="G1385" t="s">
        <v>978</v>
      </c>
      <c r="H1385" s="5">
        <v>74116</v>
      </c>
      <c r="I1385" s="12">
        <v>45831</v>
      </c>
      <c r="J1385" s="15">
        <v>90</v>
      </c>
      <c r="K1385" s="15">
        <v>7</v>
      </c>
      <c r="L1385" s="9">
        <v>0.15670000000000001</v>
      </c>
      <c r="M1385" s="9">
        <v>5.8299999999999998E-2</v>
      </c>
      <c r="N1385" s="15">
        <v>10</v>
      </c>
      <c r="O1385" t="s">
        <v>27</v>
      </c>
      <c r="P1385" t="s">
        <v>27</v>
      </c>
      <c r="Q1385" s="24">
        <v>0</v>
      </c>
      <c r="R1385" s="5">
        <f t="shared" si="126"/>
        <v>2863.720405479452</v>
      </c>
      <c r="S1385" s="5">
        <f t="shared" si="127"/>
        <v>118.38254246575343</v>
      </c>
      <c r="T1385" s="5">
        <f t="shared" si="128"/>
        <v>2745.3378630136986</v>
      </c>
      <c r="U1385" s="15">
        <f t="shared" si="129"/>
        <v>80</v>
      </c>
      <c r="V1385" s="3">
        <f t="shared" si="130"/>
        <v>0</v>
      </c>
      <c r="W1385" s="3">
        <f t="shared" si="131"/>
        <v>1278</v>
      </c>
    </row>
    <row r="1386" spans="1:23" x14ac:dyDescent="0.2">
      <c r="A1386" t="s">
        <v>117</v>
      </c>
      <c r="B1386" t="s">
        <v>118</v>
      </c>
      <c r="C1386" t="s">
        <v>77</v>
      </c>
      <c r="D1386" t="s">
        <v>32</v>
      </c>
      <c r="E1386" t="s">
        <v>25</v>
      </c>
      <c r="F1386" s="7">
        <v>6024640</v>
      </c>
      <c r="G1386" t="s">
        <v>993</v>
      </c>
      <c r="H1386" s="5">
        <v>102869</v>
      </c>
      <c r="I1386" s="12">
        <v>45840</v>
      </c>
      <c r="J1386" s="15">
        <v>45</v>
      </c>
      <c r="K1386" s="15">
        <v>3</v>
      </c>
      <c r="L1386" s="9">
        <v>0.13769999999999999</v>
      </c>
      <c r="M1386" s="9">
        <v>4.6100000000000002E-2</v>
      </c>
      <c r="N1386" s="15">
        <v>7</v>
      </c>
      <c r="O1386" t="s">
        <v>27</v>
      </c>
      <c r="P1386" t="s">
        <v>27</v>
      </c>
      <c r="Q1386" s="24">
        <v>0</v>
      </c>
      <c r="R1386" s="5">
        <f t="shared" si="126"/>
        <v>1746.3774205479451</v>
      </c>
      <c r="S1386" s="5">
        <f t="shared" si="127"/>
        <v>90.947469315068503</v>
      </c>
      <c r="T1386" s="5">
        <f t="shared" si="128"/>
        <v>1655.4299512328766</v>
      </c>
      <c r="U1386" s="15">
        <f t="shared" si="129"/>
        <v>38</v>
      </c>
      <c r="V1386" s="3">
        <f t="shared" si="130"/>
        <v>0</v>
      </c>
      <c r="W1386" s="3">
        <f t="shared" si="131"/>
        <v>1278</v>
      </c>
    </row>
    <row r="1387" spans="1:23" x14ac:dyDescent="0.2">
      <c r="A1387" t="s">
        <v>580</v>
      </c>
      <c r="B1387" t="s">
        <v>76</v>
      </c>
      <c r="C1387" t="s">
        <v>77</v>
      </c>
      <c r="D1387" t="s">
        <v>66</v>
      </c>
      <c r="E1387" t="s">
        <v>49</v>
      </c>
      <c r="F1387" s="7">
        <v>959016</v>
      </c>
      <c r="G1387" t="s">
        <v>1007</v>
      </c>
      <c r="H1387" s="5">
        <v>82402</v>
      </c>
      <c r="I1387" s="12">
        <v>45901</v>
      </c>
      <c r="J1387" s="15">
        <v>30</v>
      </c>
      <c r="K1387" s="15">
        <v>10</v>
      </c>
      <c r="L1387" s="9">
        <v>0.1115</v>
      </c>
      <c r="M1387" s="9">
        <v>4.7E-2</v>
      </c>
      <c r="N1387" s="15">
        <v>6</v>
      </c>
      <c r="O1387" t="s">
        <v>27</v>
      </c>
      <c r="P1387" t="s">
        <v>27</v>
      </c>
      <c r="Q1387" s="24">
        <v>0</v>
      </c>
      <c r="R1387" s="5">
        <f t="shared" si="126"/>
        <v>755.1635342465753</v>
      </c>
      <c r="S1387" s="5">
        <f t="shared" si="127"/>
        <v>63.664010958904107</v>
      </c>
      <c r="T1387" s="5">
        <f t="shared" si="128"/>
        <v>691.4995232876712</v>
      </c>
      <c r="U1387" s="15">
        <f t="shared" si="129"/>
        <v>24</v>
      </c>
      <c r="V1387" s="3">
        <f t="shared" si="130"/>
        <v>0</v>
      </c>
      <c r="W1387" s="3">
        <f t="shared" si="131"/>
        <v>1278</v>
      </c>
    </row>
    <row r="1388" spans="1:23" x14ac:dyDescent="0.2">
      <c r="A1388" t="s">
        <v>362</v>
      </c>
      <c r="B1388" t="s">
        <v>363</v>
      </c>
      <c r="C1388" t="s">
        <v>31</v>
      </c>
      <c r="D1388" t="s">
        <v>66</v>
      </c>
      <c r="E1388" t="s">
        <v>25</v>
      </c>
      <c r="F1388" s="7">
        <v>3573998</v>
      </c>
      <c r="G1388" t="s">
        <v>1012</v>
      </c>
      <c r="H1388" s="5">
        <v>21123</v>
      </c>
      <c r="I1388" s="12">
        <v>45909</v>
      </c>
      <c r="J1388" s="15">
        <v>90</v>
      </c>
      <c r="K1388" s="15">
        <v>5</v>
      </c>
      <c r="L1388" s="9">
        <v>0.13200000000000001</v>
      </c>
      <c r="M1388" s="9">
        <v>6.3799999999999996E-2</v>
      </c>
      <c r="N1388" s="15">
        <v>7</v>
      </c>
      <c r="O1388" t="s">
        <v>28</v>
      </c>
      <c r="P1388" t="s">
        <v>27</v>
      </c>
      <c r="Q1388" s="24">
        <v>0</v>
      </c>
      <c r="R1388" s="5">
        <f t="shared" si="126"/>
        <v>687.51024657534253</v>
      </c>
      <c r="S1388" s="5">
        <f t="shared" si="127"/>
        <v>25.845292602739725</v>
      </c>
      <c r="T1388" s="5">
        <f t="shared" si="128"/>
        <v>661.6649539726028</v>
      </c>
      <c r="U1388" s="15">
        <f t="shared" si="129"/>
        <v>83</v>
      </c>
      <c r="V1388" s="3">
        <f t="shared" si="130"/>
        <v>0</v>
      </c>
      <c r="W1388" s="3">
        <f t="shared" si="131"/>
        <v>1278</v>
      </c>
    </row>
    <row r="1389" spans="1:23" x14ac:dyDescent="0.2">
      <c r="A1389" t="s">
        <v>133</v>
      </c>
      <c r="B1389" t="s">
        <v>134</v>
      </c>
      <c r="C1389" t="s">
        <v>36</v>
      </c>
      <c r="D1389" t="s">
        <v>24</v>
      </c>
      <c r="E1389" t="s">
        <v>25</v>
      </c>
      <c r="F1389" s="7">
        <v>6056843</v>
      </c>
      <c r="G1389" t="s">
        <v>1020</v>
      </c>
      <c r="H1389" s="5">
        <v>46296</v>
      </c>
      <c r="I1389" s="12">
        <v>45718</v>
      </c>
      <c r="J1389" s="15">
        <v>60</v>
      </c>
      <c r="K1389" s="15">
        <v>7</v>
      </c>
      <c r="L1389" s="9">
        <v>0.12520000000000001</v>
      </c>
      <c r="M1389" s="9">
        <v>5.5899999999999998E-2</v>
      </c>
      <c r="N1389" s="15">
        <v>5</v>
      </c>
      <c r="O1389" t="s">
        <v>27</v>
      </c>
      <c r="P1389" t="s">
        <v>27</v>
      </c>
      <c r="Q1389" s="24">
        <v>0</v>
      </c>
      <c r="R1389" s="5">
        <f t="shared" si="126"/>
        <v>952.80973150684929</v>
      </c>
      <c r="S1389" s="5">
        <f t="shared" si="127"/>
        <v>35.451320547945201</v>
      </c>
      <c r="T1389" s="5">
        <f t="shared" si="128"/>
        <v>917.35841095890407</v>
      </c>
      <c r="U1389" s="15">
        <f t="shared" si="129"/>
        <v>55</v>
      </c>
      <c r="V1389" s="3">
        <f t="shared" si="130"/>
        <v>0</v>
      </c>
      <c r="W1389" s="3">
        <f t="shared" si="131"/>
        <v>1278</v>
      </c>
    </row>
    <row r="1390" spans="1:23" x14ac:dyDescent="0.2">
      <c r="A1390" t="s">
        <v>608</v>
      </c>
      <c r="B1390" t="s">
        <v>609</v>
      </c>
      <c r="C1390" t="s">
        <v>77</v>
      </c>
      <c r="D1390" t="s">
        <v>48</v>
      </c>
      <c r="E1390" t="s">
        <v>56</v>
      </c>
      <c r="F1390" s="7">
        <v>24905394</v>
      </c>
      <c r="G1390" t="s">
        <v>1025</v>
      </c>
      <c r="H1390" s="5">
        <v>89393</v>
      </c>
      <c r="I1390" s="12">
        <v>45832</v>
      </c>
      <c r="J1390" s="15">
        <v>30</v>
      </c>
      <c r="K1390" s="15">
        <v>4</v>
      </c>
      <c r="L1390" s="9">
        <v>8.5199999999999998E-2</v>
      </c>
      <c r="M1390" s="9">
        <v>5.1999999999999998E-2</v>
      </c>
      <c r="N1390" s="15">
        <v>10</v>
      </c>
      <c r="O1390" t="s">
        <v>28</v>
      </c>
      <c r="P1390" t="s">
        <v>27</v>
      </c>
      <c r="Q1390" s="24">
        <v>0</v>
      </c>
      <c r="R1390" s="5">
        <f t="shared" si="126"/>
        <v>625.99591232876708</v>
      </c>
      <c r="S1390" s="5">
        <f t="shared" si="127"/>
        <v>127.3544109589041</v>
      </c>
      <c r="T1390" s="5">
        <f t="shared" si="128"/>
        <v>498.64150136986297</v>
      </c>
      <c r="U1390" s="15">
        <f t="shared" si="129"/>
        <v>20</v>
      </c>
      <c r="V1390" s="3">
        <f t="shared" si="130"/>
        <v>0</v>
      </c>
      <c r="W1390" s="3">
        <f t="shared" si="131"/>
        <v>1278</v>
      </c>
    </row>
    <row r="1391" spans="1:23" x14ac:dyDescent="0.2">
      <c r="A1391" t="s">
        <v>201</v>
      </c>
      <c r="B1391" t="s">
        <v>76</v>
      </c>
      <c r="C1391" t="s">
        <v>23</v>
      </c>
      <c r="D1391" t="s">
        <v>37</v>
      </c>
      <c r="E1391" t="s">
        <v>56</v>
      </c>
      <c r="F1391" s="7">
        <v>21198154</v>
      </c>
      <c r="G1391" t="s">
        <v>1028</v>
      </c>
      <c r="H1391" s="5">
        <v>82571</v>
      </c>
      <c r="I1391" s="12">
        <v>45794</v>
      </c>
      <c r="J1391" s="15">
        <v>60</v>
      </c>
      <c r="K1391" s="15">
        <v>5</v>
      </c>
      <c r="L1391" s="9">
        <v>0.1086</v>
      </c>
      <c r="M1391" s="9">
        <v>5.8200000000000002E-2</v>
      </c>
      <c r="N1391" s="15">
        <v>8</v>
      </c>
      <c r="O1391" t="s">
        <v>27</v>
      </c>
      <c r="P1391" t="s">
        <v>27</v>
      </c>
      <c r="Q1391" s="24">
        <v>0</v>
      </c>
      <c r="R1391" s="5">
        <f t="shared" si="126"/>
        <v>1474.0620164383561</v>
      </c>
      <c r="S1391" s="5">
        <f t="shared" si="127"/>
        <v>105.32892493150685</v>
      </c>
      <c r="T1391" s="5">
        <f t="shared" si="128"/>
        <v>1368.7330915068492</v>
      </c>
      <c r="U1391" s="15">
        <f t="shared" si="129"/>
        <v>52</v>
      </c>
      <c r="V1391" s="3">
        <f t="shared" si="130"/>
        <v>0</v>
      </c>
      <c r="W1391" s="3">
        <f t="shared" si="131"/>
        <v>1278</v>
      </c>
    </row>
    <row r="1392" spans="1:23" x14ac:dyDescent="0.2">
      <c r="A1392" t="s">
        <v>103</v>
      </c>
      <c r="B1392" t="s">
        <v>62</v>
      </c>
      <c r="C1392" t="s">
        <v>31</v>
      </c>
      <c r="D1392" t="s">
        <v>37</v>
      </c>
      <c r="E1392" t="s">
        <v>25</v>
      </c>
      <c r="F1392" s="7">
        <v>3948313</v>
      </c>
      <c r="G1392" t="s">
        <v>1032</v>
      </c>
      <c r="H1392" s="5">
        <v>18230</v>
      </c>
      <c r="I1392" s="12">
        <v>46025</v>
      </c>
      <c r="J1392" s="15">
        <v>45</v>
      </c>
      <c r="K1392" s="15">
        <v>7</v>
      </c>
      <c r="L1392" s="9">
        <v>0.1154</v>
      </c>
      <c r="M1392" s="9">
        <v>5.2999999999999999E-2</v>
      </c>
      <c r="N1392" s="15">
        <v>6</v>
      </c>
      <c r="O1392" t="s">
        <v>27</v>
      </c>
      <c r="P1392" t="s">
        <v>27</v>
      </c>
      <c r="Q1392" s="24">
        <v>0</v>
      </c>
      <c r="R1392" s="5">
        <f t="shared" si="126"/>
        <v>259.3654520547945</v>
      </c>
      <c r="S1392" s="5">
        <f t="shared" si="127"/>
        <v>15.882575342465751</v>
      </c>
      <c r="T1392" s="5">
        <f t="shared" si="128"/>
        <v>243.48287671232876</v>
      </c>
      <c r="U1392" s="15">
        <f t="shared" si="129"/>
        <v>39</v>
      </c>
      <c r="V1392" s="3">
        <f t="shared" si="130"/>
        <v>0</v>
      </c>
      <c r="W1392" s="3">
        <f t="shared" si="131"/>
        <v>1278</v>
      </c>
    </row>
    <row r="1393" spans="1:23" x14ac:dyDescent="0.2">
      <c r="A1393" t="s">
        <v>163</v>
      </c>
      <c r="B1393" t="s">
        <v>164</v>
      </c>
      <c r="C1393" t="s">
        <v>77</v>
      </c>
      <c r="D1393" t="s">
        <v>66</v>
      </c>
      <c r="E1393" t="s">
        <v>25</v>
      </c>
      <c r="F1393" s="7">
        <v>4709015</v>
      </c>
      <c r="G1393" t="s">
        <v>1047</v>
      </c>
      <c r="H1393" s="5">
        <v>69602</v>
      </c>
      <c r="I1393" s="12">
        <v>45820</v>
      </c>
      <c r="J1393" s="15">
        <v>60</v>
      </c>
      <c r="K1393" s="15">
        <v>7</v>
      </c>
      <c r="L1393" s="9">
        <v>0.121</v>
      </c>
      <c r="M1393" s="9">
        <v>4.6100000000000002E-2</v>
      </c>
      <c r="N1393" s="15">
        <v>10</v>
      </c>
      <c r="O1393" t="s">
        <v>27</v>
      </c>
      <c r="P1393" t="s">
        <v>27</v>
      </c>
      <c r="Q1393" s="24">
        <v>0</v>
      </c>
      <c r="R1393" s="5">
        <f t="shared" si="126"/>
        <v>1384.4123835616438</v>
      </c>
      <c r="S1393" s="5">
        <f t="shared" si="127"/>
        <v>87.908279452054785</v>
      </c>
      <c r="T1393" s="5">
        <f t="shared" si="128"/>
        <v>1296.504104109589</v>
      </c>
      <c r="U1393" s="15">
        <f t="shared" si="129"/>
        <v>50</v>
      </c>
      <c r="V1393" s="3">
        <f t="shared" si="130"/>
        <v>0</v>
      </c>
      <c r="W1393" s="3">
        <f t="shared" si="131"/>
        <v>1278</v>
      </c>
    </row>
    <row r="1394" spans="1:23" x14ac:dyDescent="0.2">
      <c r="A1394" t="s">
        <v>474</v>
      </c>
      <c r="B1394" t="s">
        <v>207</v>
      </c>
      <c r="C1394" t="s">
        <v>31</v>
      </c>
      <c r="D1394" t="s">
        <v>37</v>
      </c>
      <c r="E1394" t="s">
        <v>25</v>
      </c>
      <c r="F1394" s="7">
        <v>4395110</v>
      </c>
      <c r="G1394" t="s">
        <v>1048</v>
      </c>
      <c r="H1394" s="5">
        <v>83531</v>
      </c>
      <c r="I1394" s="12">
        <v>45843</v>
      </c>
      <c r="J1394" s="15">
        <v>60</v>
      </c>
      <c r="K1394" s="15">
        <v>10</v>
      </c>
      <c r="L1394" s="9">
        <v>0.1066</v>
      </c>
      <c r="M1394" s="9">
        <v>4.99E-2</v>
      </c>
      <c r="N1394" s="15">
        <v>7</v>
      </c>
      <c r="O1394" t="s">
        <v>27</v>
      </c>
      <c r="P1394" t="s">
        <v>27</v>
      </c>
      <c r="Q1394" s="24">
        <v>0</v>
      </c>
      <c r="R1394" s="5">
        <f t="shared" si="126"/>
        <v>1463.7377424657534</v>
      </c>
      <c r="S1394" s="5">
        <f t="shared" si="127"/>
        <v>79.938022739726037</v>
      </c>
      <c r="T1394" s="5">
        <f t="shared" si="128"/>
        <v>1383.7997197260274</v>
      </c>
      <c r="U1394" s="15">
        <f t="shared" si="129"/>
        <v>53</v>
      </c>
      <c r="V1394" s="3">
        <f t="shared" si="130"/>
        <v>0</v>
      </c>
      <c r="W1394" s="3">
        <f t="shared" si="131"/>
        <v>1278</v>
      </c>
    </row>
    <row r="1395" spans="1:23" x14ac:dyDescent="0.2">
      <c r="A1395" t="s">
        <v>61</v>
      </c>
      <c r="B1395" t="s">
        <v>62</v>
      </c>
      <c r="C1395" t="s">
        <v>31</v>
      </c>
      <c r="D1395" t="s">
        <v>48</v>
      </c>
      <c r="E1395" t="s">
        <v>25</v>
      </c>
      <c r="F1395" s="7">
        <v>3350013</v>
      </c>
      <c r="G1395" t="s">
        <v>1051</v>
      </c>
      <c r="H1395" s="5">
        <v>69986</v>
      </c>
      <c r="I1395" s="12">
        <v>46045</v>
      </c>
      <c r="J1395" s="15">
        <v>60</v>
      </c>
      <c r="K1395" s="15">
        <v>5</v>
      </c>
      <c r="L1395" s="9">
        <v>0.1144</v>
      </c>
      <c r="M1395" s="9">
        <v>6.3600000000000004E-2</v>
      </c>
      <c r="N1395" s="15">
        <v>7</v>
      </c>
      <c r="O1395" t="s">
        <v>27</v>
      </c>
      <c r="P1395" t="s">
        <v>27</v>
      </c>
      <c r="Q1395" s="24">
        <v>0</v>
      </c>
      <c r="R1395" s="5">
        <f t="shared" si="126"/>
        <v>1316.1202849315068</v>
      </c>
      <c r="S1395" s="5">
        <f t="shared" si="127"/>
        <v>85.363745753424681</v>
      </c>
      <c r="T1395" s="5">
        <f t="shared" si="128"/>
        <v>1230.7565391780822</v>
      </c>
      <c r="U1395" s="15">
        <f t="shared" si="129"/>
        <v>53</v>
      </c>
      <c r="V1395" s="3">
        <f t="shared" si="130"/>
        <v>0</v>
      </c>
      <c r="W1395" s="3">
        <f t="shared" si="131"/>
        <v>1278</v>
      </c>
    </row>
    <row r="1396" spans="1:23" x14ac:dyDescent="0.2">
      <c r="A1396" t="s">
        <v>648</v>
      </c>
      <c r="B1396" t="s">
        <v>204</v>
      </c>
      <c r="C1396" t="s">
        <v>36</v>
      </c>
      <c r="D1396" t="s">
        <v>37</v>
      </c>
      <c r="E1396" t="s">
        <v>49</v>
      </c>
      <c r="F1396" s="7">
        <v>1076320</v>
      </c>
      <c r="G1396" t="s">
        <v>1061</v>
      </c>
      <c r="H1396" s="5">
        <v>66328</v>
      </c>
      <c r="I1396" s="12">
        <v>45943</v>
      </c>
      <c r="J1396" s="15">
        <v>60</v>
      </c>
      <c r="K1396" s="15">
        <v>5</v>
      </c>
      <c r="L1396" s="9">
        <v>0.15140000000000001</v>
      </c>
      <c r="M1396" s="9">
        <v>6.25E-2</v>
      </c>
      <c r="N1396" s="15">
        <v>10</v>
      </c>
      <c r="O1396" t="s">
        <v>28</v>
      </c>
      <c r="P1396" t="s">
        <v>27</v>
      </c>
      <c r="Q1396" s="24">
        <v>0</v>
      </c>
      <c r="R1396" s="5">
        <f t="shared" si="126"/>
        <v>1650.7494575342464</v>
      </c>
      <c r="S1396" s="5">
        <f t="shared" si="127"/>
        <v>113.57534246575342</v>
      </c>
      <c r="T1396" s="5">
        <f t="shared" si="128"/>
        <v>1537.1741150684929</v>
      </c>
      <c r="U1396" s="15">
        <f t="shared" si="129"/>
        <v>50</v>
      </c>
      <c r="V1396" s="3">
        <f t="shared" si="130"/>
        <v>0</v>
      </c>
      <c r="W1396" s="3">
        <f t="shared" si="131"/>
        <v>1278</v>
      </c>
    </row>
    <row r="1397" spans="1:23" x14ac:dyDescent="0.2">
      <c r="A1397" t="s">
        <v>396</v>
      </c>
      <c r="B1397" t="s">
        <v>397</v>
      </c>
      <c r="C1397" t="s">
        <v>77</v>
      </c>
      <c r="D1397" t="s">
        <v>66</v>
      </c>
      <c r="E1397" t="s">
        <v>49</v>
      </c>
      <c r="F1397" s="7">
        <v>1043844</v>
      </c>
      <c r="G1397" t="s">
        <v>1069</v>
      </c>
      <c r="H1397" s="5">
        <v>108482</v>
      </c>
      <c r="I1397" s="12">
        <v>45899</v>
      </c>
      <c r="J1397" s="15">
        <v>60</v>
      </c>
      <c r="K1397" s="15">
        <v>2</v>
      </c>
      <c r="L1397" s="9">
        <v>0.11550000000000001</v>
      </c>
      <c r="M1397" s="9">
        <v>4.6899999999999997E-2</v>
      </c>
      <c r="N1397" s="15">
        <v>5</v>
      </c>
      <c r="O1397" t="s">
        <v>28</v>
      </c>
      <c r="P1397" t="s">
        <v>27</v>
      </c>
      <c r="Q1397" s="24">
        <v>0</v>
      </c>
      <c r="R1397" s="5">
        <f t="shared" si="126"/>
        <v>2059.6719452054795</v>
      </c>
      <c r="S1397" s="5">
        <f t="shared" si="127"/>
        <v>69.695969863013701</v>
      </c>
      <c r="T1397" s="5">
        <f t="shared" si="128"/>
        <v>1989.9759753424657</v>
      </c>
      <c r="U1397" s="15">
        <f t="shared" si="129"/>
        <v>55</v>
      </c>
      <c r="V1397" s="3">
        <f t="shared" si="130"/>
        <v>0</v>
      </c>
      <c r="W1397" s="3">
        <f t="shared" si="131"/>
        <v>1278</v>
      </c>
    </row>
    <row r="1398" spans="1:23" x14ac:dyDescent="0.2">
      <c r="A1398" t="s">
        <v>382</v>
      </c>
      <c r="B1398" t="s">
        <v>383</v>
      </c>
      <c r="C1398" t="s">
        <v>41</v>
      </c>
      <c r="D1398" t="s">
        <v>32</v>
      </c>
      <c r="E1398" t="s">
        <v>25</v>
      </c>
      <c r="F1398" s="7">
        <v>3772612</v>
      </c>
      <c r="G1398" t="s">
        <v>1071</v>
      </c>
      <c r="H1398" s="5">
        <v>78131</v>
      </c>
      <c r="I1398" s="12">
        <v>45679</v>
      </c>
      <c r="J1398" s="15">
        <v>60</v>
      </c>
      <c r="K1398" s="15">
        <v>4</v>
      </c>
      <c r="L1398" s="9">
        <v>0.1053</v>
      </c>
      <c r="M1398" s="9">
        <v>6.4600000000000005E-2</v>
      </c>
      <c r="N1398" s="15">
        <v>7</v>
      </c>
      <c r="O1398" t="s">
        <v>28</v>
      </c>
      <c r="P1398" t="s">
        <v>27</v>
      </c>
      <c r="Q1398" s="24">
        <v>0</v>
      </c>
      <c r="R1398" s="5">
        <f t="shared" si="126"/>
        <v>1352.415501369863</v>
      </c>
      <c r="S1398" s="5">
        <f t="shared" si="127"/>
        <v>96.79681698630138</v>
      </c>
      <c r="T1398" s="5">
        <f t="shared" si="128"/>
        <v>1255.6186843835617</v>
      </c>
      <c r="U1398" s="15">
        <f t="shared" si="129"/>
        <v>53</v>
      </c>
      <c r="V1398" s="3">
        <f t="shared" si="130"/>
        <v>0</v>
      </c>
      <c r="W1398" s="3">
        <f t="shared" si="131"/>
        <v>1278</v>
      </c>
    </row>
    <row r="1399" spans="1:23" x14ac:dyDescent="0.2">
      <c r="A1399" t="s">
        <v>43</v>
      </c>
      <c r="B1399" t="s">
        <v>44</v>
      </c>
      <c r="C1399" t="s">
        <v>23</v>
      </c>
      <c r="D1399" t="s">
        <v>24</v>
      </c>
      <c r="E1399" t="s">
        <v>25</v>
      </c>
      <c r="F1399" s="7">
        <v>2577026</v>
      </c>
      <c r="G1399" t="s">
        <v>1079</v>
      </c>
      <c r="H1399" s="5">
        <v>78681</v>
      </c>
      <c r="I1399" s="12">
        <v>45660</v>
      </c>
      <c r="J1399" s="15">
        <v>60</v>
      </c>
      <c r="K1399" s="15">
        <v>7</v>
      </c>
      <c r="L1399" s="9">
        <v>0.123</v>
      </c>
      <c r="M1399" s="9">
        <v>6.2799999999999995E-2</v>
      </c>
      <c r="N1399" s="15">
        <v>10</v>
      </c>
      <c r="O1399" t="s">
        <v>28</v>
      </c>
      <c r="P1399" t="s">
        <v>27</v>
      </c>
      <c r="Q1399" s="24">
        <v>0</v>
      </c>
      <c r="R1399" s="5">
        <f t="shared" si="126"/>
        <v>1590.8651506849312</v>
      </c>
      <c r="S1399" s="5">
        <f t="shared" si="127"/>
        <v>135.37443287671232</v>
      </c>
      <c r="T1399" s="5">
        <f t="shared" si="128"/>
        <v>1455.490717808219</v>
      </c>
      <c r="U1399" s="15">
        <f t="shared" si="129"/>
        <v>50</v>
      </c>
      <c r="V1399" s="3">
        <f t="shared" si="130"/>
        <v>0</v>
      </c>
      <c r="W1399" s="3">
        <f t="shared" si="131"/>
        <v>1278</v>
      </c>
    </row>
    <row r="1400" spans="1:23" x14ac:dyDescent="0.2">
      <c r="A1400" t="s">
        <v>654</v>
      </c>
      <c r="B1400" t="s">
        <v>110</v>
      </c>
      <c r="C1400" t="s">
        <v>23</v>
      </c>
      <c r="D1400" t="s">
        <v>66</v>
      </c>
      <c r="E1400" t="s">
        <v>25</v>
      </c>
      <c r="F1400" s="7">
        <v>6809493</v>
      </c>
      <c r="G1400" t="s">
        <v>1081</v>
      </c>
      <c r="H1400" s="5">
        <v>15402</v>
      </c>
      <c r="I1400" s="12">
        <v>45823</v>
      </c>
      <c r="J1400" s="15">
        <v>45</v>
      </c>
      <c r="K1400" s="15">
        <v>10</v>
      </c>
      <c r="L1400" s="9">
        <v>0.121</v>
      </c>
      <c r="M1400" s="9">
        <v>4.7399999999999998E-2</v>
      </c>
      <c r="N1400" s="15">
        <v>7</v>
      </c>
      <c r="O1400" t="s">
        <v>27</v>
      </c>
      <c r="P1400" t="s">
        <v>27</v>
      </c>
      <c r="Q1400" s="24">
        <v>0</v>
      </c>
      <c r="R1400" s="5">
        <f t="shared" si="126"/>
        <v>229.76408219178083</v>
      </c>
      <c r="S1400" s="5">
        <f t="shared" si="127"/>
        <v>14.001050958904111</v>
      </c>
      <c r="T1400" s="5">
        <f t="shared" si="128"/>
        <v>215.76303123287673</v>
      </c>
      <c r="U1400" s="15">
        <f t="shared" si="129"/>
        <v>38</v>
      </c>
      <c r="V1400" s="3">
        <f t="shared" si="130"/>
        <v>0</v>
      </c>
      <c r="W1400" s="3">
        <f t="shared" si="131"/>
        <v>1278</v>
      </c>
    </row>
    <row r="1401" spans="1:23" x14ac:dyDescent="0.2">
      <c r="A1401" t="s">
        <v>654</v>
      </c>
      <c r="B1401" t="s">
        <v>110</v>
      </c>
      <c r="C1401" t="s">
        <v>23</v>
      </c>
      <c r="D1401" t="s">
        <v>66</v>
      </c>
      <c r="E1401" t="s">
        <v>25</v>
      </c>
      <c r="F1401" s="7">
        <v>6809493</v>
      </c>
      <c r="G1401" t="s">
        <v>1082</v>
      </c>
      <c r="H1401" s="5">
        <v>32155</v>
      </c>
      <c r="I1401" s="12">
        <v>45962</v>
      </c>
      <c r="J1401" s="15">
        <v>30</v>
      </c>
      <c r="K1401" s="15">
        <v>5</v>
      </c>
      <c r="L1401" s="9">
        <v>0.121</v>
      </c>
      <c r="M1401" s="9">
        <v>6.1600000000000002E-2</v>
      </c>
      <c r="N1401" s="15">
        <v>8</v>
      </c>
      <c r="O1401" t="s">
        <v>27</v>
      </c>
      <c r="P1401" t="s">
        <v>27</v>
      </c>
      <c r="Q1401" s="24">
        <v>0</v>
      </c>
      <c r="R1401" s="5">
        <f t="shared" si="126"/>
        <v>319.7880821917808</v>
      </c>
      <c r="S1401" s="5">
        <f t="shared" si="127"/>
        <v>43.413654794520546</v>
      </c>
      <c r="T1401" s="5">
        <f t="shared" si="128"/>
        <v>276.37442739726026</v>
      </c>
      <c r="U1401" s="15">
        <f t="shared" si="129"/>
        <v>22</v>
      </c>
      <c r="V1401" s="3">
        <f t="shared" si="130"/>
        <v>0</v>
      </c>
      <c r="W1401" s="3">
        <f t="shared" si="131"/>
        <v>1278</v>
      </c>
    </row>
    <row r="1402" spans="1:23" x14ac:dyDescent="0.2">
      <c r="A1402" t="s">
        <v>160</v>
      </c>
      <c r="B1402" t="s">
        <v>161</v>
      </c>
      <c r="C1402" t="s">
        <v>23</v>
      </c>
      <c r="D1402" t="s">
        <v>66</v>
      </c>
      <c r="E1402" t="s">
        <v>56</v>
      </c>
      <c r="F1402" s="7">
        <v>8479307</v>
      </c>
      <c r="G1402" t="s">
        <v>1085</v>
      </c>
      <c r="H1402" s="5">
        <v>90943</v>
      </c>
      <c r="I1402" s="12">
        <v>45703</v>
      </c>
      <c r="J1402" s="15">
        <v>60</v>
      </c>
      <c r="K1402" s="15">
        <v>5</v>
      </c>
      <c r="L1402" s="9">
        <v>7.0099999999999996E-2</v>
      </c>
      <c r="M1402" s="9">
        <v>5.0099999999999999E-2</v>
      </c>
      <c r="N1402" s="15">
        <v>6</v>
      </c>
      <c r="O1402" t="s">
        <v>27</v>
      </c>
      <c r="P1402" t="s">
        <v>27</v>
      </c>
      <c r="Q1402" s="24">
        <v>0</v>
      </c>
      <c r="R1402" s="5">
        <f t="shared" si="126"/>
        <v>1047.9623506849314</v>
      </c>
      <c r="S1402" s="5">
        <f t="shared" si="127"/>
        <v>74.897166575342467</v>
      </c>
      <c r="T1402" s="5">
        <f t="shared" si="128"/>
        <v>973.06518410958893</v>
      </c>
      <c r="U1402" s="15">
        <f t="shared" si="129"/>
        <v>54</v>
      </c>
      <c r="V1402" s="3">
        <f t="shared" si="130"/>
        <v>0</v>
      </c>
      <c r="W1402" s="3">
        <f t="shared" si="131"/>
        <v>1278</v>
      </c>
    </row>
    <row r="1403" spans="1:23" x14ac:dyDescent="0.2">
      <c r="A1403" t="s">
        <v>472</v>
      </c>
      <c r="B1403" t="s">
        <v>164</v>
      </c>
      <c r="C1403" t="s">
        <v>31</v>
      </c>
      <c r="D1403" t="s">
        <v>37</v>
      </c>
      <c r="E1403" t="s">
        <v>25</v>
      </c>
      <c r="F1403" s="7">
        <v>5598489</v>
      </c>
      <c r="G1403" t="s">
        <v>1091</v>
      </c>
      <c r="H1403" s="5">
        <v>23006</v>
      </c>
      <c r="I1403" s="12">
        <v>46008</v>
      </c>
      <c r="J1403" s="15">
        <v>45</v>
      </c>
      <c r="K1403" s="15">
        <v>5</v>
      </c>
      <c r="L1403" s="9">
        <v>0.1178</v>
      </c>
      <c r="M1403" s="9">
        <v>4.6600000000000003E-2</v>
      </c>
      <c r="N1403" s="15">
        <v>8</v>
      </c>
      <c r="O1403" t="s">
        <v>27</v>
      </c>
      <c r="P1403" t="s">
        <v>27</v>
      </c>
      <c r="Q1403" s="24">
        <v>0</v>
      </c>
      <c r="R1403" s="5">
        <f t="shared" si="126"/>
        <v>334.12275616438353</v>
      </c>
      <c r="S1403" s="5">
        <f t="shared" si="127"/>
        <v>23.497635068493153</v>
      </c>
      <c r="T1403" s="5">
        <f t="shared" si="128"/>
        <v>310.62512109589039</v>
      </c>
      <c r="U1403" s="15">
        <f t="shared" si="129"/>
        <v>37</v>
      </c>
      <c r="V1403" s="3">
        <f t="shared" si="130"/>
        <v>0</v>
      </c>
      <c r="W1403" s="3">
        <f t="shared" si="131"/>
        <v>1278</v>
      </c>
    </row>
    <row r="1404" spans="1:23" x14ac:dyDescent="0.2">
      <c r="A1404" t="s">
        <v>203</v>
      </c>
      <c r="B1404" t="s">
        <v>204</v>
      </c>
      <c r="C1404" t="s">
        <v>23</v>
      </c>
      <c r="D1404" t="s">
        <v>24</v>
      </c>
      <c r="E1404" t="s">
        <v>25</v>
      </c>
      <c r="F1404" s="7">
        <v>1716971</v>
      </c>
      <c r="G1404" t="s">
        <v>1107</v>
      </c>
      <c r="H1404" s="5">
        <v>107185</v>
      </c>
      <c r="I1404" s="12">
        <v>45831</v>
      </c>
      <c r="J1404" s="15">
        <v>45</v>
      </c>
      <c r="K1404" s="15">
        <v>4</v>
      </c>
      <c r="L1404" s="9">
        <v>9.4600000000000004E-2</v>
      </c>
      <c r="M1404" s="9">
        <v>5.3800000000000001E-2</v>
      </c>
      <c r="N1404" s="15">
        <v>10</v>
      </c>
      <c r="O1404" t="s">
        <v>28</v>
      </c>
      <c r="P1404" t="s">
        <v>27</v>
      </c>
      <c r="Q1404" s="24">
        <v>0</v>
      </c>
      <c r="R1404" s="5">
        <f t="shared" si="126"/>
        <v>1250.1001232876713</v>
      </c>
      <c r="S1404" s="5">
        <f t="shared" si="127"/>
        <v>157.98775342465751</v>
      </c>
      <c r="T1404" s="5">
        <f t="shared" si="128"/>
        <v>1092.1123698630138</v>
      </c>
      <c r="U1404" s="15">
        <f t="shared" si="129"/>
        <v>35</v>
      </c>
      <c r="V1404" s="3">
        <f t="shared" si="130"/>
        <v>0</v>
      </c>
      <c r="W1404" s="3">
        <f t="shared" si="131"/>
        <v>1278</v>
      </c>
    </row>
    <row r="1405" spans="1:23" x14ac:dyDescent="0.2">
      <c r="A1405" t="s">
        <v>386</v>
      </c>
      <c r="B1405" t="s">
        <v>387</v>
      </c>
      <c r="C1405" t="s">
        <v>31</v>
      </c>
      <c r="D1405" t="s">
        <v>37</v>
      </c>
      <c r="E1405" t="s">
        <v>25</v>
      </c>
      <c r="F1405" s="7">
        <v>5617789</v>
      </c>
      <c r="G1405" t="s">
        <v>1114</v>
      </c>
      <c r="H1405" s="5">
        <v>91205</v>
      </c>
      <c r="I1405" s="12">
        <v>46044</v>
      </c>
      <c r="J1405" s="15">
        <v>60</v>
      </c>
      <c r="K1405" s="15">
        <v>10</v>
      </c>
      <c r="L1405" s="9">
        <v>9.5100000000000004E-2</v>
      </c>
      <c r="M1405" s="9">
        <v>4.5999999999999999E-2</v>
      </c>
      <c r="N1405" s="15">
        <v>8</v>
      </c>
      <c r="O1405" t="s">
        <v>27</v>
      </c>
      <c r="P1405" t="s">
        <v>27</v>
      </c>
      <c r="Q1405" s="24">
        <v>0</v>
      </c>
      <c r="R1405" s="5">
        <f t="shared" si="126"/>
        <v>1425.7965205479454</v>
      </c>
      <c r="S1405" s="5">
        <f t="shared" si="127"/>
        <v>91.95463013698631</v>
      </c>
      <c r="T1405" s="5">
        <f t="shared" si="128"/>
        <v>1333.8418904109592</v>
      </c>
      <c r="U1405" s="15">
        <f t="shared" si="129"/>
        <v>52</v>
      </c>
      <c r="V1405" s="3">
        <f t="shared" si="130"/>
        <v>0</v>
      </c>
      <c r="W1405" s="3">
        <f t="shared" si="131"/>
        <v>1278</v>
      </c>
    </row>
    <row r="1406" spans="1:23" x14ac:dyDescent="0.2">
      <c r="A1406" t="s">
        <v>72</v>
      </c>
      <c r="B1406" t="s">
        <v>73</v>
      </c>
      <c r="C1406" t="s">
        <v>31</v>
      </c>
      <c r="D1406" t="s">
        <v>32</v>
      </c>
      <c r="E1406" t="s">
        <v>56</v>
      </c>
      <c r="F1406" s="7">
        <v>21625874</v>
      </c>
      <c r="G1406" t="s">
        <v>1120</v>
      </c>
      <c r="H1406" s="5">
        <v>41908</v>
      </c>
      <c r="I1406" s="12">
        <v>45922</v>
      </c>
      <c r="J1406" s="15">
        <v>45</v>
      </c>
      <c r="K1406" s="15">
        <v>5</v>
      </c>
      <c r="L1406" s="9">
        <v>9.5399999999999999E-2</v>
      </c>
      <c r="M1406" s="9">
        <v>5.33E-2</v>
      </c>
      <c r="N1406" s="15">
        <v>8</v>
      </c>
      <c r="O1406" t="s">
        <v>27</v>
      </c>
      <c r="P1406" t="s">
        <v>27</v>
      </c>
      <c r="Q1406" s="24">
        <v>0</v>
      </c>
      <c r="R1406" s="5">
        <f t="shared" si="126"/>
        <v>492.90696986301367</v>
      </c>
      <c r="S1406" s="5">
        <f t="shared" si="127"/>
        <v>48.957729315068491</v>
      </c>
      <c r="T1406" s="5">
        <f t="shared" si="128"/>
        <v>443.94924054794518</v>
      </c>
      <c r="U1406" s="15">
        <f t="shared" si="129"/>
        <v>37</v>
      </c>
      <c r="V1406" s="3">
        <f t="shared" si="130"/>
        <v>0</v>
      </c>
      <c r="W1406" s="3">
        <f t="shared" si="131"/>
        <v>1278</v>
      </c>
    </row>
    <row r="1407" spans="1:23" x14ac:dyDescent="0.2">
      <c r="A1407" t="s">
        <v>411</v>
      </c>
      <c r="B1407" t="s">
        <v>412</v>
      </c>
      <c r="C1407" t="s">
        <v>31</v>
      </c>
      <c r="D1407" t="s">
        <v>66</v>
      </c>
      <c r="E1407" t="s">
        <v>25</v>
      </c>
      <c r="F1407" s="7">
        <v>2416616</v>
      </c>
      <c r="G1407" t="s">
        <v>1128</v>
      </c>
      <c r="H1407" s="5">
        <v>84323</v>
      </c>
      <c r="I1407" s="12">
        <v>45934</v>
      </c>
      <c r="J1407" s="15">
        <v>60</v>
      </c>
      <c r="K1407" s="15">
        <v>4</v>
      </c>
      <c r="L1407" s="9">
        <v>0.1024</v>
      </c>
      <c r="M1407" s="9">
        <v>6.0100000000000001E-2</v>
      </c>
      <c r="N1407" s="15">
        <v>6</v>
      </c>
      <c r="O1407" t="s">
        <v>28</v>
      </c>
      <c r="P1407" t="s">
        <v>27</v>
      </c>
      <c r="Q1407" s="24">
        <v>0</v>
      </c>
      <c r="R1407" s="5">
        <f t="shared" si="126"/>
        <v>1419.3986630136985</v>
      </c>
      <c r="S1407" s="5">
        <f t="shared" si="127"/>
        <v>83.306503561643837</v>
      </c>
      <c r="T1407" s="5">
        <f t="shared" si="128"/>
        <v>1336.0921594520546</v>
      </c>
      <c r="U1407" s="15">
        <f t="shared" si="129"/>
        <v>54</v>
      </c>
      <c r="V1407" s="3">
        <f t="shared" si="130"/>
        <v>0</v>
      </c>
      <c r="W1407" s="3">
        <f t="shared" si="131"/>
        <v>1278</v>
      </c>
    </row>
    <row r="1408" spans="1:23" x14ac:dyDescent="0.2">
      <c r="A1408" t="s">
        <v>334</v>
      </c>
      <c r="B1408" t="s">
        <v>335</v>
      </c>
      <c r="C1408" t="s">
        <v>23</v>
      </c>
      <c r="D1408" t="s">
        <v>66</v>
      </c>
      <c r="E1408" t="s">
        <v>49</v>
      </c>
      <c r="F1408" s="7">
        <v>1475965</v>
      </c>
      <c r="G1408" t="s">
        <v>1131</v>
      </c>
      <c r="H1408" s="5">
        <v>56430</v>
      </c>
      <c r="I1408" s="12">
        <v>45998</v>
      </c>
      <c r="J1408" s="15">
        <v>90</v>
      </c>
      <c r="K1408" s="15">
        <v>10</v>
      </c>
      <c r="L1408" s="9">
        <v>0.14000000000000001</v>
      </c>
      <c r="M1408" s="9">
        <v>6.4799999999999996E-2</v>
      </c>
      <c r="N1408" s="15">
        <v>10</v>
      </c>
      <c r="O1408" t="s">
        <v>27</v>
      </c>
      <c r="P1408" t="s">
        <v>27</v>
      </c>
      <c r="Q1408" s="24">
        <v>0</v>
      </c>
      <c r="R1408" s="5">
        <f t="shared" si="126"/>
        <v>1947.9945205479453</v>
      </c>
      <c r="S1408" s="5">
        <f t="shared" si="127"/>
        <v>100.18257534246574</v>
      </c>
      <c r="T1408" s="5">
        <f t="shared" si="128"/>
        <v>1847.8119452054796</v>
      </c>
      <c r="U1408" s="15">
        <f t="shared" si="129"/>
        <v>80</v>
      </c>
      <c r="V1408" s="3">
        <f t="shared" si="130"/>
        <v>0</v>
      </c>
      <c r="W1408" s="3">
        <f t="shared" si="131"/>
        <v>1278</v>
      </c>
    </row>
    <row r="1409" spans="1:23" x14ac:dyDescent="0.2">
      <c r="A1409" t="s">
        <v>453</v>
      </c>
      <c r="B1409" t="s">
        <v>454</v>
      </c>
      <c r="C1409" t="s">
        <v>23</v>
      </c>
      <c r="D1409" t="s">
        <v>32</v>
      </c>
      <c r="E1409" t="s">
        <v>49</v>
      </c>
      <c r="F1409" s="7">
        <v>1410716</v>
      </c>
      <c r="G1409" t="s">
        <v>1140</v>
      </c>
      <c r="H1409" s="5">
        <v>50532</v>
      </c>
      <c r="I1409" s="12">
        <v>45814</v>
      </c>
      <c r="J1409" s="15">
        <v>60</v>
      </c>
      <c r="K1409" s="15">
        <v>3</v>
      </c>
      <c r="L1409" s="9">
        <v>0.1472</v>
      </c>
      <c r="M1409" s="9">
        <v>4.7800000000000002E-2</v>
      </c>
      <c r="N1409" s="15">
        <v>10</v>
      </c>
      <c r="O1409" t="s">
        <v>27</v>
      </c>
      <c r="P1409" t="s">
        <v>27</v>
      </c>
      <c r="Q1409" s="24">
        <v>0</v>
      </c>
      <c r="R1409" s="5">
        <f t="shared" si="126"/>
        <v>1222.7359561643837</v>
      </c>
      <c r="S1409" s="5">
        <f t="shared" si="127"/>
        <v>66.176153424657528</v>
      </c>
      <c r="T1409" s="5">
        <f t="shared" si="128"/>
        <v>1156.5598027397261</v>
      </c>
      <c r="U1409" s="15">
        <f t="shared" si="129"/>
        <v>50</v>
      </c>
      <c r="V1409" s="3">
        <f t="shared" si="130"/>
        <v>0</v>
      </c>
      <c r="W1409" s="3">
        <f t="shared" si="131"/>
        <v>1278</v>
      </c>
    </row>
    <row r="1410" spans="1:23" x14ac:dyDescent="0.2">
      <c r="A1410" t="s">
        <v>163</v>
      </c>
      <c r="B1410" t="s">
        <v>164</v>
      </c>
      <c r="C1410" t="s">
        <v>77</v>
      </c>
      <c r="D1410" t="s">
        <v>66</v>
      </c>
      <c r="E1410" t="s">
        <v>25</v>
      </c>
      <c r="F1410" s="7">
        <v>4709015</v>
      </c>
      <c r="G1410" t="s">
        <v>1146</v>
      </c>
      <c r="H1410" s="5">
        <v>104720</v>
      </c>
      <c r="I1410" s="12">
        <v>45935</v>
      </c>
      <c r="J1410" s="15">
        <v>60</v>
      </c>
      <c r="K1410" s="15">
        <v>10</v>
      </c>
      <c r="L1410" s="9">
        <v>0.121</v>
      </c>
      <c r="M1410" s="9">
        <v>4.7500000000000001E-2</v>
      </c>
      <c r="N1410" s="15">
        <v>10</v>
      </c>
      <c r="O1410" t="s">
        <v>28</v>
      </c>
      <c r="P1410" t="s">
        <v>27</v>
      </c>
      <c r="Q1410" s="24">
        <v>0</v>
      </c>
      <c r="R1410" s="5">
        <f t="shared" ref="R1410:R1473" si="132">H1410*L1410*(J1410/365)</f>
        <v>2082.9238356164383</v>
      </c>
      <c r="S1410" s="5">
        <f t="shared" ref="S1410:S1473" si="133">H1410*M1410*(N1410/365)</f>
        <v>136.27945205479452</v>
      </c>
      <c r="T1410" s="5">
        <f t="shared" ref="T1410:T1473" si="134">R1410-S1410</f>
        <v>1946.6443835616437</v>
      </c>
      <c r="U1410" s="15">
        <f t="shared" ref="U1410:U1473" si="135">J1410-N1410</f>
        <v>50</v>
      </c>
      <c r="V1410" s="3">
        <f t="shared" ref="V1410:V1473" si="136">Q1410*(L1410-M1410)*H1410</f>
        <v>0</v>
      </c>
      <c r="W1410" s="3">
        <f t="shared" ref="W1410:W1473" si="137">RANK(V1410,$V$2:$V$1501)</f>
        <v>1278</v>
      </c>
    </row>
    <row r="1411" spans="1:23" x14ac:dyDescent="0.2">
      <c r="A1411" t="s">
        <v>127</v>
      </c>
      <c r="B1411" t="s">
        <v>128</v>
      </c>
      <c r="C1411" t="s">
        <v>31</v>
      </c>
      <c r="D1411" t="s">
        <v>66</v>
      </c>
      <c r="E1411" t="s">
        <v>49</v>
      </c>
      <c r="F1411" s="7">
        <v>261628</v>
      </c>
      <c r="G1411" t="s">
        <v>1149</v>
      </c>
      <c r="H1411" s="5">
        <v>23094</v>
      </c>
      <c r="I1411" s="12">
        <v>45669</v>
      </c>
      <c r="J1411" s="15">
        <v>60</v>
      </c>
      <c r="K1411" s="15">
        <v>7</v>
      </c>
      <c r="L1411" s="9">
        <v>0.17249999999999999</v>
      </c>
      <c r="M1411" s="9">
        <v>5.1400000000000001E-2</v>
      </c>
      <c r="N1411" s="15">
        <v>10</v>
      </c>
      <c r="O1411" t="s">
        <v>28</v>
      </c>
      <c r="P1411" t="s">
        <v>27</v>
      </c>
      <c r="Q1411" s="24">
        <v>0</v>
      </c>
      <c r="R1411" s="5">
        <f t="shared" si="132"/>
        <v>654.85726027397254</v>
      </c>
      <c r="S1411" s="5">
        <f t="shared" si="133"/>
        <v>32.521413698630134</v>
      </c>
      <c r="T1411" s="5">
        <f t="shared" si="134"/>
        <v>622.33584657534243</v>
      </c>
      <c r="U1411" s="15">
        <f t="shared" si="135"/>
        <v>50</v>
      </c>
      <c r="V1411" s="3">
        <f t="shared" si="136"/>
        <v>0</v>
      </c>
      <c r="W1411" s="3">
        <f t="shared" si="137"/>
        <v>1278</v>
      </c>
    </row>
    <row r="1412" spans="1:23" x14ac:dyDescent="0.2">
      <c r="A1412" t="s">
        <v>580</v>
      </c>
      <c r="B1412" t="s">
        <v>76</v>
      </c>
      <c r="C1412" t="s">
        <v>77</v>
      </c>
      <c r="D1412" t="s">
        <v>66</v>
      </c>
      <c r="E1412" t="s">
        <v>49</v>
      </c>
      <c r="F1412" s="7">
        <v>959016</v>
      </c>
      <c r="G1412" t="s">
        <v>1151</v>
      </c>
      <c r="H1412" s="5">
        <v>83012</v>
      </c>
      <c r="I1412" s="12">
        <v>46005</v>
      </c>
      <c r="J1412" s="15">
        <v>45</v>
      </c>
      <c r="K1412" s="15">
        <v>3</v>
      </c>
      <c r="L1412" s="9">
        <v>0.1115</v>
      </c>
      <c r="M1412" s="9">
        <v>4.87E-2</v>
      </c>
      <c r="N1412" s="15">
        <v>5</v>
      </c>
      <c r="O1412" t="s">
        <v>28</v>
      </c>
      <c r="P1412" t="s">
        <v>27</v>
      </c>
      <c r="Q1412" s="24">
        <v>0</v>
      </c>
      <c r="R1412" s="5">
        <f t="shared" si="132"/>
        <v>1141.130712328767</v>
      </c>
      <c r="S1412" s="5">
        <f t="shared" si="133"/>
        <v>55.379238356164379</v>
      </c>
      <c r="T1412" s="5">
        <f t="shared" si="134"/>
        <v>1085.7514739726025</v>
      </c>
      <c r="U1412" s="15">
        <f t="shared" si="135"/>
        <v>40</v>
      </c>
      <c r="V1412" s="3">
        <f t="shared" si="136"/>
        <v>0</v>
      </c>
      <c r="W1412" s="3">
        <f t="shared" si="137"/>
        <v>1278</v>
      </c>
    </row>
    <row r="1413" spans="1:23" x14ac:dyDescent="0.2">
      <c r="A1413" t="s">
        <v>58</v>
      </c>
      <c r="B1413" t="s">
        <v>59</v>
      </c>
      <c r="C1413" t="s">
        <v>23</v>
      </c>
      <c r="D1413" t="s">
        <v>24</v>
      </c>
      <c r="E1413" t="s">
        <v>25</v>
      </c>
      <c r="F1413" s="7">
        <v>4269919</v>
      </c>
      <c r="G1413" t="s">
        <v>1156</v>
      </c>
      <c r="H1413" s="5">
        <v>28458</v>
      </c>
      <c r="I1413" s="12">
        <v>45849</v>
      </c>
      <c r="J1413" s="15">
        <v>60</v>
      </c>
      <c r="K1413" s="15">
        <v>5</v>
      </c>
      <c r="L1413" s="9">
        <v>0.1212</v>
      </c>
      <c r="M1413" s="9">
        <v>5.3900000000000003E-2</v>
      </c>
      <c r="N1413" s="15">
        <v>10</v>
      </c>
      <c r="O1413" t="s">
        <v>28</v>
      </c>
      <c r="P1413" t="s">
        <v>27</v>
      </c>
      <c r="Q1413" s="24">
        <v>0</v>
      </c>
      <c r="R1413" s="5">
        <f t="shared" si="132"/>
        <v>566.97692054794516</v>
      </c>
      <c r="S1413" s="5">
        <f t="shared" si="133"/>
        <v>42.024279452054799</v>
      </c>
      <c r="T1413" s="5">
        <f t="shared" si="134"/>
        <v>524.95264109589039</v>
      </c>
      <c r="U1413" s="15">
        <f t="shared" si="135"/>
        <v>50</v>
      </c>
      <c r="V1413" s="3">
        <f t="shared" si="136"/>
        <v>0</v>
      </c>
      <c r="W1413" s="3">
        <f t="shared" si="137"/>
        <v>1278</v>
      </c>
    </row>
    <row r="1414" spans="1:23" x14ac:dyDescent="0.2">
      <c r="A1414" t="s">
        <v>518</v>
      </c>
      <c r="B1414" t="s">
        <v>519</v>
      </c>
      <c r="C1414" t="s">
        <v>41</v>
      </c>
      <c r="D1414" t="s">
        <v>48</v>
      </c>
      <c r="E1414" t="s">
        <v>25</v>
      </c>
      <c r="F1414" s="7">
        <v>6967315</v>
      </c>
      <c r="G1414" t="s">
        <v>1158</v>
      </c>
      <c r="H1414" s="5">
        <v>72902</v>
      </c>
      <c r="I1414" s="12">
        <v>45904</v>
      </c>
      <c r="J1414" s="15">
        <v>90</v>
      </c>
      <c r="K1414" s="15">
        <v>7</v>
      </c>
      <c r="L1414" s="9">
        <v>9.1999999999999998E-2</v>
      </c>
      <c r="M1414" s="9">
        <v>5.0799999999999998E-2</v>
      </c>
      <c r="N1414" s="15">
        <v>6</v>
      </c>
      <c r="O1414" t="s">
        <v>28</v>
      </c>
      <c r="P1414" t="s">
        <v>27</v>
      </c>
      <c r="Q1414" s="24">
        <v>0</v>
      </c>
      <c r="R1414" s="5">
        <f t="shared" si="132"/>
        <v>1653.7768767123287</v>
      </c>
      <c r="S1414" s="5">
        <f t="shared" si="133"/>
        <v>60.878163287671221</v>
      </c>
      <c r="T1414" s="5">
        <f t="shared" si="134"/>
        <v>1592.8987134246574</v>
      </c>
      <c r="U1414" s="15">
        <f t="shared" si="135"/>
        <v>84</v>
      </c>
      <c r="V1414" s="3">
        <f t="shared" si="136"/>
        <v>0</v>
      </c>
      <c r="W1414" s="3">
        <f t="shared" si="137"/>
        <v>1278</v>
      </c>
    </row>
    <row r="1415" spans="1:23" x14ac:dyDescent="0.2">
      <c r="A1415" t="s">
        <v>711</v>
      </c>
      <c r="B1415" t="s">
        <v>190</v>
      </c>
      <c r="C1415" t="s">
        <v>77</v>
      </c>
      <c r="D1415" t="s">
        <v>37</v>
      </c>
      <c r="E1415" t="s">
        <v>49</v>
      </c>
      <c r="F1415" s="7">
        <v>407422</v>
      </c>
      <c r="G1415" t="s">
        <v>1166</v>
      </c>
      <c r="H1415" s="5">
        <v>62692</v>
      </c>
      <c r="I1415" s="12">
        <v>45885</v>
      </c>
      <c r="J1415" s="15">
        <v>45</v>
      </c>
      <c r="K1415" s="15">
        <v>10</v>
      </c>
      <c r="L1415" s="9">
        <v>0.121</v>
      </c>
      <c r="M1415" s="9">
        <v>6.4699999999999994E-2</v>
      </c>
      <c r="N1415" s="15">
        <v>5</v>
      </c>
      <c r="O1415" t="s">
        <v>27</v>
      </c>
      <c r="P1415" t="s">
        <v>27</v>
      </c>
      <c r="Q1415" s="24">
        <v>0</v>
      </c>
      <c r="R1415" s="5">
        <f t="shared" si="132"/>
        <v>935.22723287671226</v>
      </c>
      <c r="S1415" s="5">
        <f t="shared" si="133"/>
        <v>55.564005479452042</v>
      </c>
      <c r="T1415" s="5">
        <f t="shared" si="134"/>
        <v>879.66322739726024</v>
      </c>
      <c r="U1415" s="15">
        <f t="shared" si="135"/>
        <v>40</v>
      </c>
      <c r="V1415" s="3">
        <f t="shared" si="136"/>
        <v>0</v>
      </c>
      <c r="W1415" s="3">
        <f t="shared" si="137"/>
        <v>1278</v>
      </c>
    </row>
    <row r="1416" spans="1:23" x14ac:dyDescent="0.2">
      <c r="A1416" t="s">
        <v>133</v>
      </c>
      <c r="B1416" t="s">
        <v>134</v>
      </c>
      <c r="C1416" t="s">
        <v>36</v>
      </c>
      <c r="D1416" t="s">
        <v>24</v>
      </c>
      <c r="E1416" t="s">
        <v>25</v>
      </c>
      <c r="F1416" s="7">
        <v>6056843</v>
      </c>
      <c r="G1416" t="s">
        <v>1168</v>
      </c>
      <c r="H1416" s="5">
        <v>106084</v>
      </c>
      <c r="I1416" s="12">
        <v>46019</v>
      </c>
      <c r="J1416" s="15">
        <v>45</v>
      </c>
      <c r="K1416" s="15">
        <v>5</v>
      </c>
      <c r="L1416" s="9">
        <v>0.12520000000000001</v>
      </c>
      <c r="M1416" s="9">
        <v>6.4299999999999996E-2</v>
      </c>
      <c r="N1416" s="15">
        <v>5</v>
      </c>
      <c r="O1416" t="s">
        <v>27</v>
      </c>
      <c r="P1416" t="s">
        <v>27</v>
      </c>
      <c r="Q1416" s="24">
        <v>0</v>
      </c>
      <c r="R1416" s="5">
        <f t="shared" si="132"/>
        <v>1637.4719342465753</v>
      </c>
      <c r="S1416" s="5">
        <f t="shared" si="133"/>
        <v>93.441112328767105</v>
      </c>
      <c r="T1416" s="5">
        <f t="shared" si="134"/>
        <v>1544.0308219178082</v>
      </c>
      <c r="U1416" s="15">
        <f t="shared" si="135"/>
        <v>40</v>
      </c>
      <c r="V1416" s="3">
        <f t="shared" si="136"/>
        <v>0</v>
      </c>
      <c r="W1416" s="3">
        <f t="shared" si="137"/>
        <v>1278</v>
      </c>
    </row>
    <row r="1417" spans="1:23" x14ac:dyDescent="0.2">
      <c r="A1417" t="s">
        <v>263</v>
      </c>
      <c r="B1417" t="s">
        <v>264</v>
      </c>
      <c r="C1417" t="s">
        <v>77</v>
      </c>
      <c r="D1417" t="s">
        <v>24</v>
      </c>
      <c r="E1417" t="s">
        <v>25</v>
      </c>
      <c r="F1417" s="7">
        <v>4450767</v>
      </c>
      <c r="G1417" t="s">
        <v>1173</v>
      </c>
      <c r="H1417" s="5">
        <v>100224</v>
      </c>
      <c r="I1417" s="12">
        <v>45798</v>
      </c>
      <c r="J1417" s="15">
        <v>90</v>
      </c>
      <c r="K1417" s="15">
        <v>2</v>
      </c>
      <c r="L1417" s="9">
        <v>0.10489999999999999</v>
      </c>
      <c r="M1417" s="9">
        <v>6.2100000000000002E-2</v>
      </c>
      <c r="N1417" s="15">
        <v>7</v>
      </c>
      <c r="O1417" t="s">
        <v>27</v>
      </c>
      <c r="P1417" t="s">
        <v>27</v>
      </c>
      <c r="Q1417" s="24">
        <v>0</v>
      </c>
      <c r="R1417" s="5">
        <f t="shared" si="132"/>
        <v>2592.3692712328761</v>
      </c>
      <c r="S1417" s="5">
        <f t="shared" si="133"/>
        <v>119.36266520547947</v>
      </c>
      <c r="T1417" s="5">
        <f t="shared" si="134"/>
        <v>2473.0066060273966</v>
      </c>
      <c r="U1417" s="15">
        <f t="shared" si="135"/>
        <v>83</v>
      </c>
      <c r="V1417" s="3">
        <f t="shared" si="136"/>
        <v>0</v>
      </c>
      <c r="W1417" s="3">
        <f t="shared" si="137"/>
        <v>1278</v>
      </c>
    </row>
    <row r="1418" spans="1:23" x14ac:dyDescent="0.2">
      <c r="A1418" t="s">
        <v>366</v>
      </c>
      <c r="B1418" t="s">
        <v>367</v>
      </c>
      <c r="C1418" t="s">
        <v>41</v>
      </c>
      <c r="D1418" t="s">
        <v>37</v>
      </c>
      <c r="E1418" t="s">
        <v>56</v>
      </c>
      <c r="F1418" s="7">
        <v>13330124</v>
      </c>
      <c r="G1418" t="s">
        <v>1174</v>
      </c>
      <c r="H1418" s="5">
        <v>27953</v>
      </c>
      <c r="I1418" s="12">
        <v>45772</v>
      </c>
      <c r="J1418" s="15">
        <v>60</v>
      </c>
      <c r="K1418" s="15">
        <v>5</v>
      </c>
      <c r="L1418" s="9">
        <v>0.10920000000000001</v>
      </c>
      <c r="M1418" s="9">
        <v>5.4899999999999997E-2</v>
      </c>
      <c r="N1418" s="15">
        <v>10</v>
      </c>
      <c r="O1418" t="s">
        <v>27</v>
      </c>
      <c r="P1418" t="s">
        <v>27</v>
      </c>
      <c r="Q1418" s="24">
        <v>0</v>
      </c>
      <c r="R1418" s="5">
        <f t="shared" si="132"/>
        <v>501.77549589041092</v>
      </c>
      <c r="S1418" s="5">
        <f t="shared" si="133"/>
        <v>42.044375342465749</v>
      </c>
      <c r="T1418" s="5">
        <f t="shared" si="134"/>
        <v>459.73112054794518</v>
      </c>
      <c r="U1418" s="15">
        <f t="shared" si="135"/>
        <v>50</v>
      </c>
      <c r="V1418" s="3">
        <f t="shared" si="136"/>
        <v>0</v>
      </c>
      <c r="W1418" s="3">
        <f t="shared" si="137"/>
        <v>1278</v>
      </c>
    </row>
    <row r="1419" spans="1:23" x14ac:dyDescent="0.2">
      <c r="A1419" t="s">
        <v>145</v>
      </c>
      <c r="B1419" t="s">
        <v>146</v>
      </c>
      <c r="C1419" t="s">
        <v>23</v>
      </c>
      <c r="D1419" t="s">
        <v>48</v>
      </c>
      <c r="E1419" t="s">
        <v>25</v>
      </c>
      <c r="F1419" s="7">
        <v>5790128</v>
      </c>
      <c r="G1419" t="s">
        <v>1176</v>
      </c>
      <c r="H1419" s="5">
        <v>15325</v>
      </c>
      <c r="I1419" s="12">
        <v>45758</v>
      </c>
      <c r="J1419" s="15">
        <v>90</v>
      </c>
      <c r="K1419" s="15">
        <v>3</v>
      </c>
      <c r="L1419" s="9">
        <v>9.5799999999999996E-2</v>
      </c>
      <c r="M1419" s="9">
        <v>6.4600000000000005E-2</v>
      </c>
      <c r="N1419" s="15">
        <v>8</v>
      </c>
      <c r="O1419" t="s">
        <v>27</v>
      </c>
      <c r="P1419" t="s">
        <v>27</v>
      </c>
      <c r="Q1419" s="24">
        <v>0</v>
      </c>
      <c r="R1419" s="5">
        <f t="shared" si="132"/>
        <v>362.0058904109589</v>
      </c>
      <c r="S1419" s="5">
        <f t="shared" si="133"/>
        <v>21.698520547945208</v>
      </c>
      <c r="T1419" s="5">
        <f t="shared" si="134"/>
        <v>340.30736986301372</v>
      </c>
      <c r="U1419" s="15">
        <f t="shared" si="135"/>
        <v>82</v>
      </c>
      <c r="V1419" s="3">
        <f t="shared" si="136"/>
        <v>0</v>
      </c>
      <c r="W1419" s="3">
        <f t="shared" si="137"/>
        <v>1278</v>
      </c>
    </row>
    <row r="1420" spans="1:23" x14ac:dyDescent="0.2">
      <c r="A1420" t="s">
        <v>271</v>
      </c>
      <c r="B1420" t="s">
        <v>128</v>
      </c>
      <c r="C1420" t="s">
        <v>36</v>
      </c>
      <c r="D1420" t="s">
        <v>37</v>
      </c>
      <c r="E1420" t="s">
        <v>49</v>
      </c>
      <c r="F1420" s="7">
        <v>879139</v>
      </c>
      <c r="G1420" t="s">
        <v>1191</v>
      </c>
      <c r="H1420" s="5">
        <v>51273</v>
      </c>
      <c r="I1420" s="12">
        <v>45985</v>
      </c>
      <c r="J1420" s="15">
        <v>60</v>
      </c>
      <c r="K1420" s="15">
        <v>3</v>
      </c>
      <c r="L1420" s="9">
        <v>0.14199999999999999</v>
      </c>
      <c r="M1420" s="9">
        <v>4.7100000000000003E-2</v>
      </c>
      <c r="N1420" s="15">
        <v>5</v>
      </c>
      <c r="O1420" t="s">
        <v>27</v>
      </c>
      <c r="P1420" t="s">
        <v>27</v>
      </c>
      <c r="Q1420" s="24">
        <v>0</v>
      </c>
      <c r="R1420" s="5">
        <f t="shared" si="132"/>
        <v>1196.8382465753423</v>
      </c>
      <c r="S1420" s="5">
        <f t="shared" si="133"/>
        <v>33.081620547945207</v>
      </c>
      <c r="T1420" s="5">
        <f t="shared" si="134"/>
        <v>1163.756626027397</v>
      </c>
      <c r="U1420" s="15">
        <f t="shared" si="135"/>
        <v>55</v>
      </c>
      <c r="V1420" s="3">
        <f t="shared" si="136"/>
        <v>0</v>
      </c>
      <c r="W1420" s="3">
        <f t="shared" si="137"/>
        <v>1278</v>
      </c>
    </row>
    <row r="1421" spans="1:23" x14ac:dyDescent="0.2">
      <c r="A1421" t="s">
        <v>268</v>
      </c>
      <c r="B1421" t="s">
        <v>269</v>
      </c>
      <c r="C1421" t="s">
        <v>36</v>
      </c>
      <c r="D1421" t="s">
        <v>37</v>
      </c>
      <c r="E1421" t="s">
        <v>25</v>
      </c>
      <c r="F1421" s="7">
        <v>1810544</v>
      </c>
      <c r="G1421" t="s">
        <v>1210</v>
      </c>
      <c r="H1421" s="5">
        <v>109676</v>
      </c>
      <c r="I1421" s="12">
        <v>46043</v>
      </c>
      <c r="J1421" s="15">
        <v>60</v>
      </c>
      <c r="K1421" s="15">
        <v>10</v>
      </c>
      <c r="L1421" s="9">
        <v>9.6299999999999997E-2</v>
      </c>
      <c r="M1421" s="9">
        <v>6.1899999999999997E-2</v>
      </c>
      <c r="N1421" s="15">
        <v>6</v>
      </c>
      <c r="O1421" t="s">
        <v>27</v>
      </c>
      <c r="P1421" t="s">
        <v>27</v>
      </c>
      <c r="Q1421" s="24">
        <v>0</v>
      </c>
      <c r="R1421" s="5">
        <f t="shared" si="132"/>
        <v>1736.186104109589</v>
      </c>
      <c r="S1421" s="5">
        <f t="shared" si="133"/>
        <v>111.59908602739723</v>
      </c>
      <c r="T1421" s="5">
        <f t="shared" si="134"/>
        <v>1624.5870180821917</v>
      </c>
      <c r="U1421" s="15">
        <f t="shared" si="135"/>
        <v>54</v>
      </c>
      <c r="V1421" s="3">
        <f t="shared" si="136"/>
        <v>0</v>
      </c>
      <c r="W1421" s="3">
        <f t="shared" si="137"/>
        <v>1278</v>
      </c>
    </row>
    <row r="1422" spans="1:23" x14ac:dyDescent="0.2">
      <c r="A1422" t="s">
        <v>97</v>
      </c>
      <c r="B1422" t="s">
        <v>98</v>
      </c>
      <c r="C1422" t="s">
        <v>41</v>
      </c>
      <c r="D1422" t="s">
        <v>32</v>
      </c>
      <c r="E1422" t="s">
        <v>56</v>
      </c>
      <c r="F1422" s="7">
        <v>19754920</v>
      </c>
      <c r="G1422" t="s">
        <v>1212</v>
      </c>
      <c r="H1422" s="5">
        <v>88015</v>
      </c>
      <c r="I1422" s="12">
        <v>45861</v>
      </c>
      <c r="J1422" s="15">
        <v>60</v>
      </c>
      <c r="K1422" s="15">
        <v>2</v>
      </c>
      <c r="L1422" s="9">
        <v>8.1100000000000005E-2</v>
      </c>
      <c r="M1422" s="9">
        <v>5.4399999999999997E-2</v>
      </c>
      <c r="N1422" s="15">
        <v>10</v>
      </c>
      <c r="O1422" t="s">
        <v>27</v>
      </c>
      <c r="P1422" t="s">
        <v>27</v>
      </c>
      <c r="Q1422" s="24">
        <v>0</v>
      </c>
      <c r="R1422" s="5">
        <f t="shared" si="132"/>
        <v>1173.3725753424658</v>
      </c>
      <c r="S1422" s="5">
        <f t="shared" si="133"/>
        <v>131.1785205479452</v>
      </c>
      <c r="T1422" s="5">
        <f t="shared" si="134"/>
        <v>1042.1940547945205</v>
      </c>
      <c r="U1422" s="15">
        <f t="shared" si="135"/>
        <v>50</v>
      </c>
      <c r="V1422" s="3">
        <f t="shared" si="136"/>
        <v>0</v>
      </c>
      <c r="W1422" s="3">
        <f t="shared" si="137"/>
        <v>1278</v>
      </c>
    </row>
    <row r="1423" spans="1:23" x14ac:dyDescent="0.2">
      <c r="A1423" t="s">
        <v>64</v>
      </c>
      <c r="B1423" t="s">
        <v>65</v>
      </c>
      <c r="C1423" t="s">
        <v>36</v>
      </c>
      <c r="D1423" t="s">
        <v>66</v>
      </c>
      <c r="E1423" t="s">
        <v>56</v>
      </c>
      <c r="F1423" s="7">
        <v>19529913</v>
      </c>
      <c r="G1423" t="s">
        <v>1214</v>
      </c>
      <c r="H1423" s="5">
        <v>72476</v>
      </c>
      <c r="I1423" s="12">
        <v>45871</v>
      </c>
      <c r="J1423" s="15">
        <v>60</v>
      </c>
      <c r="K1423" s="15">
        <v>2</v>
      </c>
      <c r="L1423" s="9">
        <v>8.7499999999999994E-2</v>
      </c>
      <c r="M1423" s="9">
        <v>5.1299999999999998E-2</v>
      </c>
      <c r="N1423" s="15">
        <v>6</v>
      </c>
      <c r="O1423" t="s">
        <v>27</v>
      </c>
      <c r="P1423" t="s">
        <v>27</v>
      </c>
      <c r="Q1423" s="24">
        <v>0</v>
      </c>
      <c r="R1423" s="5">
        <f t="shared" si="132"/>
        <v>1042.46301369863</v>
      </c>
      <c r="S1423" s="5">
        <f t="shared" si="133"/>
        <v>61.118117260273962</v>
      </c>
      <c r="T1423" s="5">
        <f t="shared" si="134"/>
        <v>981.34489643835605</v>
      </c>
      <c r="U1423" s="15">
        <f t="shared" si="135"/>
        <v>54</v>
      </c>
      <c r="V1423" s="3">
        <f t="shared" si="136"/>
        <v>0</v>
      </c>
      <c r="W1423" s="3">
        <f t="shared" si="137"/>
        <v>1278</v>
      </c>
    </row>
    <row r="1424" spans="1:23" x14ac:dyDescent="0.2">
      <c r="A1424" t="s">
        <v>58</v>
      </c>
      <c r="B1424" t="s">
        <v>59</v>
      </c>
      <c r="C1424" t="s">
        <v>23</v>
      </c>
      <c r="D1424" t="s">
        <v>24</v>
      </c>
      <c r="E1424" t="s">
        <v>25</v>
      </c>
      <c r="F1424" s="7">
        <v>4269919</v>
      </c>
      <c r="G1424" t="s">
        <v>1225</v>
      </c>
      <c r="H1424" s="5">
        <v>30702</v>
      </c>
      <c r="I1424" s="12">
        <v>45909</v>
      </c>
      <c r="J1424" s="15">
        <v>60</v>
      </c>
      <c r="K1424" s="15">
        <v>5</v>
      </c>
      <c r="L1424" s="9">
        <v>0.1212</v>
      </c>
      <c r="M1424" s="9">
        <v>5.7099999999999998E-2</v>
      </c>
      <c r="N1424" s="15">
        <v>6</v>
      </c>
      <c r="O1424" t="s">
        <v>27</v>
      </c>
      <c r="P1424" t="s">
        <v>27</v>
      </c>
      <c r="Q1424" s="24">
        <v>0</v>
      </c>
      <c r="R1424" s="5">
        <f t="shared" si="132"/>
        <v>611.68477808219177</v>
      </c>
      <c r="S1424" s="5">
        <f t="shared" si="133"/>
        <v>28.817822465753423</v>
      </c>
      <c r="T1424" s="5">
        <f t="shared" si="134"/>
        <v>582.8669556164383</v>
      </c>
      <c r="U1424" s="15">
        <f t="shared" si="135"/>
        <v>54</v>
      </c>
      <c r="V1424" s="3">
        <f t="shared" si="136"/>
        <v>0</v>
      </c>
      <c r="W1424" s="3">
        <f t="shared" si="137"/>
        <v>1278</v>
      </c>
    </row>
    <row r="1425" spans="1:23" x14ac:dyDescent="0.2">
      <c r="A1425" t="s">
        <v>252</v>
      </c>
      <c r="B1425" t="s">
        <v>89</v>
      </c>
      <c r="C1425" t="s">
        <v>31</v>
      </c>
      <c r="D1425" t="s">
        <v>24</v>
      </c>
      <c r="E1425" t="s">
        <v>49</v>
      </c>
      <c r="F1425" s="7">
        <v>971327</v>
      </c>
      <c r="G1425" t="s">
        <v>1226</v>
      </c>
      <c r="H1425" s="5">
        <v>72319</v>
      </c>
      <c r="I1425" s="12">
        <v>45835</v>
      </c>
      <c r="J1425" s="15">
        <v>60</v>
      </c>
      <c r="K1425" s="15">
        <v>2</v>
      </c>
      <c r="L1425" s="9">
        <v>0.15229999999999999</v>
      </c>
      <c r="M1425" s="9">
        <v>5.9700000000000003E-2</v>
      </c>
      <c r="N1425" s="15">
        <v>7</v>
      </c>
      <c r="O1425" t="s">
        <v>27</v>
      </c>
      <c r="P1425" t="s">
        <v>27</v>
      </c>
      <c r="Q1425" s="24">
        <v>0</v>
      </c>
      <c r="R1425" s="5">
        <f t="shared" si="132"/>
        <v>1810.5507452054792</v>
      </c>
      <c r="S1425" s="5">
        <f t="shared" si="133"/>
        <v>82.800301643835624</v>
      </c>
      <c r="T1425" s="5">
        <f t="shared" si="134"/>
        <v>1727.7504435616436</v>
      </c>
      <c r="U1425" s="15">
        <f t="shared" si="135"/>
        <v>53</v>
      </c>
      <c r="V1425" s="3">
        <f t="shared" si="136"/>
        <v>0</v>
      </c>
      <c r="W1425" s="3">
        <f t="shared" si="137"/>
        <v>1278</v>
      </c>
    </row>
    <row r="1426" spans="1:23" x14ac:dyDescent="0.2">
      <c r="A1426" t="s">
        <v>217</v>
      </c>
      <c r="B1426" t="s">
        <v>218</v>
      </c>
      <c r="C1426" t="s">
        <v>23</v>
      </c>
      <c r="D1426" t="s">
        <v>48</v>
      </c>
      <c r="E1426" t="s">
        <v>49</v>
      </c>
      <c r="F1426" s="7">
        <v>1120197</v>
      </c>
      <c r="G1426" t="s">
        <v>1243</v>
      </c>
      <c r="H1426" s="5">
        <v>60362</v>
      </c>
      <c r="I1426" s="12">
        <v>46022</v>
      </c>
      <c r="J1426" s="15">
        <v>30</v>
      </c>
      <c r="K1426" s="15">
        <v>3</v>
      </c>
      <c r="L1426" s="9">
        <v>0.1338</v>
      </c>
      <c r="M1426" s="9">
        <v>5.3199999999999997E-2</v>
      </c>
      <c r="N1426" s="15">
        <v>10</v>
      </c>
      <c r="O1426" t="s">
        <v>27</v>
      </c>
      <c r="P1426" t="s">
        <v>27</v>
      </c>
      <c r="Q1426" s="24">
        <v>0</v>
      </c>
      <c r="R1426" s="5">
        <f t="shared" si="132"/>
        <v>663.81662465753425</v>
      </c>
      <c r="S1426" s="5">
        <f t="shared" si="133"/>
        <v>87.97968219178081</v>
      </c>
      <c r="T1426" s="5">
        <f t="shared" si="134"/>
        <v>575.8369424657534</v>
      </c>
      <c r="U1426" s="15">
        <f t="shared" si="135"/>
        <v>20</v>
      </c>
      <c r="V1426" s="3">
        <f t="shared" si="136"/>
        <v>0</v>
      </c>
      <c r="W1426" s="3">
        <f t="shared" si="137"/>
        <v>1278</v>
      </c>
    </row>
    <row r="1427" spans="1:23" x14ac:dyDescent="0.2">
      <c r="A1427" t="s">
        <v>123</v>
      </c>
      <c r="B1427" t="s">
        <v>124</v>
      </c>
      <c r="C1427" t="s">
        <v>31</v>
      </c>
      <c r="D1427" t="s">
        <v>32</v>
      </c>
      <c r="E1427" t="s">
        <v>25</v>
      </c>
      <c r="F1427" s="7">
        <v>5642255</v>
      </c>
      <c r="G1427" t="s">
        <v>1244</v>
      </c>
      <c r="H1427" s="5">
        <v>82278</v>
      </c>
      <c r="I1427" s="12">
        <v>46014</v>
      </c>
      <c r="J1427" s="15">
        <v>60</v>
      </c>
      <c r="K1427" s="15">
        <v>7</v>
      </c>
      <c r="L1427" s="9">
        <v>0.1119</v>
      </c>
      <c r="M1427" s="9">
        <v>4.8399999999999999E-2</v>
      </c>
      <c r="N1427" s="15">
        <v>5</v>
      </c>
      <c r="O1427" t="s">
        <v>27</v>
      </c>
      <c r="P1427" t="s">
        <v>27</v>
      </c>
      <c r="Q1427" s="24">
        <v>0</v>
      </c>
      <c r="R1427" s="5">
        <f t="shared" si="132"/>
        <v>1513.4643616438354</v>
      </c>
      <c r="S1427" s="5">
        <f t="shared" si="133"/>
        <v>54.551441095890411</v>
      </c>
      <c r="T1427" s="5">
        <f t="shared" si="134"/>
        <v>1458.9129205479451</v>
      </c>
      <c r="U1427" s="15">
        <f t="shared" si="135"/>
        <v>55</v>
      </c>
      <c r="V1427" s="3">
        <f t="shared" si="136"/>
        <v>0</v>
      </c>
      <c r="W1427" s="3">
        <f t="shared" si="137"/>
        <v>1278</v>
      </c>
    </row>
    <row r="1428" spans="1:23" x14ac:dyDescent="0.2">
      <c r="A1428" t="s">
        <v>474</v>
      </c>
      <c r="B1428" t="s">
        <v>207</v>
      </c>
      <c r="C1428" t="s">
        <v>31</v>
      </c>
      <c r="D1428" t="s">
        <v>37</v>
      </c>
      <c r="E1428" t="s">
        <v>25</v>
      </c>
      <c r="F1428" s="7">
        <v>4395110</v>
      </c>
      <c r="G1428" t="s">
        <v>1245</v>
      </c>
      <c r="H1428" s="5">
        <v>62930</v>
      </c>
      <c r="I1428" s="12">
        <v>45820</v>
      </c>
      <c r="J1428" s="15">
        <v>60</v>
      </c>
      <c r="K1428" s="15">
        <v>10</v>
      </c>
      <c r="L1428" s="9">
        <v>0.1066</v>
      </c>
      <c r="M1428" s="9">
        <v>4.7699999999999999E-2</v>
      </c>
      <c r="N1428" s="15">
        <v>6</v>
      </c>
      <c r="O1428" t="s">
        <v>27</v>
      </c>
      <c r="P1428" t="s">
        <v>27</v>
      </c>
      <c r="Q1428" s="24">
        <v>0</v>
      </c>
      <c r="R1428" s="5">
        <f t="shared" si="132"/>
        <v>1102.7404931506849</v>
      </c>
      <c r="S1428" s="5">
        <f t="shared" si="133"/>
        <v>49.344016438356157</v>
      </c>
      <c r="T1428" s="5">
        <f t="shared" si="134"/>
        <v>1053.3964767123286</v>
      </c>
      <c r="U1428" s="15">
        <f t="shared" si="135"/>
        <v>54</v>
      </c>
      <c r="V1428" s="3">
        <f t="shared" si="136"/>
        <v>0</v>
      </c>
      <c r="W1428" s="3">
        <f t="shared" si="137"/>
        <v>1278</v>
      </c>
    </row>
    <row r="1429" spans="1:23" x14ac:dyDescent="0.2">
      <c r="A1429" t="s">
        <v>259</v>
      </c>
      <c r="B1429" t="s">
        <v>260</v>
      </c>
      <c r="C1429" t="s">
        <v>77</v>
      </c>
      <c r="D1429" t="s">
        <v>37</v>
      </c>
      <c r="E1429" t="s">
        <v>56</v>
      </c>
      <c r="F1429" s="7">
        <v>20068674</v>
      </c>
      <c r="G1429" t="s">
        <v>1261</v>
      </c>
      <c r="H1429" s="5">
        <v>60908</v>
      </c>
      <c r="I1429" s="12">
        <v>45721</v>
      </c>
      <c r="J1429" s="15">
        <v>60</v>
      </c>
      <c r="K1429" s="15">
        <v>4</v>
      </c>
      <c r="L1429" s="9">
        <v>0.1062</v>
      </c>
      <c r="M1429" s="9">
        <v>5.7799999999999997E-2</v>
      </c>
      <c r="N1429" s="15">
        <v>10</v>
      </c>
      <c r="O1429" t="s">
        <v>28</v>
      </c>
      <c r="P1429" t="s">
        <v>27</v>
      </c>
      <c r="Q1429" s="24">
        <v>0</v>
      </c>
      <c r="R1429" s="5">
        <f t="shared" si="132"/>
        <v>1063.3034958904109</v>
      </c>
      <c r="S1429" s="5">
        <f t="shared" si="133"/>
        <v>96.451572602739716</v>
      </c>
      <c r="T1429" s="5">
        <f t="shared" si="134"/>
        <v>966.85192328767118</v>
      </c>
      <c r="U1429" s="15">
        <f t="shared" si="135"/>
        <v>50</v>
      </c>
      <c r="V1429" s="3">
        <f t="shared" si="136"/>
        <v>0</v>
      </c>
      <c r="W1429" s="3">
        <f t="shared" si="137"/>
        <v>1278</v>
      </c>
    </row>
    <row r="1430" spans="1:23" x14ac:dyDescent="0.2">
      <c r="A1430" t="s">
        <v>210</v>
      </c>
      <c r="B1430" t="s">
        <v>211</v>
      </c>
      <c r="C1430" t="s">
        <v>41</v>
      </c>
      <c r="D1430" t="s">
        <v>32</v>
      </c>
      <c r="E1430" t="s">
        <v>56</v>
      </c>
      <c r="F1430" s="7">
        <v>17014146</v>
      </c>
      <c r="G1430" t="s">
        <v>1263</v>
      </c>
      <c r="H1430" s="5">
        <v>78795</v>
      </c>
      <c r="I1430" s="12">
        <v>46034</v>
      </c>
      <c r="J1430" s="15">
        <v>60</v>
      </c>
      <c r="K1430" s="15">
        <v>10</v>
      </c>
      <c r="L1430" s="9">
        <v>0.1037</v>
      </c>
      <c r="M1430" s="9">
        <v>5.8799999999999998E-2</v>
      </c>
      <c r="N1430" s="15">
        <v>5</v>
      </c>
      <c r="O1430" t="s">
        <v>27</v>
      </c>
      <c r="P1430" t="s">
        <v>27</v>
      </c>
      <c r="Q1430" s="24">
        <v>0</v>
      </c>
      <c r="R1430" s="5">
        <f t="shared" si="132"/>
        <v>1343.1849041095891</v>
      </c>
      <c r="S1430" s="5">
        <f t="shared" si="133"/>
        <v>63.467753424657531</v>
      </c>
      <c r="T1430" s="5">
        <f t="shared" si="134"/>
        <v>1279.7171506849315</v>
      </c>
      <c r="U1430" s="15">
        <f t="shared" si="135"/>
        <v>55</v>
      </c>
      <c r="V1430" s="3">
        <f t="shared" si="136"/>
        <v>0</v>
      </c>
      <c r="W1430" s="3">
        <f t="shared" si="137"/>
        <v>1278</v>
      </c>
    </row>
    <row r="1431" spans="1:23" x14ac:dyDescent="0.2">
      <c r="A1431" t="s">
        <v>311</v>
      </c>
      <c r="B1431" t="s">
        <v>312</v>
      </c>
      <c r="C1431" t="s">
        <v>23</v>
      </c>
      <c r="D1431" t="s">
        <v>32</v>
      </c>
      <c r="E1431" t="s">
        <v>25</v>
      </c>
      <c r="F1431" s="7">
        <v>3726894</v>
      </c>
      <c r="G1431" t="s">
        <v>1279</v>
      </c>
      <c r="H1431" s="5">
        <v>103654</v>
      </c>
      <c r="I1431" s="12">
        <v>45921</v>
      </c>
      <c r="J1431" s="15">
        <v>60</v>
      </c>
      <c r="K1431" s="15">
        <v>3</v>
      </c>
      <c r="L1431" s="9">
        <v>9.1899999999999996E-2</v>
      </c>
      <c r="M1431" s="9">
        <v>5.2400000000000002E-2</v>
      </c>
      <c r="N1431" s="15">
        <v>10</v>
      </c>
      <c r="O1431" t="s">
        <v>27</v>
      </c>
      <c r="P1431" t="s">
        <v>27</v>
      </c>
      <c r="Q1431" s="24">
        <v>0</v>
      </c>
      <c r="R1431" s="5">
        <f t="shared" si="132"/>
        <v>1565.8853589041094</v>
      </c>
      <c r="S1431" s="5">
        <f t="shared" si="133"/>
        <v>148.80738630136986</v>
      </c>
      <c r="T1431" s="5">
        <f t="shared" si="134"/>
        <v>1417.0779726027395</v>
      </c>
      <c r="U1431" s="15">
        <f t="shared" si="135"/>
        <v>50</v>
      </c>
      <c r="V1431" s="3">
        <f t="shared" si="136"/>
        <v>0</v>
      </c>
      <c r="W1431" s="3">
        <f t="shared" si="137"/>
        <v>1278</v>
      </c>
    </row>
    <row r="1432" spans="1:23" x14ac:dyDescent="0.2">
      <c r="A1432" t="s">
        <v>596</v>
      </c>
      <c r="B1432" t="s">
        <v>439</v>
      </c>
      <c r="C1432" t="s">
        <v>77</v>
      </c>
      <c r="D1432" t="s">
        <v>24</v>
      </c>
      <c r="E1432" t="s">
        <v>56</v>
      </c>
      <c r="F1432" s="7">
        <v>9396117</v>
      </c>
      <c r="G1432" t="s">
        <v>1287</v>
      </c>
      <c r="H1432" s="5">
        <v>82063</v>
      </c>
      <c r="I1432" s="12">
        <v>46050</v>
      </c>
      <c r="J1432" s="15">
        <v>60</v>
      </c>
      <c r="K1432" s="15">
        <v>5</v>
      </c>
      <c r="L1432" s="9">
        <v>7.2400000000000006E-2</v>
      </c>
      <c r="M1432" s="9">
        <v>4.6800000000000001E-2</v>
      </c>
      <c r="N1432" s="15">
        <v>7</v>
      </c>
      <c r="O1432" t="s">
        <v>27</v>
      </c>
      <c r="P1432" t="s">
        <v>27</v>
      </c>
      <c r="Q1432" s="24">
        <v>0</v>
      </c>
      <c r="R1432" s="5">
        <f t="shared" si="132"/>
        <v>976.66211506849311</v>
      </c>
      <c r="S1432" s="5">
        <f t="shared" si="133"/>
        <v>73.654352876712338</v>
      </c>
      <c r="T1432" s="5">
        <f t="shared" si="134"/>
        <v>903.00776219178078</v>
      </c>
      <c r="U1432" s="15">
        <f t="shared" si="135"/>
        <v>53</v>
      </c>
      <c r="V1432" s="3">
        <f t="shared" si="136"/>
        <v>0</v>
      </c>
      <c r="W1432" s="3">
        <f t="shared" si="137"/>
        <v>1278</v>
      </c>
    </row>
    <row r="1433" spans="1:23" x14ac:dyDescent="0.2">
      <c r="A1433" t="s">
        <v>750</v>
      </c>
      <c r="B1433" t="s">
        <v>751</v>
      </c>
      <c r="C1433" t="s">
        <v>41</v>
      </c>
      <c r="D1433" t="s">
        <v>48</v>
      </c>
      <c r="E1433" t="s">
        <v>25</v>
      </c>
      <c r="F1433" s="7">
        <v>1709806</v>
      </c>
      <c r="G1433" t="s">
        <v>1301</v>
      </c>
      <c r="H1433" s="5">
        <v>40591</v>
      </c>
      <c r="I1433" s="12">
        <v>45710</v>
      </c>
      <c r="J1433" s="15">
        <v>60</v>
      </c>
      <c r="K1433" s="15">
        <v>3</v>
      </c>
      <c r="L1433" s="9">
        <v>0.12709999999999999</v>
      </c>
      <c r="M1433" s="9">
        <v>5.9700000000000003E-2</v>
      </c>
      <c r="N1433" s="15">
        <v>5</v>
      </c>
      <c r="O1433" t="s">
        <v>27</v>
      </c>
      <c r="P1433" t="s">
        <v>27</v>
      </c>
      <c r="Q1433" s="24">
        <v>0</v>
      </c>
      <c r="R1433" s="5">
        <f t="shared" si="132"/>
        <v>848.0738794520546</v>
      </c>
      <c r="S1433" s="5">
        <f t="shared" si="133"/>
        <v>33.195653424657536</v>
      </c>
      <c r="T1433" s="5">
        <f t="shared" si="134"/>
        <v>814.87822602739709</v>
      </c>
      <c r="U1433" s="15">
        <f t="shared" si="135"/>
        <v>55</v>
      </c>
      <c r="V1433" s="3">
        <f t="shared" si="136"/>
        <v>0</v>
      </c>
      <c r="W1433" s="3">
        <f t="shared" si="137"/>
        <v>1278</v>
      </c>
    </row>
    <row r="1434" spans="1:23" x14ac:dyDescent="0.2">
      <c r="A1434" t="s">
        <v>549</v>
      </c>
      <c r="B1434" t="s">
        <v>161</v>
      </c>
      <c r="C1434" t="s">
        <v>77</v>
      </c>
      <c r="D1434" t="s">
        <v>48</v>
      </c>
      <c r="E1434" t="s">
        <v>56</v>
      </c>
      <c r="F1434" s="7">
        <v>15837870</v>
      </c>
      <c r="G1434" t="s">
        <v>1305</v>
      </c>
      <c r="H1434" s="5">
        <v>34608</v>
      </c>
      <c r="I1434" s="12">
        <v>45990</v>
      </c>
      <c r="J1434" s="15">
        <v>60</v>
      </c>
      <c r="K1434" s="15">
        <v>5</v>
      </c>
      <c r="L1434" s="9">
        <v>0.1089</v>
      </c>
      <c r="M1434" s="9">
        <v>6.0499999999999998E-2</v>
      </c>
      <c r="N1434" s="15">
        <v>5</v>
      </c>
      <c r="O1434" t="s">
        <v>27</v>
      </c>
      <c r="P1434" t="s">
        <v>27</v>
      </c>
      <c r="Q1434" s="24">
        <v>0</v>
      </c>
      <c r="R1434" s="5">
        <f t="shared" si="132"/>
        <v>619.53060821917802</v>
      </c>
      <c r="S1434" s="5">
        <f t="shared" si="133"/>
        <v>28.681972602739727</v>
      </c>
      <c r="T1434" s="5">
        <f t="shared" si="134"/>
        <v>590.84863561643829</v>
      </c>
      <c r="U1434" s="15">
        <f t="shared" si="135"/>
        <v>55</v>
      </c>
      <c r="V1434" s="3">
        <f t="shared" si="136"/>
        <v>0</v>
      </c>
      <c r="W1434" s="3">
        <f t="shared" si="137"/>
        <v>1278</v>
      </c>
    </row>
    <row r="1435" spans="1:23" x14ac:dyDescent="0.2">
      <c r="A1435" t="s">
        <v>82</v>
      </c>
      <c r="B1435" t="s">
        <v>83</v>
      </c>
      <c r="C1435" t="s">
        <v>23</v>
      </c>
      <c r="D1435" t="s">
        <v>66</v>
      </c>
      <c r="E1435" t="s">
        <v>49</v>
      </c>
      <c r="F1435" s="7">
        <v>946643</v>
      </c>
      <c r="G1435" t="s">
        <v>1317</v>
      </c>
      <c r="H1435" s="5">
        <v>45419</v>
      </c>
      <c r="I1435" s="12">
        <v>46004</v>
      </c>
      <c r="J1435" s="15">
        <v>45</v>
      </c>
      <c r="K1435" s="15">
        <v>10</v>
      </c>
      <c r="L1435" s="9">
        <v>0.1648</v>
      </c>
      <c r="M1435" s="9">
        <v>6.3100000000000003E-2</v>
      </c>
      <c r="N1435" s="15">
        <v>8</v>
      </c>
      <c r="O1435" t="s">
        <v>27</v>
      </c>
      <c r="P1435" t="s">
        <v>27</v>
      </c>
      <c r="Q1435" s="24">
        <v>0</v>
      </c>
      <c r="R1435" s="5">
        <f t="shared" si="132"/>
        <v>922.81453150684922</v>
      </c>
      <c r="S1435" s="5">
        <f t="shared" si="133"/>
        <v>62.815099178082193</v>
      </c>
      <c r="T1435" s="5">
        <f t="shared" si="134"/>
        <v>859.99943232876706</v>
      </c>
      <c r="U1435" s="15">
        <f t="shared" si="135"/>
        <v>37</v>
      </c>
      <c r="V1435" s="3">
        <f t="shared" si="136"/>
        <v>0</v>
      </c>
      <c r="W1435" s="3">
        <f t="shared" si="137"/>
        <v>1278</v>
      </c>
    </row>
    <row r="1436" spans="1:23" x14ac:dyDescent="0.2">
      <c r="A1436" t="s">
        <v>716</v>
      </c>
      <c r="B1436" t="s">
        <v>717</v>
      </c>
      <c r="C1436" t="s">
        <v>31</v>
      </c>
      <c r="D1436" t="s">
        <v>37</v>
      </c>
      <c r="E1436" t="s">
        <v>49</v>
      </c>
      <c r="F1436" s="7">
        <v>1439462</v>
      </c>
      <c r="G1436" t="s">
        <v>1323</v>
      </c>
      <c r="H1436" s="5">
        <v>52180</v>
      </c>
      <c r="I1436" s="12">
        <v>45940</v>
      </c>
      <c r="J1436" s="15">
        <v>60</v>
      </c>
      <c r="K1436" s="15">
        <v>5</v>
      </c>
      <c r="L1436" s="9">
        <v>0.17130000000000001</v>
      </c>
      <c r="M1436" s="9">
        <v>4.6899999999999997E-2</v>
      </c>
      <c r="N1436" s="15">
        <v>7</v>
      </c>
      <c r="O1436" t="s">
        <v>27</v>
      </c>
      <c r="P1436" t="s">
        <v>27</v>
      </c>
      <c r="Q1436" s="24">
        <v>0</v>
      </c>
      <c r="R1436" s="5">
        <f t="shared" si="132"/>
        <v>1469.3316164383564</v>
      </c>
      <c r="S1436" s="5">
        <f t="shared" si="133"/>
        <v>46.933408219178077</v>
      </c>
      <c r="T1436" s="5">
        <f t="shared" si="134"/>
        <v>1422.3982082191783</v>
      </c>
      <c r="U1436" s="15">
        <f t="shared" si="135"/>
        <v>53</v>
      </c>
      <c r="V1436" s="3">
        <f t="shared" si="136"/>
        <v>0</v>
      </c>
      <c r="W1436" s="3">
        <f t="shared" si="137"/>
        <v>1278</v>
      </c>
    </row>
    <row r="1437" spans="1:23" x14ac:dyDescent="0.2">
      <c r="A1437" t="s">
        <v>197</v>
      </c>
      <c r="B1437" t="s">
        <v>198</v>
      </c>
      <c r="C1437" t="s">
        <v>23</v>
      </c>
      <c r="D1437" t="s">
        <v>48</v>
      </c>
      <c r="E1437" t="s">
        <v>56</v>
      </c>
      <c r="F1437" s="7">
        <v>13513506</v>
      </c>
      <c r="G1437" t="s">
        <v>1328</v>
      </c>
      <c r="H1437" s="5">
        <v>49594</v>
      </c>
      <c r="I1437" s="12">
        <v>45814</v>
      </c>
      <c r="J1437" s="15">
        <v>45</v>
      </c>
      <c r="K1437" s="15">
        <v>5</v>
      </c>
      <c r="L1437" s="9">
        <v>8.1799999999999998E-2</v>
      </c>
      <c r="M1437" s="9">
        <v>5.5399999999999998E-2</v>
      </c>
      <c r="N1437" s="15">
        <v>6</v>
      </c>
      <c r="O1437" t="s">
        <v>27</v>
      </c>
      <c r="P1437" t="s">
        <v>27</v>
      </c>
      <c r="Q1437" s="24">
        <v>0</v>
      </c>
      <c r="R1437" s="5">
        <f t="shared" si="132"/>
        <v>500.15209315068489</v>
      </c>
      <c r="S1437" s="5">
        <f t="shared" si="133"/>
        <v>45.164508493150677</v>
      </c>
      <c r="T1437" s="5">
        <f t="shared" si="134"/>
        <v>454.98758465753423</v>
      </c>
      <c r="U1437" s="15">
        <f t="shared" si="135"/>
        <v>39</v>
      </c>
      <c r="V1437" s="3">
        <f t="shared" si="136"/>
        <v>0</v>
      </c>
      <c r="W1437" s="3">
        <f t="shared" si="137"/>
        <v>1278</v>
      </c>
    </row>
    <row r="1438" spans="1:23" x14ac:dyDescent="0.2">
      <c r="A1438" t="s">
        <v>210</v>
      </c>
      <c r="B1438" t="s">
        <v>211</v>
      </c>
      <c r="C1438" t="s">
        <v>41</v>
      </c>
      <c r="D1438" t="s">
        <v>32</v>
      </c>
      <c r="E1438" t="s">
        <v>56</v>
      </c>
      <c r="F1438" s="7">
        <v>17014146</v>
      </c>
      <c r="G1438" t="s">
        <v>1329</v>
      </c>
      <c r="H1438" s="5">
        <v>65282</v>
      </c>
      <c r="I1438" s="12">
        <v>45742</v>
      </c>
      <c r="J1438" s="15">
        <v>60</v>
      </c>
      <c r="K1438" s="15">
        <v>2</v>
      </c>
      <c r="L1438" s="9">
        <v>0.1037</v>
      </c>
      <c r="M1438" s="9">
        <v>5.7700000000000001E-2</v>
      </c>
      <c r="N1438" s="15">
        <v>5</v>
      </c>
      <c r="O1438" t="s">
        <v>27</v>
      </c>
      <c r="P1438" t="s">
        <v>27</v>
      </c>
      <c r="Q1438" s="24">
        <v>0</v>
      </c>
      <c r="R1438" s="5">
        <f t="shared" si="132"/>
        <v>1112.8345315068493</v>
      </c>
      <c r="S1438" s="5">
        <f t="shared" si="133"/>
        <v>51.59960821917808</v>
      </c>
      <c r="T1438" s="5">
        <f t="shared" si="134"/>
        <v>1061.2349232876713</v>
      </c>
      <c r="U1438" s="15">
        <f t="shared" si="135"/>
        <v>55</v>
      </c>
      <c r="V1438" s="3">
        <f t="shared" si="136"/>
        <v>0</v>
      </c>
      <c r="W1438" s="3">
        <f t="shared" si="137"/>
        <v>1278</v>
      </c>
    </row>
    <row r="1439" spans="1:23" x14ac:dyDescent="0.2">
      <c r="A1439" t="s">
        <v>213</v>
      </c>
      <c r="B1439" t="s">
        <v>214</v>
      </c>
      <c r="C1439" t="s">
        <v>77</v>
      </c>
      <c r="D1439" t="s">
        <v>32</v>
      </c>
      <c r="E1439" t="s">
        <v>56</v>
      </c>
      <c r="F1439" s="7">
        <v>22426293</v>
      </c>
      <c r="G1439" t="s">
        <v>1337</v>
      </c>
      <c r="H1439" s="5">
        <v>51953</v>
      </c>
      <c r="I1439" s="12">
        <v>45907</v>
      </c>
      <c r="J1439" s="15">
        <v>90</v>
      </c>
      <c r="K1439" s="15">
        <v>10</v>
      </c>
      <c r="L1439" s="9">
        <v>9.8299999999999998E-2</v>
      </c>
      <c r="M1439" s="9">
        <v>5.5300000000000002E-2</v>
      </c>
      <c r="N1439" s="15">
        <v>5</v>
      </c>
      <c r="O1439" t="s">
        <v>27</v>
      </c>
      <c r="P1439" t="s">
        <v>27</v>
      </c>
      <c r="Q1439" s="24">
        <v>0</v>
      </c>
      <c r="R1439" s="5">
        <f t="shared" si="132"/>
        <v>1259.2553178082192</v>
      </c>
      <c r="S1439" s="5">
        <f t="shared" si="133"/>
        <v>39.356176712328768</v>
      </c>
      <c r="T1439" s="5">
        <f t="shared" si="134"/>
        <v>1219.8991410958904</v>
      </c>
      <c r="U1439" s="15">
        <f t="shared" si="135"/>
        <v>85</v>
      </c>
      <c r="V1439" s="3">
        <f t="shared" si="136"/>
        <v>0</v>
      </c>
      <c r="W1439" s="3">
        <f t="shared" si="137"/>
        <v>1278</v>
      </c>
    </row>
    <row r="1440" spans="1:23" x14ac:dyDescent="0.2">
      <c r="A1440" t="s">
        <v>201</v>
      </c>
      <c r="B1440" t="s">
        <v>76</v>
      </c>
      <c r="C1440" t="s">
        <v>23</v>
      </c>
      <c r="D1440" t="s">
        <v>37</v>
      </c>
      <c r="E1440" t="s">
        <v>56</v>
      </c>
      <c r="F1440" s="7">
        <v>21198154</v>
      </c>
      <c r="G1440" t="s">
        <v>1343</v>
      </c>
      <c r="H1440" s="5">
        <v>67188</v>
      </c>
      <c r="I1440" s="12">
        <v>45794</v>
      </c>
      <c r="J1440" s="15">
        <v>60</v>
      </c>
      <c r="K1440" s="15">
        <v>2</v>
      </c>
      <c r="L1440" s="9">
        <v>0.1086</v>
      </c>
      <c r="M1440" s="9">
        <v>4.82E-2</v>
      </c>
      <c r="N1440" s="15">
        <v>6</v>
      </c>
      <c r="O1440" t="s">
        <v>27</v>
      </c>
      <c r="P1440" t="s">
        <v>27</v>
      </c>
      <c r="Q1440" s="24">
        <v>0</v>
      </c>
      <c r="R1440" s="5">
        <f t="shared" si="132"/>
        <v>1199.4438575342465</v>
      </c>
      <c r="S1440" s="5">
        <f t="shared" si="133"/>
        <v>53.234985205479447</v>
      </c>
      <c r="T1440" s="5">
        <f t="shared" si="134"/>
        <v>1146.208872328767</v>
      </c>
      <c r="U1440" s="15">
        <f t="shared" si="135"/>
        <v>54</v>
      </c>
      <c r="V1440" s="3">
        <f t="shared" si="136"/>
        <v>0</v>
      </c>
      <c r="W1440" s="3">
        <f t="shared" si="137"/>
        <v>1278</v>
      </c>
    </row>
    <row r="1441" spans="1:23" x14ac:dyDescent="0.2">
      <c r="A1441" t="s">
        <v>82</v>
      </c>
      <c r="B1441" t="s">
        <v>83</v>
      </c>
      <c r="C1441" t="s">
        <v>23</v>
      </c>
      <c r="D1441" t="s">
        <v>66</v>
      </c>
      <c r="E1441" t="s">
        <v>49</v>
      </c>
      <c r="F1441" s="7">
        <v>946643</v>
      </c>
      <c r="G1441" t="s">
        <v>1351</v>
      </c>
      <c r="H1441" s="5">
        <v>23919</v>
      </c>
      <c r="I1441" s="12">
        <v>45771</v>
      </c>
      <c r="J1441" s="15">
        <v>90</v>
      </c>
      <c r="K1441" s="15">
        <v>5</v>
      </c>
      <c r="L1441" s="9">
        <v>0.1648</v>
      </c>
      <c r="M1441" s="9">
        <v>5.3100000000000001E-2</v>
      </c>
      <c r="N1441" s="15">
        <v>7</v>
      </c>
      <c r="O1441" t="s">
        <v>27</v>
      </c>
      <c r="P1441" t="s">
        <v>27</v>
      </c>
      <c r="Q1441" s="24">
        <v>0</v>
      </c>
      <c r="R1441" s="5">
        <f t="shared" si="132"/>
        <v>971.96330958904105</v>
      </c>
      <c r="S1441" s="5">
        <f t="shared" si="133"/>
        <v>24.358061095890413</v>
      </c>
      <c r="T1441" s="5">
        <f t="shared" si="134"/>
        <v>947.60524849315061</v>
      </c>
      <c r="U1441" s="15">
        <f t="shared" si="135"/>
        <v>83</v>
      </c>
      <c r="V1441" s="3">
        <f t="shared" si="136"/>
        <v>0</v>
      </c>
      <c r="W1441" s="3">
        <f t="shared" si="137"/>
        <v>1278</v>
      </c>
    </row>
    <row r="1442" spans="1:23" x14ac:dyDescent="0.2">
      <c r="A1442" t="s">
        <v>75</v>
      </c>
      <c r="B1442" t="s">
        <v>76</v>
      </c>
      <c r="C1442" t="s">
        <v>77</v>
      </c>
      <c r="D1442" t="s">
        <v>37</v>
      </c>
      <c r="E1442" t="s">
        <v>49</v>
      </c>
      <c r="F1442" s="7">
        <v>1309806</v>
      </c>
      <c r="G1442" t="s">
        <v>1369</v>
      </c>
      <c r="H1442" s="5">
        <v>54550</v>
      </c>
      <c r="I1442" s="12">
        <v>45748</v>
      </c>
      <c r="J1442" s="15">
        <v>90</v>
      </c>
      <c r="K1442" s="15">
        <v>10</v>
      </c>
      <c r="L1442" s="9">
        <v>0.15210000000000001</v>
      </c>
      <c r="M1442" s="9">
        <v>6.13E-2</v>
      </c>
      <c r="N1442" s="15">
        <v>7</v>
      </c>
      <c r="O1442" t="s">
        <v>28</v>
      </c>
      <c r="P1442" t="s">
        <v>27</v>
      </c>
      <c r="Q1442" s="24">
        <v>0</v>
      </c>
      <c r="R1442" s="5">
        <f t="shared" si="132"/>
        <v>2045.8491780821917</v>
      </c>
      <c r="S1442" s="5">
        <f t="shared" si="133"/>
        <v>64.129876712328766</v>
      </c>
      <c r="T1442" s="5">
        <f t="shared" si="134"/>
        <v>1981.7193013698629</v>
      </c>
      <c r="U1442" s="15">
        <f t="shared" si="135"/>
        <v>83</v>
      </c>
      <c r="V1442" s="3">
        <f t="shared" si="136"/>
        <v>0</v>
      </c>
      <c r="W1442" s="3">
        <f t="shared" si="137"/>
        <v>1278</v>
      </c>
    </row>
    <row r="1443" spans="1:23" x14ac:dyDescent="0.2">
      <c r="A1443" t="s">
        <v>43</v>
      </c>
      <c r="B1443" t="s">
        <v>44</v>
      </c>
      <c r="C1443" t="s">
        <v>23</v>
      </c>
      <c r="D1443" t="s">
        <v>24</v>
      </c>
      <c r="E1443" t="s">
        <v>25</v>
      </c>
      <c r="F1443" s="7">
        <v>2577026</v>
      </c>
      <c r="G1443" t="s">
        <v>1377</v>
      </c>
      <c r="H1443" s="5">
        <v>29324</v>
      </c>
      <c r="I1443" s="12">
        <v>46063</v>
      </c>
      <c r="J1443" s="15">
        <v>45</v>
      </c>
      <c r="K1443" s="15">
        <v>2</v>
      </c>
      <c r="L1443" s="9">
        <v>0.123</v>
      </c>
      <c r="M1443" s="9">
        <v>5.04E-2</v>
      </c>
      <c r="N1443" s="15">
        <v>10</v>
      </c>
      <c r="O1443" t="s">
        <v>28</v>
      </c>
      <c r="P1443" t="s">
        <v>27</v>
      </c>
      <c r="Q1443" s="24">
        <v>0</v>
      </c>
      <c r="R1443" s="5">
        <f t="shared" si="132"/>
        <v>444.68038356164379</v>
      </c>
      <c r="S1443" s="5">
        <f t="shared" si="133"/>
        <v>40.491221917808218</v>
      </c>
      <c r="T1443" s="5">
        <f t="shared" si="134"/>
        <v>404.18916164383558</v>
      </c>
      <c r="U1443" s="15">
        <f t="shared" si="135"/>
        <v>35</v>
      </c>
      <c r="V1443" s="3">
        <f t="shared" si="136"/>
        <v>0</v>
      </c>
      <c r="W1443" s="3">
        <f t="shared" si="137"/>
        <v>1278</v>
      </c>
    </row>
    <row r="1444" spans="1:23" x14ac:dyDescent="0.2">
      <c r="A1444" t="s">
        <v>139</v>
      </c>
      <c r="B1444" t="s">
        <v>140</v>
      </c>
      <c r="C1444" t="s">
        <v>77</v>
      </c>
      <c r="D1444" t="s">
        <v>24</v>
      </c>
      <c r="E1444" t="s">
        <v>56</v>
      </c>
      <c r="F1444" s="7">
        <v>22396514</v>
      </c>
      <c r="G1444" t="s">
        <v>1382</v>
      </c>
      <c r="H1444" s="5">
        <v>102015</v>
      </c>
      <c r="I1444" s="12">
        <v>45802</v>
      </c>
      <c r="J1444" s="15">
        <v>90</v>
      </c>
      <c r="K1444" s="15">
        <v>2</v>
      </c>
      <c r="L1444" s="9">
        <v>7.5700000000000003E-2</v>
      </c>
      <c r="M1444" s="9">
        <v>5.4800000000000001E-2</v>
      </c>
      <c r="N1444" s="15">
        <v>5</v>
      </c>
      <c r="O1444" t="s">
        <v>28</v>
      </c>
      <c r="P1444" t="s">
        <v>27</v>
      </c>
      <c r="Q1444" s="24">
        <v>0</v>
      </c>
      <c r="R1444" s="5">
        <f t="shared" si="132"/>
        <v>1904.1868356164382</v>
      </c>
      <c r="S1444" s="5">
        <f t="shared" si="133"/>
        <v>76.581123287671232</v>
      </c>
      <c r="T1444" s="5">
        <f t="shared" si="134"/>
        <v>1827.6057123287669</v>
      </c>
      <c r="U1444" s="15">
        <f t="shared" si="135"/>
        <v>85</v>
      </c>
      <c r="V1444" s="3">
        <f t="shared" si="136"/>
        <v>0</v>
      </c>
      <c r="W1444" s="3">
        <f t="shared" si="137"/>
        <v>1278</v>
      </c>
    </row>
    <row r="1445" spans="1:23" x14ac:dyDescent="0.2">
      <c r="A1445" t="s">
        <v>303</v>
      </c>
      <c r="B1445" t="s">
        <v>304</v>
      </c>
      <c r="C1445" t="s">
        <v>36</v>
      </c>
      <c r="D1445" t="s">
        <v>66</v>
      </c>
      <c r="E1445" t="s">
        <v>56</v>
      </c>
      <c r="F1445" s="7">
        <v>11641644</v>
      </c>
      <c r="G1445" t="s">
        <v>1385</v>
      </c>
      <c r="H1445" s="5">
        <v>49618</v>
      </c>
      <c r="I1445" s="12">
        <v>46073</v>
      </c>
      <c r="J1445" s="15">
        <v>60</v>
      </c>
      <c r="K1445" s="15">
        <v>2</v>
      </c>
      <c r="L1445" s="9">
        <v>9.0399999999999994E-2</v>
      </c>
      <c r="M1445" s="9">
        <v>5.04E-2</v>
      </c>
      <c r="N1445" s="15">
        <v>8</v>
      </c>
      <c r="O1445" t="s">
        <v>27</v>
      </c>
      <c r="P1445" t="s">
        <v>27</v>
      </c>
      <c r="Q1445" s="24">
        <v>0</v>
      </c>
      <c r="R1445" s="5">
        <f t="shared" si="132"/>
        <v>737.33707397260275</v>
      </c>
      <c r="S1445" s="5">
        <f t="shared" si="133"/>
        <v>54.810897534246571</v>
      </c>
      <c r="T1445" s="5">
        <f t="shared" si="134"/>
        <v>682.52617643835617</v>
      </c>
      <c r="U1445" s="15">
        <f t="shared" si="135"/>
        <v>52</v>
      </c>
      <c r="V1445" s="3">
        <f t="shared" si="136"/>
        <v>0</v>
      </c>
      <c r="W1445" s="3">
        <f t="shared" si="137"/>
        <v>1278</v>
      </c>
    </row>
    <row r="1446" spans="1:23" x14ac:dyDescent="0.2">
      <c r="A1446" t="s">
        <v>488</v>
      </c>
      <c r="B1446" t="s">
        <v>489</v>
      </c>
      <c r="C1446" t="s">
        <v>31</v>
      </c>
      <c r="D1446" t="s">
        <v>37</v>
      </c>
      <c r="E1446" t="s">
        <v>25</v>
      </c>
      <c r="F1446" s="7">
        <v>6687670</v>
      </c>
      <c r="G1446" t="s">
        <v>1387</v>
      </c>
      <c r="H1446" s="5">
        <v>70549</v>
      </c>
      <c r="I1446" s="12">
        <v>45800</v>
      </c>
      <c r="J1446" s="15">
        <v>60</v>
      </c>
      <c r="K1446" s="15">
        <v>5</v>
      </c>
      <c r="L1446" s="9">
        <v>0.1013</v>
      </c>
      <c r="M1446" s="9">
        <v>6.13E-2</v>
      </c>
      <c r="N1446" s="15">
        <v>5</v>
      </c>
      <c r="O1446" t="s">
        <v>27</v>
      </c>
      <c r="P1446" t="s">
        <v>27</v>
      </c>
      <c r="Q1446" s="24">
        <v>0</v>
      </c>
      <c r="R1446" s="5">
        <f t="shared" si="132"/>
        <v>1174.7858136986301</v>
      </c>
      <c r="S1446" s="5">
        <f t="shared" si="133"/>
        <v>59.241831506849309</v>
      </c>
      <c r="T1446" s="5">
        <f t="shared" si="134"/>
        <v>1115.5439821917807</v>
      </c>
      <c r="U1446" s="15">
        <f t="shared" si="135"/>
        <v>55</v>
      </c>
      <c r="V1446" s="3">
        <f t="shared" si="136"/>
        <v>0</v>
      </c>
      <c r="W1446" s="3">
        <f t="shared" si="137"/>
        <v>1278</v>
      </c>
    </row>
    <row r="1447" spans="1:23" x14ac:dyDescent="0.2">
      <c r="A1447" t="s">
        <v>179</v>
      </c>
      <c r="B1447" t="s">
        <v>180</v>
      </c>
      <c r="C1447" t="s">
        <v>36</v>
      </c>
      <c r="D1447" t="s">
        <v>48</v>
      </c>
      <c r="E1447" t="s">
        <v>25</v>
      </c>
      <c r="F1447" s="7">
        <v>6074867</v>
      </c>
      <c r="G1447" t="s">
        <v>1392</v>
      </c>
      <c r="H1447" s="5">
        <v>29510</v>
      </c>
      <c r="I1447" s="12">
        <v>46077</v>
      </c>
      <c r="J1447" s="15">
        <v>90</v>
      </c>
      <c r="K1447" s="15">
        <v>2</v>
      </c>
      <c r="L1447" s="9">
        <v>9.4299999999999995E-2</v>
      </c>
      <c r="M1447" s="9">
        <v>6.3200000000000006E-2</v>
      </c>
      <c r="N1447" s="15">
        <v>7</v>
      </c>
      <c r="O1447" t="s">
        <v>27</v>
      </c>
      <c r="P1447" t="s">
        <v>27</v>
      </c>
      <c r="Q1447" s="24">
        <v>0</v>
      </c>
      <c r="R1447" s="5">
        <f t="shared" si="132"/>
        <v>686.16813698630131</v>
      </c>
      <c r="S1447" s="5">
        <f t="shared" si="133"/>
        <v>35.767736986301372</v>
      </c>
      <c r="T1447" s="5">
        <f t="shared" si="134"/>
        <v>650.40039999999999</v>
      </c>
      <c r="U1447" s="15">
        <f t="shared" si="135"/>
        <v>83</v>
      </c>
      <c r="V1447" s="3">
        <f t="shared" si="136"/>
        <v>0</v>
      </c>
      <c r="W1447" s="3">
        <f t="shared" si="137"/>
        <v>1278</v>
      </c>
    </row>
    <row r="1448" spans="1:23" x14ac:dyDescent="0.2">
      <c r="A1448" t="s">
        <v>109</v>
      </c>
      <c r="B1448" t="s">
        <v>110</v>
      </c>
      <c r="C1448" t="s">
        <v>41</v>
      </c>
      <c r="D1448" t="s">
        <v>37</v>
      </c>
      <c r="E1448" t="s">
        <v>49</v>
      </c>
      <c r="F1448" s="7">
        <v>1383695</v>
      </c>
      <c r="G1448" t="s">
        <v>1393</v>
      </c>
      <c r="H1448" s="5">
        <v>30264</v>
      </c>
      <c r="I1448" s="12">
        <v>45782</v>
      </c>
      <c r="J1448" s="15">
        <v>45</v>
      </c>
      <c r="K1448" s="15">
        <v>3</v>
      </c>
      <c r="L1448" s="9">
        <v>0.16850000000000001</v>
      </c>
      <c r="M1448" s="9">
        <v>6.1699999999999998E-2</v>
      </c>
      <c r="N1448" s="15">
        <v>10</v>
      </c>
      <c r="O1448" t="s">
        <v>27</v>
      </c>
      <c r="P1448" t="s">
        <v>27</v>
      </c>
      <c r="Q1448" s="24">
        <v>0</v>
      </c>
      <c r="R1448" s="5">
        <f t="shared" si="132"/>
        <v>628.70350684931509</v>
      </c>
      <c r="S1448" s="5">
        <f t="shared" si="133"/>
        <v>51.158597260273972</v>
      </c>
      <c r="T1448" s="5">
        <f t="shared" si="134"/>
        <v>577.54490958904114</v>
      </c>
      <c r="U1448" s="15">
        <f t="shared" si="135"/>
        <v>35</v>
      </c>
      <c r="V1448" s="3">
        <f t="shared" si="136"/>
        <v>0</v>
      </c>
      <c r="W1448" s="3">
        <f t="shared" si="137"/>
        <v>1278</v>
      </c>
    </row>
    <row r="1449" spans="1:23" x14ac:dyDescent="0.2">
      <c r="A1449" t="s">
        <v>183</v>
      </c>
      <c r="B1449" t="s">
        <v>184</v>
      </c>
      <c r="C1449" t="s">
        <v>77</v>
      </c>
      <c r="D1449" t="s">
        <v>32</v>
      </c>
      <c r="E1449" t="s">
        <v>25</v>
      </c>
      <c r="F1449" s="7">
        <v>6014522</v>
      </c>
      <c r="G1449" t="s">
        <v>1401</v>
      </c>
      <c r="H1449" s="5">
        <v>39769</v>
      </c>
      <c r="I1449" s="12">
        <v>45967</v>
      </c>
      <c r="J1449" s="15">
        <v>60</v>
      </c>
      <c r="K1449" s="15">
        <v>2</v>
      </c>
      <c r="L1449" s="9">
        <v>0.12870000000000001</v>
      </c>
      <c r="M1449" s="9">
        <v>4.9399999999999999E-2</v>
      </c>
      <c r="N1449" s="15">
        <v>6</v>
      </c>
      <c r="O1449" t="s">
        <v>27</v>
      </c>
      <c r="P1449" t="s">
        <v>27</v>
      </c>
      <c r="Q1449" s="24">
        <v>0</v>
      </c>
      <c r="R1449" s="5">
        <f t="shared" si="132"/>
        <v>841.35950136986298</v>
      </c>
      <c r="S1449" s="5">
        <f t="shared" si="133"/>
        <v>32.294607123287669</v>
      </c>
      <c r="T1449" s="5">
        <f t="shared" si="134"/>
        <v>809.06489424657536</v>
      </c>
      <c r="U1449" s="15">
        <f t="shared" si="135"/>
        <v>54</v>
      </c>
      <c r="V1449" s="3">
        <f t="shared" si="136"/>
        <v>0</v>
      </c>
      <c r="W1449" s="3">
        <f t="shared" si="137"/>
        <v>1278</v>
      </c>
    </row>
    <row r="1450" spans="1:23" x14ac:dyDescent="0.2">
      <c r="A1450" t="s">
        <v>521</v>
      </c>
      <c r="B1450" t="s">
        <v>522</v>
      </c>
      <c r="C1450" t="s">
        <v>23</v>
      </c>
      <c r="D1450" t="s">
        <v>66</v>
      </c>
      <c r="E1450" t="s">
        <v>49</v>
      </c>
      <c r="F1450" s="7">
        <v>617401</v>
      </c>
      <c r="G1450" t="s">
        <v>1404</v>
      </c>
      <c r="H1450" s="5">
        <v>48989</v>
      </c>
      <c r="I1450" s="12">
        <v>45754</v>
      </c>
      <c r="J1450" s="15">
        <v>45</v>
      </c>
      <c r="K1450" s="15">
        <v>2</v>
      </c>
      <c r="L1450" s="9">
        <v>0.1429</v>
      </c>
      <c r="M1450" s="9">
        <v>4.6300000000000001E-2</v>
      </c>
      <c r="N1450" s="15">
        <v>10</v>
      </c>
      <c r="O1450" t="s">
        <v>28</v>
      </c>
      <c r="P1450" t="s">
        <v>27</v>
      </c>
      <c r="Q1450" s="24">
        <v>0</v>
      </c>
      <c r="R1450" s="5">
        <f t="shared" si="132"/>
        <v>863.07880684931501</v>
      </c>
      <c r="S1450" s="5">
        <f t="shared" si="133"/>
        <v>62.142210958904109</v>
      </c>
      <c r="T1450" s="5">
        <f t="shared" si="134"/>
        <v>800.9365958904109</v>
      </c>
      <c r="U1450" s="15">
        <f t="shared" si="135"/>
        <v>35</v>
      </c>
      <c r="V1450" s="3">
        <f t="shared" si="136"/>
        <v>0</v>
      </c>
      <c r="W1450" s="3">
        <f t="shared" si="137"/>
        <v>1278</v>
      </c>
    </row>
    <row r="1451" spans="1:23" x14ac:dyDescent="0.2">
      <c r="A1451" t="s">
        <v>197</v>
      </c>
      <c r="B1451" t="s">
        <v>198</v>
      </c>
      <c r="C1451" t="s">
        <v>23</v>
      </c>
      <c r="D1451" t="s">
        <v>48</v>
      </c>
      <c r="E1451" t="s">
        <v>56</v>
      </c>
      <c r="F1451" s="7">
        <v>13513506</v>
      </c>
      <c r="G1451" t="s">
        <v>1408</v>
      </c>
      <c r="H1451" s="5">
        <v>78005</v>
      </c>
      <c r="I1451" s="12">
        <v>45677</v>
      </c>
      <c r="J1451" s="15">
        <v>45</v>
      </c>
      <c r="K1451" s="15">
        <v>3</v>
      </c>
      <c r="L1451" s="9">
        <v>8.1799999999999998E-2</v>
      </c>
      <c r="M1451" s="9">
        <v>4.5499999999999999E-2</v>
      </c>
      <c r="N1451" s="15">
        <v>8</v>
      </c>
      <c r="O1451" t="s">
        <v>27</v>
      </c>
      <c r="P1451" t="s">
        <v>27</v>
      </c>
      <c r="Q1451" s="24">
        <v>0</v>
      </c>
      <c r="R1451" s="5">
        <f t="shared" si="132"/>
        <v>786.6750821917808</v>
      </c>
      <c r="S1451" s="5">
        <f t="shared" si="133"/>
        <v>77.79128767123288</v>
      </c>
      <c r="T1451" s="5">
        <f t="shared" si="134"/>
        <v>708.88379452054789</v>
      </c>
      <c r="U1451" s="15">
        <f t="shared" si="135"/>
        <v>37</v>
      </c>
      <c r="V1451" s="3">
        <f t="shared" si="136"/>
        <v>0</v>
      </c>
      <c r="W1451" s="3">
        <f t="shared" si="137"/>
        <v>1278</v>
      </c>
    </row>
    <row r="1452" spans="1:23" x14ac:dyDescent="0.2">
      <c r="A1452" t="s">
        <v>596</v>
      </c>
      <c r="B1452" t="s">
        <v>439</v>
      </c>
      <c r="C1452" t="s">
        <v>77</v>
      </c>
      <c r="D1452" t="s">
        <v>24</v>
      </c>
      <c r="E1452" t="s">
        <v>56</v>
      </c>
      <c r="F1452" s="7">
        <v>9396117</v>
      </c>
      <c r="G1452" t="s">
        <v>1411</v>
      </c>
      <c r="H1452" s="5">
        <v>56749</v>
      </c>
      <c r="I1452" s="12">
        <v>45678</v>
      </c>
      <c r="J1452" s="15">
        <v>60</v>
      </c>
      <c r="K1452" s="15">
        <v>3</v>
      </c>
      <c r="L1452" s="9">
        <v>7.2400000000000006E-2</v>
      </c>
      <c r="M1452" s="9">
        <v>5.1799999999999999E-2</v>
      </c>
      <c r="N1452" s="15">
        <v>7</v>
      </c>
      <c r="O1452" t="s">
        <v>27</v>
      </c>
      <c r="P1452" t="s">
        <v>27</v>
      </c>
      <c r="Q1452" s="24">
        <v>0</v>
      </c>
      <c r="R1452" s="5">
        <f t="shared" si="132"/>
        <v>675.39083835616441</v>
      </c>
      <c r="S1452" s="5">
        <f t="shared" si="133"/>
        <v>56.375855890410961</v>
      </c>
      <c r="T1452" s="5">
        <f t="shared" si="134"/>
        <v>619.01498246575341</v>
      </c>
      <c r="U1452" s="15">
        <f t="shared" si="135"/>
        <v>53</v>
      </c>
      <c r="V1452" s="3">
        <f t="shared" si="136"/>
        <v>0</v>
      </c>
      <c r="W1452" s="3">
        <f t="shared" si="137"/>
        <v>1278</v>
      </c>
    </row>
    <row r="1453" spans="1:23" x14ac:dyDescent="0.2">
      <c r="A1453" t="s">
        <v>281</v>
      </c>
      <c r="B1453" t="s">
        <v>47</v>
      </c>
      <c r="C1453" t="s">
        <v>23</v>
      </c>
      <c r="D1453" t="s">
        <v>66</v>
      </c>
      <c r="E1453" t="s">
        <v>56</v>
      </c>
      <c r="F1453" s="7">
        <v>22780879</v>
      </c>
      <c r="G1453" t="s">
        <v>1412</v>
      </c>
      <c r="H1453" s="5">
        <v>105423</v>
      </c>
      <c r="I1453" s="12">
        <v>45948</v>
      </c>
      <c r="J1453" s="15">
        <v>60</v>
      </c>
      <c r="K1453" s="15">
        <v>5</v>
      </c>
      <c r="L1453" s="9">
        <v>7.0800000000000002E-2</v>
      </c>
      <c r="M1453" s="9">
        <v>4.9799999999999997E-2</v>
      </c>
      <c r="N1453" s="15">
        <v>10</v>
      </c>
      <c r="O1453" t="s">
        <v>27</v>
      </c>
      <c r="P1453" t="s">
        <v>27</v>
      </c>
      <c r="Q1453" s="24">
        <v>0</v>
      </c>
      <c r="R1453" s="5">
        <f t="shared" si="132"/>
        <v>1226.9504219178082</v>
      </c>
      <c r="S1453" s="5">
        <f t="shared" si="133"/>
        <v>143.83740821917806</v>
      </c>
      <c r="T1453" s="5">
        <f t="shared" si="134"/>
        <v>1083.1130136986301</v>
      </c>
      <c r="U1453" s="15">
        <f t="shared" si="135"/>
        <v>50</v>
      </c>
      <c r="V1453" s="3">
        <f t="shared" si="136"/>
        <v>0</v>
      </c>
      <c r="W1453" s="3">
        <f t="shared" si="137"/>
        <v>1278</v>
      </c>
    </row>
    <row r="1454" spans="1:23" x14ac:dyDescent="0.2">
      <c r="A1454" t="s">
        <v>453</v>
      </c>
      <c r="B1454" t="s">
        <v>454</v>
      </c>
      <c r="C1454" t="s">
        <v>23</v>
      </c>
      <c r="D1454" t="s">
        <v>32</v>
      </c>
      <c r="E1454" t="s">
        <v>49</v>
      </c>
      <c r="F1454" s="7">
        <v>1410716</v>
      </c>
      <c r="G1454" t="s">
        <v>1425</v>
      </c>
      <c r="H1454" s="5">
        <v>95320</v>
      </c>
      <c r="I1454" s="12">
        <v>45889</v>
      </c>
      <c r="J1454" s="15">
        <v>45</v>
      </c>
      <c r="K1454" s="15">
        <v>3</v>
      </c>
      <c r="L1454" s="9">
        <v>0.1472</v>
      </c>
      <c r="M1454" s="9">
        <v>4.6399999999999997E-2</v>
      </c>
      <c r="N1454" s="15">
        <v>8</v>
      </c>
      <c r="O1454" t="s">
        <v>28</v>
      </c>
      <c r="P1454" t="s">
        <v>27</v>
      </c>
      <c r="Q1454" s="24">
        <v>0</v>
      </c>
      <c r="R1454" s="5">
        <f t="shared" si="132"/>
        <v>1729.8621369863013</v>
      </c>
      <c r="S1454" s="5">
        <f t="shared" si="133"/>
        <v>96.939134246575335</v>
      </c>
      <c r="T1454" s="5">
        <f t="shared" si="134"/>
        <v>1632.9230027397259</v>
      </c>
      <c r="U1454" s="15">
        <f t="shared" si="135"/>
        <v>37</v>
      </c>
      <c r="V1454" s="3">
        <f t="shared" si="136"/>
        <v>0</v>
      </c>
      <c r="W1454" s="3">
        <f t="shared" si="137"/>
        <v>1278</v>
      </c>
    </row>
    <row r="1455" spans="1:23" x14ac:dyDescent="0.2">
      <c r="A1455" t="s">
        <v>39</v>
      </c>
      <c r="B1455" t="s">
        <v>40</v>
      </c>
      <c r="C1455" t="s">
        <v>41</v>
      </c>
      <c r="D1455" t="s">
        <v>32</v>
      </c>
      <c r="E1455" t="s">
        <v>25</v>
      </c>
      <c r="F1455" s="7">
        <v>6162123</v>
      </c>
      <c r="G1455" t="s">
        <v>1428</v>
      </c>
      <c r="H1455" s="5">
        <v>69250</v>
      </c>
      <c r="I1455" s="12">
        <v>45759</v>
      </c>
      <c r="J1455" s="15">
        <v>60</v>
      </c>
      <c r="K1455" s="15">
        <v>10</v>
      </c>
      <c r="L1455" s="9">
        <v>0.1231</v>
      </c>
      <c r="M1455" s="9">
        <v>5.6399999999999999E-2</v>
      </c>
      <c r="N1455" s="15">
        <v>5</v>
      </c>
      <c r="O1455" t="s">
        <v>27</v>
      </c>
      <c r="P1455" t="s">
        <v>27</v>
      </c>
      <c r="Q1455" s="24">
        <v>0</v>
      </c>
      <c r="R1455" s="5">
        <f t="shared" si="132"/>
        <v>1401.3164383561641</v>
      </c>
      <c r="S1455" s="5">
        <f t="shared" si="133"/>
        <v>53.502739726027393</v>
      </c>
      <c r="T1455" s="5">
        <f t="shared" si="134"/>
        <v>1347.8136986301367</v>
      </c>
      <c r="U1455" s="15">
        <f t="shared" si="135"/>
        <v>55</v>
      </c>
      <c r="V1455" s="3">
        <f t="shared" si="136"/>
        <v>0</v>
      </c>
      <c r="W1455" s="3">
        <f t="shared" si="137"/>
        <v>1278</v>
      </c>
    </row>
    <row r="1456" spans="1:23" x14ac:dyDescent="0.2">
      <c r="A1456" t="s">
        <v>351</v>
      </c>
      <c r="B1456" t="s">
        <v>352</v>
      </c>
      <c r="C1456" t="s">
        <v>36</v>
      </c>
      <c r="D1456" t="s">
        <v>24</v>
      </c>
      <c r="E1456" t="s">
        <v>49</v>
      </c>
      <c r="F1456" s="7">
        <v>1439833</v>
      </c>
      <c r="G1456" t="s">
        <v>1431</v>
      </c>
      <c r="H1456" s="5">
        <v>100335</v>
      </c>
      <c r="I1456" s="12">
        <v>45982</v>
      </c>
      <c r="J1456" s="15">
        <v>60</v>
      </c>
      <c r="K1456" s="15">
        <v>7</v>
      </c>
      <c r="L1456" s="9">
        <v>0.17630000000000001</v>
      </c>
      <c r="M1456" s="9">
        <v>5.9400000000000001E-2</v>
      </c>
      <c r="N1456" s="15">
        <v>8</v>
      </c>
      <c r="O1456" t="s">
        <v>27</v>
      </c>
      <c r="P1456" t="s">
        <v>27</v>
      </c>
      <c r="Q1456" s="24">
        <v>0</v>
      </c>
      <c r="R1456" s="5">
        <f t="shared" si="132"/>
        <v>2907.7907671232874</v>
      </c>
      <c r="S1456" s="5">
        <f t="shared" si="133"/>
        <v>130.62792328767125</v>
      </c>
      <c r="T1456" s="5">
        <f t="shared" si="134"/>
        <v>2777.1628438356161</v>
      </c>
      <c r="U1456" s="15">
        <f t="shared" si="135"/>
        <v>52</v>
      </c>
      <c r="V1456" s="3">
        <f t="shared" si="136"/>
        <v>0</v>
      </c>
      <c r="W1456" s="3">
        <f t="shared" si="137"/>
        <v>1278</v>
      </c>
    </row>
    <row r="1457" spans="1:23" x14ac:dyDescent="0.2">
      <c r="A1457" t="s">
        <v>722</v>
      </c>
      <c r="B1457" t="s">
        <v>723</v>
      </c>
      <c r="C1457" t="s">
        <v>77</v>
      </c>
      <c r="D1457" t="s">
        <v>24</v>
      </c>
      <c r="E1457" t="s">
        <v>49</v>
      </c>
      <c r="F1457" s="7">
        <v>1097913</v>
      </c>
      <c r="G1457" t="s">
        <v>1440</v>
      </c>
      <c r="H1457" s="5">
        <v>27007</v>
      </c>
      <c r="I1457" s="12">
        <v>45869</v>
      </c>
      <c r="J1457" s="15">
        <v>45</v>
      </c>
      <c r="K1457" s="15">
        <v>5</v>
      </c>
      <c r="L1457" s="9">
        <v>0.16070000000000001</v>
      </c>
      <c r="M1457" s="9">
        <v>6.4000000000000001E-2</v>
      </c>
      <c r="N1457" s="15">
        <v>7</v>
      </c>
      <c r="O1457" t="s">
        <v>27</v>
      </c>
      <c r="P1457" t="s">
        <v>27</v>
      </c>
      <c r="Q1457" s="24">
        <v>0</v>
      </c>
      <c r="R1457" s="5">
        <f t="shared" si="132"/>
        <v>535.07156301369866</v>
      </c>
      <c r="S1457" s="5">
        <f t="shared" si="133"/>
        <v>33.148317808219183</v>
      </c>
      <c r="T1457" s="5">
        <f t="shared" si="134"/>
        <v>501.92324520547947</v>
      </c>
      <c r="U1457" s="15">
        <f t="shared" si="135"/>
        <v>38</v>
      </c>
      <c r="V1457" s="3">
        <f t="shared" si="136"/>
        <v>0</v>
      </c>
      <c r="W1457" s="3">
        <f t="shared" si="137"/>
        <v>1278</v>
      </c>
    </row>
    <row r="1458" spans="1:23" x14ac:dyDescent="0.2">
      <c r="A1458" t="s">
        <v>46</v>
      </c>
      <c r="B1458" t="s">
        <v>47</v>
      </c>
      <c r="C1458" t="s">
        <v>23</v>
      </c>
      <c r="D1458" t="s">
        <v>48</v>
      </c>
      <c r="E1458" t="s">
        <v>49</v>
      </c>
      <c r="F1458" s="7">
        <v>372648</v>
      </c>
      <c r="G1458" t="s">
        <v>1451</v>
      </c>
      <c r="H1458" s="5">
        <v>25555</v>
      </c>
      <c r="I1458" s="12">
        <v>45705</v>
      </c>
      <c r="J1458" s="15">
        <v>45</v>
      </c>
      <c r="K1458" s="15">
        <v>7</v>
      </c>
      <c r="L1458" s="9">
        <v>0.15049999999999999</v>
      </c>
      <c r="M1458" s="9">
        <v>4.7500000000000001E-2</v>
      </c>
      <c r="N1458" s="15">
        <v>6</v>
      </c>
      <c r="O1458" t="s">
        <v>27</v>
      </c>
      <c r="P1458" t="s">
        <v>27</v>
      </c>
      <c r="Q1458" s="24">
        <v>0</v>
      </c>
      <c r="R1458" s="5">
        <f t="shared" si="132"/>
        <v>474.16777397260267</v>
      </c>
      <c r="S1458" s="5">
        <f t="shared" si="133"/>
        <v>19.95390410958904</v>
      </c>
      <c r="T1458" s="5">
        <f t="shared" si="134"/>
        <v>454.21386986301366</v>
      </c>
      <c r="U1458" s="15">
        <f t="shared" si="135"/>
        <v>39</v>
      </c>
      <c r="V1458" s="3">
        <f t="shared" si="136"/>
        <v>0</v>
      </c>
      <c r="W1458" s="3">
        <f t="shared" si="137"/>
        <v>1278</v>
      </c>
    </row>
    <row r="1459" spans="1:23" x14ac:dyDescent="0.2">
      <c r="A1459" t="s">
        <v>362</v>
      </c>
      <c r="B1459" t="s">
        <v>363</v>
      </c>
      <c r="C1459" t="s">
        <v>31</v>
      </c>
      <c r="D1459" t="s">
        <v>66</v>
      </c>
      <c r="E1459" t="s">
        <v>25</v>
      </c>
      <c r="F1459" s="7">
        <v>3573998</v>
      </c>
      <c r="G1459" t="s">
        <v>1454</v>
      </c>
      <c r="H1459" s="5">
        <v>33116</v>
      </c>
      <c r="I1459" s="12">
        <v>45718</v>
      </c>
      <c r="J1459" s="15">
        <v>45</v>
      </c>
      <c r="K1459" s="15">
        <v>2</v>
      </c>
      <c r="L1459" s="9">
        <v>0.13200000000000001</v>
      </c>
      <c r="M1459" s="9">
        <v>6.3100000000000003E-2</v>
      </c>
      <c r="N1459" s="15">
        <v>10</v>
      </c>
      <c r="O1459" t="s">
        <v>27</v>
      </c>
      <c r="P1459" t="s">
        <v>27</v>
      </c>
      <c r="Q1459" s="24">
        <v>0</v>
      </c>
      <c r="R1459" s="5">
        <f t="shared" si="132"/>
        <v>538.9288767123287</v>
      </c>
      <c r="S1459" s="5">
        <f t="shared" si="133"/>
        <v>57.249852054794516</v>
      </c>
      <c r="T1459" s="5">
        <f t="shared" si="134"/>
        <v>481.67902465753417</v>
      </c>
      <c r="U1459" s="15">
        <f t="shared" si="135"/>
        <v>35</v>
      </c>
      <c r="V1459" s="3">
        <f t="shared" si="136"/>
        <v>0</v>
      </c>
      <c r="W1459" s="3">
        <f t="shared" si="137"/>
        <v>1278</v>
      </c>
    </row>
    <row r="1460" spans="1:23" x14ac:dyDescent="0.2">
      <c r="A1460" t="s">
        <v>421</v>
      </c>
      <c r="B1460" t="s">
        <v>422</v>
      </c>
      <c r="C1460" t="s">
        <v>41</v>
      </c>
      <c r="D1460" t="s">
        <v>66</v>
      </c>
      <c r="E1460" t="s">
        <v>56</v>
      </c>
      <c r="F1460" s="7">
        <v>13972206</v>
      </c>
      <c r="G1460" t="s">
        <v>1458</v>
      </c>
      <c r="H1460" s="5">
        <v>104809</v>
      </c>
      <c r="I1460" s="12">
        <v>45756</v>
      </c>
      <c r="J1460" s="15">
        <v>60</v>
      </c>
      <c r="K1460" s="15">
        <v>4</v>
      </c>
      <c r="L1460" s="9">
        <v>9.5000000000000001E-2</v>
      </c>
      <c r="M1460" s="9">
        <v>5.4300000000000001E-2</v>
      </c>
      <c r="N1460" s="15">
        <v>8</v>
      </c>
      <c r="O1460" t="s">
        <v>27</v>
      </c>
      <c r="P1460" t="s">
        <v>27</v>
      </c>
      <c r="Q1460" s="24">
        <v>0</v>
      </c>
      <c r="R1460" s="5">
        <f t="shared" si="132"/>
        <v>1636.7432876712328</v>
      </c>
      <c r="S1460" s="5">
        <f t="shared" si="133"/>
        <v>124.73706739726028</v>
      </c>
      <c r="T1460" s="5">
        <f t="shared" si="134"/>
        <v>1512.0062202739725</v>
      </c>
      <c r="U1460" s="15">
        <f t="shared" si="135"/>
        <v>52</v>
      </c>
      <c r="V1460" s="3">
        <f t="shared" si="136"/>
        <v>0</v>
      </c>
      <c r="W1460" s="3">
        <f t="shared" si="137"/>
        <v>1278</v>
      </c>
    </row>
    <row r="1461" spans="1:23" x14ac:dyDescent="0.2">
      <c r="A1461" t="s">
        <v>179</v>
      </c>
      <c r="B1461" t="s">
        <v>180</v>
      </c>
      <c r="C1461" t="s">
        <v>36</v>
      </c>
      <c r="D1461" t="s">
        <v>48</v>
      </c>
      <c r="E1461" t="s">
        <v>25</v>
      </c>
      <c r="F1461" s="7">
        <v>6074867</v>
      </c>
      <c r="G1461" t="s">
        <v>1469</v>
      </c>
      <c r="H1461" s="5">
        <v>42988</v>
      </c>
      <c r="I1461" s="12">
        <v>45803</v>
      </c>
      <c r="J1461" s="15">
        <v>60</v>
      </c>
      <c r="K1461" s="15">
        <v>4</v>
      </c>
      <c r="L1461" s="9">
        <v>9.4299999999999995E-2</v>
      </c>
      <c r="M1461" s="9">
        <v>4.5400000000000003E-2</v>
      </c>
      <c r="N1461" s="15">
        <v>10</v>
      </c>
      <c r="O1461" t="s">
        <v>27</v>
      </c>
      <c r="P1461" t="s">
        <v>27</v>
      </c>
      <c r="Q1461" s="24">
        <v>0</v>
      </c>
      <c r="R1461" s="5">
        <f t="shared" si="132"/>
        <v>666.37288767123277</v>
      </c>
      <c r="S1461" s="5">
        <f t="shared" si="133"/>
        <v>53.470005479452055</v>
      </c>
      <c r="T1461" s="5">
        <f t="shared" si="134"/>
        <v>612.90288219178069</v>
      </c>
      <c r="U1461" s="15">
        <f t="shared" si="135"/>
        <v>50</v>
      </c>
      <c r="V1461" s="3">
        <f t="shared" si="136"/>
        <v>0</v>
      </c>
      <c r="W1461" s="3">
        <f t="shared" si="137"/>
        <v>1278</v>
      </c>
    </row>
    <row r="1462" spans="1:23" x14ac:dyDescent="0.2">
      <c r="A1462" t="s">
        <v>491</v>
      </c>
      <c r="B1462" t="s">
        <v>131</v>
      </c>
      <c r="C1462" t="s">
        <v>31</v>
      </c>
      <c r="D1462" t="s">
        <v>32</v>
      </c>
      <c r="E1462" t="s">
        <v>56</v>
      </c>
      <c r="F1462" s="7">
        <v>21735545</v>
      </c>
      <c r="G1462" t="s">
        <v>1473</v>
      </c>
      <c r="H1462" s="5">
        <v>92999</v>
      </c>
      <c r="I1462" s="12">
        <v>46010</v>
      </c>
      <c r="J1462" s="15">
        <v>45</v>
      </c>
      <c r="K1462" s="15">
        <v>3</v>
      </c>
      <c r="L1462" s="9">
        <v>7.4999999999999997E-2</v>
      </c>
      <c r="M1462" s="9">
        <v>4.5999999999999999E-2</v>
      </c>
      <c r="N1462" s="15">
        <v>5</v>
      </c>
      <c r="O1462" t="s">
        <v>28</v>
      </c>
      <c r="P1462" t="s">
        <v>27</v>
      </c>
      <c r="Q1462" s="24">
        <v>0</v>
      </c>
      <c r="R1462" s="5">
        <f t="shared" si="132"/>
        <v>859.9222602739726</v>
      </c>
      <c r="S1462" s="5">
        <f t="shared" si="133"/>
        <v>58.602109589041092</v>
      </c>
      <c r="T1462" s="5">
        <f t="shared" si="134"/>
        <v>801.32015068493149</v>
      </c>
      <c r="U1462" s="15">
        <f t="shared" si="135"/>
        <v>40</v>
      </c>
      <c r="V1462" s="3">
        <f t="shared" si="136"/>
        <v>0</v>
      </c>
      <c r="W1462" s="3">
        <f t="shared" si="137"/>
        <v>1278</v>
      </c>
    </row>
    <row r="1463" spans="1:23" x14ac:dyDescent="0.2">
      <c r="A1463" t="s">
        <v>247</v>
      </c>
      <c r="B1463" t="s">
        <v>47</v>
      </c>
      <c r="C1463" t="s">
        <v>31</v>
      </c>
      <c r="D1463" t="s">
        <v>48</v>
      </c>
      <c r="E1463" t="s">
        <v>49</v>
      </c>
      <c r="F1463" s="7">
        <v>1089809</v>
      </c>
      <c r="G1463" t="s">
        <v>1497</v>
      </c>
      <c r="H1463" s="5">
        <v>13777</v>
      </c>
      <c r="I1463" s="12">
        <v>45963</v>
      </c>
      <c r="J1463" s="15">
        <v>60</v>
      </c>
      <c r="K1463" s="15">
        <v>4</v>
      </c>
      <c r="L1463" s="9">
        <v>0.16689999999999999</v>
      </c>
      <c r="M1463" s="9">
        <v>5.9200000000000003E-2</v>
      </c>
      <c r="N1463" s="15">
        <v>10</v>
      </c>
      <c r="O1463" t="s">
        <v>27</v>
      </c>
      <c r="P1463" t="s">
        <v>27</v>
      </c>
      <c r="Q1463" s="24">
        <v>0</v>
      </c>
      <c r="R1463" s="5">
        <f t="shared" si="132"/>
        <v>377.98048767123288</v>
      </c>
      <c r="S1463" s="5">
        <f t="shared" si="133"/>
        <v>22.345161643835617</v>
      </c>
      <c r="T1463" s="5">
        <f t="shared" si="134"/>
        <v>355.63532602739724</v>
      </c>
      <c r="U1463" s="15">
        <f t="shared" si="135"/>
        <v>50</v>
      </c>
      <c r="V1463" s="3">
        <f t="shared" si="136"/>
        <v>0</v>
      </c>
      <c r="W1463" s="3">
        <f t="shared" si="137"/>
        <v>1278</v>
      </c>
    </row>
    <row r="1464" spans="1:23" x14ac:dyDescent="0.2">
      <c r="A1464" t="s">
        <v>377</v>
      </c>
      <c r="B1464" t="s">
        <v>378</v>
      </c>
      <c r="C1464" t="s">
        <v>31</v>
      </c>
      <c r="D1464" t="s">
        <v>48</v>
      </c>
      <c r="E1464" t="s">
        <v>25</v>
      </c>
      <c r="F1464" s="7">
        <v>3293043</v>
      </c>
      <c r="G1464" t="s">
        <v>1501</v>
      </c>
      <c r="H1464" s="5">
        <v>46774</v>
      </c>
      <c r="I1464" s="12">
        <v>45799</v>
      </c>
      <c r="J1464" s="15">
        <v>90</v>
      </c>
      <c r="K1464" s="15">
        <v>4</v>
      </c>
      <c r="L1464" s="9">
        <v>0.13320000000000001</v>
      </c>
      <c r="M1464" s="9">
        <v>6.2799999999999995E-2</v>
      </c>
      <c r="N1464" s="15">
        <v>8</v>
      </c>
      <c r="O1464" t="s">
        <v>27</v>
      </c>
      <c r="P1464" t="s">
        <v>27</v>
      </c>
      <c r="Q1464" s="24">
        <v>0</v>
      </c>
      <c r="R1464" s="5">
        <f t="shared" si="132"/>
        <v>1536.2375671232878</v>
      </c>
      <c r="S1464" s="5">
        <f t="shared" si="133"/>
        <v>64.381527671232874</v>
      </c>
      <c r="T1464" s="5">
        <f t="shared" si="134"/>
        <v>1471.856039452055</v>
      </c>
      <c r="U1464" s="15">
        <f t="shared" si="135"/>
        <v>82</v>
      </c>
      <c r="V1464" s="3">
        <f t="shared" si="136"/>
        <v>0</v>
      </c>
      <c r="W1464" s="3">
        <f t="shared" si="137"/>
        <v>1278</v>
      </c>
    </row>
    <row r="1465" spans="1:23" x14ac:dyDescent="0.2">
      <c r="A1465" t="s">
        <v>518</v>
      </c>
      <c r="B1465" t="s">
        <v>519</v>
      </c>
      <c r="C1465" t="s">
        <v>41</v>
      </c>
      <c r="D1465" t="s">
        <v>48</v>
      </c>
      <c r="E1465" t="s">
        <v>25</v>
      </c>
      <c r="F1465" s="7">
        <v>6967315</v>
      </c>
      <c r="G1465" t="s">
        <v>1508</v>
      </c>
      <c r="H1465" s="5">
        <v>58482</v>
      </c>
      <c r="I1465" s="12">
        <v>45791</v>
      </c>
      <c r="J1465" s="15">
        <v>45</v>
      </c>
      <c r="K1465" s="15">
        <v>10</v>
      </c>
      <c r="L1465" s="9">
        <v>9.1999999999999998E-2</v>
      </c>
      <c r="M1465" s="9">
        <v>5.7700000000000001E-2</v>
      </c>
      <c r="N1465" s="15">
        <v>8</v>
      </c>
      <c r="O1465" t="s">
        <v>27</v>
      </c>
      <c r="P1465" t="s">
        <v>27</v>
      </c>
      <c r="Q1465" s="24">
        <v>0</v>
      </c>
      <c r="R1465" s="5">
        <f t="shared" si="132"/>
        <v>663.33008219178078</v>
      </c>
      <c r="S1465" s="5">
        <f t="shared" si="133"/>
        <v>73.959701917808218</v>
      </c>
      <c r="T1465" s="5">
        <f t="shared" si="134"/>
        <v>589.37038027397261</v>
      </c>
      <c r="U1465" s="15">
        <f t="shared" si="135"/>
        <v>37</v>
      </c>
      <c r="V1465" s="3">
        <f t="shared" si="136"/>
        <v>0</v>
      </c>
      <c r="W1465" s="3">
        <f t="shared" si="137"/>
        <v>1278</v>
      </c>
    </row>
    <row r="1466" spans="1:23" x14ac:dyDescent="0.2">
      <c r="A1466" t="s">
        <v>39</v>
      </c>
      <c r="B1466" t="s">
        <v>40</v>
      </c>
      <c r="C1466" t="s">
        <v>41</v>
      </c>
      <c r="D1466" t="s">
        <v>32</v>
      </c>
      <c r="E1466" t="s">
        <v>25</v>
      </c>
      <c r="F1466" s="7">
        <v>6162123</v>
      </c>
      <c r="G1466" t="s">
        <v>1510</v>
      </c>
      <c r="H1466" s="5">
        <v>29785</v>
      </c>
      <c r="I1466" s="12">
        <v>45894</v>
      </c>
      <c r="J1466" s="15">
        <v>60</v>
      </c>
      <c r="K1466" s="15">
        <v>3</v>
      </c>
      <c r="L1466" s="9">
        <v>0.1231</v>
      </c>
      <c r="M1466" s="9">
        <v>5.0999999999999997E-2</v>
      </c>
      <c r="N1466" s="15">
        <v>5</v>
      </c>
      <c r="O1466" t="s">
        <v>27</v>
      </c>
      <c r="P1466" t="s">
        <v>27</v>
      </c>
      <c r="Q1466" s="24">
        <v>0</v>
      </c>
      <c r="R1466" s="5">
        <f t="shared" si="132"/>
        <v>602.71783561643838</v>
      </c>
      <c r="S1466" s="5">
        <f t="shared" si="133"/>
        <v>20.808698630136984</v>
      </c>
      <c r="T1466" s="5">
        <f t="shared" si="134"/>
        <v>581.90913698630141</v>
      </c>
      <c r="U1466" s="15">
        <f t="shared" si="135"/>
        <v>55</v>
      </c>
      <c r="V1466" s="3">
        <f t="shared" si="136"/>
        <v>0</v>
      </c>
      <c r="W1466" s="3">
        <f t="shared" si="137"/>
        <v>1278</v>
      </c>
    </row>
    <row r="1467" spans="1:23" x14ac:dyDescent="0.2">
      <c r="A1467" t="s">
        <v>415</v>
      </c>
      <c r="B1467" t="s">
        <v>416</v>
      </c>
      <c r="C1467" t="s">
        <v>31</v>
      </c>
      <c r="D1467" t="s">
        <v>66</v>
      </c>
      <c r="E1467" t="s">
        <v>49</v>
      </c>
      <c r="F1467" s="7">
        <v>1241903</v>
      </c>
      <c r="G1467" t="s">
        <v>1512</v>
      </c>
      <c r="H1467" s="5">
        <v>58865</v>
      </c>
      <c r="I1467" s="12">
        <v>45671</v>
      </c>
      <c r="J1467" s="15">
        <v>60</v>
      </c>
      <c r="K1467" s="15">
        <v>5</v>
      </c>
      <c r="L1467" s="9">
        <v>0.15939999999999999</v>
      </c>
      <c r="M1467" s="9">
        <v>5.4300000000000001E-2</v>
      </c>
      <c r="N1467" s="15">
        <v>8</v>
      </c>
      <c r="O1467" t="s">
        <v>27</v>
      </c>
      <c r="P1467" t="s">
        <v>27</v>
      </c>
      <c r="Q1467" s="24">
        <v>0</v>
      </c>
      <c r="R1467" s="5">
        <f t="shared" si="132"/>
        <v>1542.4242739726024</v>
      </c>
      <c r="S1467" s="5">
        <f t="shared" si="133"/>
        <v>70.057413698630143</v>
      </c>
      <c r="T1467" s="5">
        <f t="shared" si="134"/>
        <v>1472.3668602739722</v>
      </c>
      <c r="U1467" s="15">
        <f t="shared" si="135"/>
        <v>52</v>
      </c>
      <c r="V1467" s="3">
        <f t="shared" si="136"/>
        <v>0</v>
      </c>
      <c r="W1467" s="3">
        <f t="shared" si="137"/>
        <v>1278</v>
      </c>
    </row>
    <row r="1468" spans="1:23" x14ac:dyDescent="0.2">
      <c r="A1468" t="s">
        <v>314</v>
      </c>
      <c r="B1468" t="s">
        <v>211</v>
      </c>
      <c r="C1468" t="s">
        <v>36</v>
      </c>
      <c r="D1468" t="s">
        <v>66</v>
      </c>
      <c r="E1468" t="s">
        <v>56</v>
      </c>
      <c r="F1468" s="7">
        <v>16270036</v>
      </c>
      <c r="G1468" t="s">
        <v>1519</v>
      </c>
      <c r="H1468" s="5">
        <v>75564</v>
      </c>
      <c r="I1468" s="12">
        <v>45924</v>
      </c>
      <c r="J1468" s="15">
        <v>60</v>
      </c>
      <c r="K1468" s="15">
        <v>3</v>
      </c>
      <c r="L1468" s="9">
        <v>9.2200000000000004E-2</v>
      </c>
      <c r="M1468" s="9">
        <v>4.7300000000000002E-2</v>
      </c>
      <c r="N1468" s="15">
        <v>5</v>
      </c>
      <c r="O1468" t="s">
        <v>28</v>
      </c>
      <c r="P1468" t="s">
        <v>27</v>
      </c>
      <c r="Q1468" s="24">
        <v>0</v>
      </c>
      <c r="R1468" s="5">
        <f t="shared" si="132"/>
        <v>1145.2604054794522</v>
      </c>
      <c r="S1468" s="5">
        <f t="shared" si="133"/>
        <v>48.961331506849312</v>
      </c>
      <c r="T1468" s="5">
        <f t="shared" si="134"/>
        <v>1096.2990739726029</v>
      </c>
      <c r="U1468" s="15">
        <f t="shared" si="135"/>
        <v>55</v>
      </c>
      <c r="V1468" s="3">
        <f t="shared" si="136"/>
        <v>0</v>
      </c>
      <c r="W1468" s="3">
        <f t="shared" si="137"/>
        <v>1278</v>
      </c>
    </row>
    <row r="1469" spans="1:23" x14ac:dyDescent="0.2">
      <c r="A1469" t="s">
        <v>281</v>
      </c>
      <c r="B1469" t="s">
        <v>47</v>
      </c>
      <c r="C1469" t="s">
        <v>23</v>
      </c>
      <c r="D1469" t="s">
        <v>66</v>
      </c>
      <c r="E1469" t="s">
        <v>56</v>
      </c>
      <c r="F1469" s="7">
        <v>22780879</v>
      </c>
      <c r="G1469" t="s">
        <v>1551</v>
      </c>
      <c r="H1469" s="5">
        <v>89151</v>
      </c>
      <c r="I1469" s="12">
        <v>45665</v>
      </c>
      <c r="J1469" s="15">
        <v>30</v>
      </c>
      <c r="K1469" s="15">
        <v>5</v>
      </c>
      <c r="L1469" s="9">
        <v>7.0800000000000002E-2</v>
      </c>
      <c r="M1469" s="9">
        <v>5.9900000000000002E-2</v>
      </c>
      <c r="N1469" s="15">
        <v>10</v>
      </c>
      <c r="O1469" t="s">
        <v>27</v>
      </c>
      <c r="P1469" t="s">
        <v>27</v>
      </c>
      <c r="Q1469" s="24">
        <v>0</v>
      </c>
      <c r="R1469" s="5">
        <f t="shared" si="132"/>
        <v>518.78554520547948</v>
      </c>
      <c r="S1469" s="5">
        <f t="shared" si="133"/>
        <v>146.3053397260274</v>
      </c>
      <c r="T1469" s="5">
        <f t="shared" si="134"/>
        <v>372.48020547945208</v>
      </c>
      <c r="U1469" s="15">
        <f t="shared" si="135"/>
        <v>20</v>
      </c>
      <c r="V1469" s="3">
        <f t="shared" si="136"/>
        <v>0</v>
      </c>
      <c r="W1469" s="3">
        <f t="shared" si="137"/>
        <v>1278</v>
      </c>
    </row>
    <row r="1470" spans="1:23" x14ac:dyDescent="0.2">
      <c r="A1470" t="s">
        <v>513</v>
      </c>
      <c r="B1470" t="s">
        <v>245</v>
      </c>
      <c r="C1470" t="s">
        <v>36</v>
      </c>
      <c r="D1470" t="s">
        <v>66</v>
      </c>
      <c r="E1470" t="s">
        <v>25</v>
      </c>
      <c r="F1470" s="7">
        <v>1884403</v>
      </c>
      <c r="G1470" t="s">
        <v>1554</v>
      </c>
      <c r="H1470" s="5">
        <v>22066</v>
      </c>
      <c r="I1470" s="12">
        <v>45885</v>
      </c>
      <c r="J1470" s="15">
        <v>30</v>
      </c>
      <c r="K1470" s="15">
        <v>7</v>
      </c>
      <c r="L1470" s="9">
        <v>0.1231</v>
      </c>
      <c r="M1470" s="9">
        <v>4.9099999999999998E-2</v>
      </c>
      <c r="N1470" s="15">
        <v>7</v>
      </c>
      <c r="O1470" t="s">
        <v>27</v>
      </c>
      <c r="P1470" t="s">
        <v>27</v>
      </c>
      <c r="Q1470" s="24">
        <v>0</v>
      </c>
      <c r="R1470" s="5">
        <f t="shared" si="132"/>
        <v>223.25955616438355</v>
      </c>
      <c r="S1470" s="5">
        <f t="shared" si="133"/>
        <v>20.778312876712327</v>
      </c>
      <c r="T1470" s="5">
        <f t="shared" si="134"/>
        <v>202.48124328767122</v>
      </c>
      <c r="U1470" s="15">
        <f t="shared" si="135"/>
        <v>23</v>
      </c>
      <c r="V1470" s="3">
        <f t="shared" si="136"/>
        <v>0</v>
      </c>
      <c r="W1470" s="3">
        <f t="shared" si="137"/>
        <v>1278</v>
      </c>
    </row>
    <row r="1471" spans="1:23" x14ac:dyDescent="0.2">
      <c r="A1471" t="s">
        <v>382</v>
      </c>
      <c r="B1471" t="s">
        <v>383</v>
      </c>
      <c r="C1471" t="s">
        <v>41</v>
      </c>
      <c r="D1471" t="s">
        <v>32</v>
      </c>
      <c r="E1471" t="s">
        <v>25</v>
      </c>
      <c r="F1471" s="7">
        <v>3772612</v>
      </c>
      <c r="G1471" t="s">
        <v>1561</v>
      </c>
      <c r="H1471" s="5">
        <v>57587</v>
      </c>
      <c r="I1471" s="12">
        <v>46072</v>
      </c>
      <c r="J1471" s="15">
        <v>90</v>
      </c>
      <c r="K1471" s="15">
        <v>7</v>
      </c>
      <c r="L1471" s="9">
        <v>0.1053</v>
      </c>
      <c r="M1471" s="9">
        <v>6.0100000000000001E-2</v>
      </c>
      <c r="N1471" s="15">
        <v>7</v>
      </c>
      <c r="O1471" t="s">
        <v>27</v>
      </c>
      <c r="P1471" t="s">
        <v>27</v>
      </c>
      <c r="Q1471" s="24">
        <v>0</v>
      </c>
      <c r="R1471" s="5">
        <f t="shared" si="132"/>
        <v>1495.2109561643836</v>
      </c>
      <c r="S1471" s="5">
        <f t="shared" si="133"/>
        <v>66.374933972602747</v>
      </c>
      <c r="T1471" s="5">
        <f t="shared" si="134"/>
        <v>1428.8360221917808</v>
      </c>
      <c r="U1471" s="15">
        <f t="shared" si="135"/>
        <v>83</v>
      </c>
      <c r="V1471" s="3">
        <f t="shared" si="136"/>
        <v>0</v>
      </c>
      <c r="W1471" s="3">
        <f t="shared" si="137"/>
        <v>1278</v>
      </c>
    </row>
    <row r="1472" spans="1:23" x14ac:dyDescent="0.2">
      <c r="A1472" t="s">
        <v>142</v>
      </c>
      <c r="B1472" t="s">
        <v>143</v>
      </c>
      <c r="C1472" t="s">
        <v>36</v>
      </c>
      <c r="D1472" t="s">
        <v>66</v>
      </c>
      <c r="E1472" t="s">
        <v>49</v>
      </c>
      <c r="F1472" s="7">
        <v>735440</v>
      </c>
      <c r="G1472" t="s">
        <v>1563</v>
      </c>
      <c r="H1472" s="5">
        <v>19486</v>
      </c>
      <c r="I1472" s="12">
        <v>45895</v>
      </c>
      <c r="J1472" s="15">
        <v>60</v>
      </c>
      <c r="K1472" s="15">
        <v>7</v>
      </c>
      <c r="L1472" s="9">
        <v>0.13020000000000001</v>
      </c>
      <c r="M1472" s="9">
        <v>5.28E-2</v>
      </c>
      <c r="N1472" s="15">
        <v>7</v>
      </c>
      <c r="O1472" t="s">
        <v>27</v>
      </c>
      <c r="P1472" t="s">
        <v>27</v>
      </c>
      <c r="Q1472" s="24">
        <v>0</v>
      </c>
      <c r="R1472" s="5">
        <f t="shared" si="132"/>
        <v>417.05378630136988</v>
      </c>
      <c r="S1472" s="5">
        <f t="shared" si="133"/>
        <v>19.73157698630137</v>
      </c>
      <c r="T1472" s="5">
        <f t="shared" si="134"/>
        <v>397.32220931506851</v>
      </c>
      <c r="U1472" s="15">
        <f t="shared" si="135"/>
        <v>53</v>
      </c>
      <c r="V1472" s="3">
        <f t="shared" si="136"/>
        <v>0</v>
      </c>
      <c r="W1472" s="3">
        <f t="shared" si="137"/>
        <v>1278</v>
      </c>
    </row>
    <row r="1473" spans="1:23" x14ac:dyDescent="0.2">
      <c r="A1473" t="s">
        <v>396</v>
      </c>
      <c r="B1473" t="s">
        <v>397</v>
      </c>
      <c r="C1473" t="s">
        <v>77</v>
      </c>
      <c r="D1473" t="s">
        <v>66</v>
      </c>
      <c r="E1473" t="s">
        <v>49</v>
      </c>
      <c r="F1473" s="7">
        <v>1043844</v>
      </c>
      <c r="G1473" t="s">
        <v>1569</v>
      </c>
      <c r="H1473" s="5">
        <v>19678</v>
      </c>
      <c r="I1473" s="12">
        <v>45883</v>
      </c>
      <c r="J1473" s="15">
        <v>60</v>
      </c>
      <c r="K1473" s="15">
        <v>2</v>
      </c>
      <c r="L1473" s="9">
        <v>0.11550000000000001</v>
      </c>
      <c r="M1473" s="9">
        <v>5.0500000000000003E-2</v>
      </c>
      <c r="N1473" s="15">
        <v>10</v>
      </c>
      <c r="O1473" t="s">
        <v>27</v>
      </c>
      <c r="P1473" t="s">
        <v>27</v>
      </c>
      <c r="Q1473" s="24">
        <v>0</v>
      </c>
      <c r="R1473" s="5">
        <f t="shared" si="132"/>
        <v>373.61243835616438</v>
      </c>
      <c r="S1473" s="5">
        <f t="shared" si="133"/>
        <v>27.225726027397261</v>
      </c>
      <c r="T1473" s="5">
        <f t="shared" si="134"/>
        <v>346.38671232876709</v>
      </c>
      <c r="U1473" s="15">
        <f t="shared" si="135"/>
        <v>50</v>
      </c>
      <c r="V1473" s="3">
        <f t="shared" si="136"/>
        <v>0</v>
      </c>
      <c r="W1473" s="3">
        <f t="shared" si="137"/>
        <v>1278</v>
      </c>
    </row>
    <row r="1474" spans="1:23" x14ac:dyDescent="0.2">
      <c r="A1474" t="s">
        <v>438</v>
      </c>
      <c r="B1474" t="s">
        <v>439</v>
      </c>
      <c r="C1474" t="s">
        <v>41</v>
      </c>
      <c r="D1474" t="s">
        <v>48</v>
      </c>
      <c r="E1474" t="s">
        <v>25</v>
      </c>
      <c r="F1474" s="7">
        <v>2438415</v>
      </c>
      <c r="G1474" t="s">
        <v>1571</v>
      </c>
      <c r="H1474" s="5">
        <v>97980</v>
      </c>
      <c r="I1474" s="12">
        <v>45954</v>
      </c>
      <c r="J1474" s="15">
        <v>30</v>
      </c>
      <c r="K1474" s="15">
        <v>2</v>
      </c>
      <c r="L1474" s="9">
        <v>0.13650000000000001</v>
      </c>
      <c r="M1474" s="9">
        <v>5.8099999999999999E-2</v>
      </c>
      <c r="N1474" s="15">
        <v>6</v>
      </c>
      <c r="O1474" t="s">
        <v>27</v>
      </c>
      <c r="P1474" t="s">
        <v>27</v>
      </c>
      <c r="Q1474" s="24">
        <v>0</v>
      </c>
      <c r="R1474" s="5">
        <f t="shared" ref="R1474:R1501" si="138">H1474*L1474*(J1474/365)</f>
        <v>1099.2550684931507</v>
      </c>
      <c r="S1474" s="5">
        <f t="shared" ref="S1474:S1501" si="139">H1474*M1474*(N1474/365)</f>
        <v>93.577610958904103</v>
      </c>
      <c r="T1474" s="5">
        <f t="shared" ref="T1474:T1537" si="140">R1474-S1474</f>
        <v>1005.6774575342466</v>
      </c>
      <c r="U1474" s="15">
        <f t="shared" ref="U1474:U1501" si="141">J1474-N1474</f>
        <v>24</v>
      </c>
      <c r="V1474" s="3">
        <f t="shared" ref="V1474:V1501" si="142">Q1474*(L1474-M1474)*H1474</f>
        <v>0</v>
      </c>
      <c r="W1474" s="3">
        <f t="shared" ref="W1474:W1537" si="143">RANK(V1474,$V$2:$V$1501)</f>
        <v>1278</v>
      </c>
    </row>
    <row r="1475" spans="1:23" x14ac:dyDescent="0.2">
      <c r="A1475" t="s">
        <v>308</v>
      </c>
      <c r="B1475" t="s">
        <v>309</v>
      </c>
      <c r="C1475" t="s">
        <v>31</v>
      </c>
      <c r="D1475" t="s">
        <v>24</v>
      </c>
      <c r="E1475" t="s">
        <v>49</v>
      </c>
      <c r="F1475" s="7">
        <v>1224427</v>
      </c>
      <c r="G1475" t="s">
        <v>1577</v>
      </c>
      <c r="H1475" s="5">
        <v>53039</v>
      </c>
      <c r="I1475" s="12">
        <v>45851</v>
      </c>
      <c r="J1475" s="15">
        <v>60</v>
      </c>
      <c r="K1475" s="15">
        <v>10</v>
      </c>
      <c r="L1475" s="9">
        <v>0.15670000000000001</v>
      </c>
      <c r="M1475" s="9">
        <v>5.5199999999999999E-2</v>
      </c>
      <c r="N1475" s="15">
        <v>10</v>
      </c>
      <c r="O1475" t="s">
        <v>27</v>
      </c>
      <c r="P1475" t="s">
        <v>27</v>
      </c>
      <c r="Q1475" s="24">
        <v>0</v>
      </c>
      <c r="R1475" s="5">
        <f t="shared" si="138"/>
        <v>1366.2265150684932</v>
      </c>
      <c r="S1475" s="5">
        <f t="shared" si="139"/>
        <v>80.212405479452045</v>
      </c>
      <c r="T1475" s="5">
        <f t="shared" si="140"/>
        <v>1286.0141095890413</v>
      </c>
      <c r="U1475" s="15">
        <f t="shared" si="141"/>
        <v>50</v>
      </c>
      <c r="V1475" s="3">
        <f t="shared" si="142"/>
        <v>0</v>
      </c>
      <c r="W1475" s="3">
        <f t="shared" si="143"/>
        <v>1278</v>
      </c>
    </row>
    <row r="1476" spans="1:23" x14ac:dyDescent="0.2">
      <c r="A1476" t="s">
        <v>477</v>
      </c>
      <c r="B1476" t="s">
        <v>274</v>
      </c>
      <c r="C1476" t="s">
        <v>31</v>
      </c>
      <c r="D1476" t="s">
        <v>32</v>
      </c>
      <c r="E1476" t="s">
        <v>25</v>
      </c>
      <c r="F1476" s="7">
        <v>6247387</v>
      </c>
      <c r="G1476" t="s">
        <v>1578</v>
      </c>
      <c r="H1476" s="5">
        <v>88373</v>
      </c>
      <c r="I1476" s="12">
        <v>45772</v>
      </c>
      <c r="J1476" s="15">
        <v>30</v>
      </c>
      <c r="K1476" s="15">
        <v>10</v>
      </c>
      <c r="L1476" s="9">
        <v>0.12909999999999999</v>
      </c>
      <c r="M1476" s="9">
        <v>4.8000000000000001E-2</v>
      </c>
      <c r="N1476" s="15">
        <v>5</v>
      </c>
      <c r="O1476" t="s">
        <v>27</v>
      </c>
      <c r="P1476" t="s">
        <v>27</v>
      </c>
      <c r="Q1476" s="24">
        <v>0</v>
      </c>
      <c r="R1476" s="5">
        <f t="shared" si="138"/>
        <v>937.72227123287666</v>
      </c>
      <c r="S1476" s="5">
        <f t="shared" si="139"/>
        <v>58.108273972602746</v>
      </c>
      <c r="T1476" s="5">
        <f t="shared" si="140"/>
        <v>879.61399726027389</v>
      </c>
      <c r="U1476" s="15">
        <f t="shared" si="141"/>
        <v>25</v>
      </c>
      <c r="V1476" s="3">
        <f t="shared" si="142"/>
        <v>0</v>
      </c>
      <c r="W1476" s="3">
        <f t="shared" si="143"/>
        <v>1278</v>
      </c>
    </row>
    <row r="1477" spans="1:23" x14ac:dyDescent="0.2">
      <c r="A1477" t="s">
        <v>382</v>
      </c>
      <c r="B1477" t="s">
        <v>383</v>
      </c>
      <c r="C1477" t="s">
        <v>41</v>
      </c>
      <c r="D1477" t="s">
        <v>32</v>
      </c>
      <c r="E1477" t="s">
        <v>25</v>
      </c>
      <c r="F1477" s="7">
        <v>3772612</v>
      </c>
      <c r="G1477" t="s">
        <v>1587</v>
      </c>
      <c r="H1477" s="5">
        <v>16466</v>
      </c>
      <c r="I1477" s="12">
        <v>45856</v>
      </c>
      <c r="J1477" s="15">
        <v>60</v>
      </c>
      <c r="K1477" s="15">
        <v>2</v>
      </c>
      <c r="L1477" s="9">
        <v>0.1053</v>
      </c>
      <c r="M1477" s="9">
        <v>5.8799999999999998E-2</v>
      </c>
      <c r="N1477" s="15">
        <v>5</v>
      </c>
      <c r="O1477" t="s">
        <v>28</v>
      </c>
      <c r="P1477" t="s">
        <v>27</v>
      </c>
      <c r="Q1477" s="24">
        <v>0</v>
      </c>
      <c r="R1477" s="5">
        <f t="shared" si="138"/>
        <v>285.01969315068493</v>
      </c>
      <c r="S1477" s="5">
        <f t="shared" si="139"/>
        <v>13.263024657534245</v>
      </c>
      <c r="T1477" s="5">
        <f t="shared" si="140"/>
        <v>271.7566684931507</v>
      </c>
      <c r="U1477" s="15">
        <f t="shared" si="141"/>
        <v>55</v>
      </c>
      <c r="V1477" s="3">
        <f t="shared" si="142"/>
        <v>0</v>
      </c>
      <c r="W1477" s="3">
        <f t="shared" si="143"/>
        <v>1278</v>
      </c>
    </row>
    <row r="1478" spans="1:23" x14ac:dyDescent="0.2">
      <c r="A1478" t="s">
        <v>163</v>
      </c>
      <c r="B1478" t="s">
        <v>164</v>
      </c>
      <c r="C1478" t="s">
        <v>77</v>
      </c>
      <c r="D1478" t="s">
        <v>66</v>
      </c>
      <c r="E1478" t="s">
        <v>25</v>
      </c>
      <c r="F1478" s="7">
        <v>4709015</v>
      </c>
      <c r="G1478" t="s">
        <v>1589</v>
      </c>
      <c r="H1478" s="5">
        <v>91791</v>
      </c>
      <c r="I1478" s="12">
        <v>45980</v>
      </c>
      <c r="J1478" s="15">
        <v>60</v>
      </c>
      <c r="K1478" s="15">
        <v>10</v>
      </c>
      <c r="L1478" s="9">
        <v>0.121</v>
      </c>
      <c r="M1478" s="9">
        <v>4.5900000000000003E-2</v>
      </c>
      <c r="N1478" s="15">
        <v>7</v>
      </c>
      <c r="O1478" t="s">
        <v>27</v>
      </c>
      <c r="P1478" t="s">
        <v>27</v>
      </c>
      <c r="Q1478" s="24">
        <v>0</v>
      </c>
      <c r="R1478" s="5">
        <f t="shared" si="138"/>
        <v>1825.7607123287669</v>
      </c>
      <c r="S1478" s="5">
        <f t="shared" si="139"/>
        <v>80.801228219178086</v>
      </c>
      <c r="T1478" s="5">
        <f t="shared" si="140"/>
        <v>1744.9594841095889</v>
      </c>
      <c r="U1478" s="15">
        <f t="shared" si="141"/>
        <v>53</v>
      </c>
      <c r="V1478" s="3">
        <f t="shared" si="142"/>
        <v>0</v>
      </c>
      <c r="W1478" s="3">
        <f t="shared" si="143"/>
        <v>1278</v>
      </c>
    </row>
    <row r="1479" spans="1:23" x14ac:dyDescent="0.2">
      <c r="A1479" t="s">
        <v>249</v>
      </c>
      <c r="B1479" t="s">
        <v>250</v>
      </c>
      <c r="C1479" t="s">
        <v>23</v>
      </c>
      <c r="D1479" t="s">
        <v>66</v>
      </c>
      <c r="E1479" t="s">
        <v>25</v>
      </c>
      <c r="F1479" s="7">
        <v>2803992</v>
      </c>
      <c r="G1479" t="s">
        <v>1603</v>
      </c>
      <c r="H1479" s="5">
        <v>25164</v>
      </c>
      <c r="I1479" s="12">
        <v>45676</v>
      </c>
      <c r="J1479" s="15">
        <v>90</v>
      </c>
      <c r="K1479" s="15">
        <v>7</v>
      </c>
      <c r="L1479" s="9">
        <v>0.1036</v>
      </c>
      <c r="M1479" s="9">
        <v>5.1400000000000001E-2</v>
      </c>
      <c r="N1479" s="15">
        <v>10</v>
      </c>
      <c r="O1479" t="s">
        <v>27</v>
      </c>
      <c r="P1479" t="s">
        <v>27</v>
      </c>
      <c r="Q1479" s="24">
        <v>0</v>
      </c>
      <c r="R1479" s="5">
        <f t="shared" si="138"/>
        <v>642.81955068493153</v>
      </c>
      <c r="S1479" s="5">
        <f t="shared" si="139"/>
        <v>35.436427397260267</v>
      </c>
      <c r="T1479" s="5">
        <f t="shared" si="140"/>
        <v>607.38312328767131</v>
      </c>
      <c r="U1479" s="15">
        <f t="shared" si="141"/>
        <v>80</v>
      </c>
      <c r="V1479" s="3">
        <f t="shared" si="142"/>
        <v>0</v>
      </c>
      <c r="W1479" s="3">
        <f t="shared" si="143"/>
        <v>1278</v>
      </c>
    </row>
    <row r="1480" spans="1:23" x14ac:dyDescent="0.2">
      <c r="A1480" t="s">
        <v>448</v>
      </c>
      <c r="B1480" t="s">
        <v>264</v>
      </c>
      <c r="C1480" t="s">
        <v>77</v>
      </c>
      <c r="D1480" t="s">
        <v>37</v>
      </c>
      <c r="E1480" t="s">
        <v>25</v>
      </c>
      <c r="F1480" s="7">
        <v>5041335</v>
      </c>
      <c r="G1480" t="s">
        <v>1616</v>
      </c>
      <c r="H1480" s="5">
        <v>84468</v>
      </c>
      <c r="I1480" s="12">
        <v>45932</v>
      </c>
      <c r="J1480" s="15">
        <v>30</v>
      </c>
      <c r="K1480" s="15">
        <v>2</v>
      </c>
      <c r="L1480" s="9">
        <v>0.1198</v>
      </c>
      <c r="M1480" s="9">
        <v>5.5399999999999998E-2</v>
      </c>
      <c r="N1480" s="15">
        <v>7</v>
      </c>
      <c r="O1480" t="s">
        <v>27</v>
      </c>
      <c r="P1480" t="s">
        <v>27</v>
      </c>
      <c r="Q1480" s="24">
        <v>0</v>
      </c>
      <c r="R1480" s="5">
        <f t="shared" si="138"/>
        <v>831.72052602739723</v>
      </c>
      <c r="S1480" s="5">
        <f t="shared" si="139"/>
        <v>89.744357260273972</v>
      </c>
      <c r="T1480" s="5">
        <f t="shared" si="140"/>
        <v>741.97616876712323</v>
      </c>
      <c r="U1480" s="15">
        <f t="shared" si="141"/>
        <v>23</v>
      </c>
      <c r="V1480" s="3">
        <f t="shared" si="142"/>
        <v>0</v>
      </c>
      <c r="W1480" s="3">
        <f t="shared" si="143"/>
        <v>1278</v>
      </c>
    </row>
    <row r="1481" spans="1:23" x14ac:dyDescent="0.2">
      <c r="A1481" t="s">
        <v>608</v>
      </c>
      <c r="B1481" t="s">
        <v>609</v>
      </c>
      <c r="C1481" t="s">
        <v>77</v>
      </c>
      <c r="D1481" t="s">
        <v>48</v>
      </c>
      <c r="E1481" t="s">
        <v>56</v>
      </c>
      <c r="F1481" s="7">
        <v>24905394</v>
      </c>
      <c r="G1481" t="s">
        <v>1620</v>
      </c>
      <c r="H1481" s="5">
        <v>28206</v>
      </c>
      <c r="I1481" s="12">
        <v>45701</v>
      </c>
      <c r="J1481" s="15">
        <v>60</v>
      </c>
      <c r="K1481" s="15">
        <v>5</v>
      </c>
      <c r="L1481" s="9">
        <v>8.5199999999999998E-2</v>
      </c>
      <c r="M1481" s="9">
        <v>5.8099999999999999E-2</v>
      </c>
      <c r="N1481" s="15">
        <v>6</v>
      </c>
      <c r="O1481" t="s">
        <v>27</v>
      </c>
      <c r="P1481" t="s">
        <v>27</v>
      </c>
      <c r="Q1481" s="24">
        <v>0</v>
      </c>
      <c r="R1481" s="5">
        <f t="shared" si="138"/>
        <v>395.03855342465749</v>
      </c>
      <c r="S1481" s="5">
        <f t="shared" si="139"/>
        <v>26.938661917808215</v>
      </c>
      <c r="T1481" s="5">
        <f t="shared" si="140"/>
        <v>368.0998915068493</v>
      </c>
      <c r="U1481" s="15">
        <f t="shared" si="141"/>
        <v>54</v>
      </c>
      <c r="V1481" s="3">
        <f t="shared" si="142"/>
        <v>0</v>
      </c>
      <c r="W1481" s="3">
        <f t="shared" si="143"/>
        <v>1278</v>
      </c>
    </row>
    <row r="1482" spans="1:23" x14ac:dyDescent="0.2">
      <c r="A1482" t="s">
        <v>297</v>
      </c>
      <c r="B1482" t="s">
        <v>298</v>
      </c>
      <c r="C1482" t="s">
        <v>36</v>
      </c>
      <c r="D1482" t="s">
        <v>24</v>
      </c>
      <c r="E1482" t="s">
        <v>49</v>
      </c>
      <c r="F1482" s="7">
        <v>1249897</v>
      </c>
      <c r="G1482" t="s">
        <v>1622</v>
      </c>
      <c r="H1482" s="5">
        <v>31902</v>
      </c>
      <c r="I1482" s="12">
        <v>46059</v>
      </c>
      <c r="J1482" s="15">
        <v>30</v>
      </c>
      <c r="K1482" s="15">
        <v>7</v>
      </c>
      <c r="L1482" s="9">
        <v>0.1452</v>
      </c>
      <c r="M1482" s="9">
        <v>6.0900000000000003E-2</v>
      </c>
      <c r="N1482" s="15">
        <v>6</v>
      </c>
      <c r="O1482" t="s">
        <v>27</v>
      </c>
      <c r="P1482" t="s">
        <v>27</v>
      </c>
      <c r="Q1482" s="24">
        <v>0</v>
      </c>
      <c r="R1482" s="5">
        <f t="shared" si="138"/>
        <v>380.72633424657533</v>
      </c>
      <c r="S1482" s="5">
        <f t="shared" si="139"/>
        <v>31.93696109589041</v>
      </c>
      <c r="T1482" s="5">
        <f t="shared" si="140"/>
        <v>348.78937315068492</v>
      </c>
      <c r="U1482" s="15">
        <f t="shared" si="141"/>
        <v>24</v>
      </c>
      <c r="V1482" s="3">
        <f t="shared" si="142"/>
        <v>0</v>
      </c>
      <c r="W1482" s="3">
        <f t="shared" si="143"/>
        <v>1278</v>
      </c>
    </row>
    <row r="1483" spans="1:23" x14ac:dyDescent="0.2">
      <c r="A1483" t="s">
        <v>889</v>
      </c>
      <c r="B1483" t="s">
        <v>286</v>
      </c>
      <c r="C1483" t="s">
        <v>23</v>
      </c>
      <c r="D1483" t="s">
        <v>66</v>
      </c>
      <c r="E1483" t="s">
        <v>49</v>
      </c>
      <c r="F1483" s="7">
        <v>1374525</v>
      </c>
      <c r="G1483" t="s">
        <v>1633</v>
      </c>
      <c r="H1483" s="5">
        <v>67598</v>
      </c>
      <c r="I1483" s="12">
        <v>45872</v>
      </c>
      <c r="J1483" s="15">
        <v>60</v>
      </c>
      <c r="K1483" s="15">
        <v>10</v>
      </c>
      <c r="L1483" s="9">
        <v>0.13320000000000001</v>
      </c>
      <c r="M1483" s="9">
        <v>6.1100000000000002E-2</v>
      </c>
      <c r="N1483" s="15">
        <v>8</v>
      </c>
      <c r="O1483" t="s">
        <v>28</v>
      </c>
      <c r="P1483" t="s">
        <v>27</v>
      </c>
      <c r="Q1483" s="24">
        <v>0</v>
      </c>
      <c r="R1483" s="5">
        <f t="shared" si="138"/>
        <v>1480.1184000000001</v>
      </c>
      <c r="S1483" s="5">
        <f t="shared" si="139"/>
        <v>90.525759999999991</v>
      </c>
      <c r="T1483" s="5">
        <f t="shared" si="140"/>
        <v>1389.5926400000001</v>
      </c>
      <c r="U1483" s="15">
        <f t="shared" si="141"/>
        <v>52</v>
      </c>
      <c r="V1483" s="3">
        <f t="shared" si="142"/>
        <v>0</v>
      </c>
      <c r="W1483" s="3">
        <f t="shared" si="143"/>
        <v>1278</v>
      </c>
    </row>
    <row r="1484" spans="1:23" x14ac:dyDescent="0.2">
      <c r="A1484" t="s">
        <v>297</v>
      </c>
      <c r="B1484" t="s">
        <v>298</v>
      </c>
      <c r="C1484" t="s">
        <v>36</v>
      </c>
      <c r="D1484" t="s">
        <v>24</v>
      </c>
      <c r="E1484" t="s">
        <v>49</v>
      </c>
      <c r="F1484" s="7">
        <v>1249897</v>
      </c>
      <c r="G1484" t="s">
        <v>1634</v>
      </c>
      <c r="H1484" s="5">
        <v>64350</v>
      </c>
      <c r="I1484" s="12">
        <v>45796</v>
      </c>
      <c r="J1484" s="15">
        <v>30</v>
      </c>
      <c r="K1484" s="15">
        <v>2</v>
      </c>
      <c r="L1484" s="9">
        <v>0.1452</v>
      </c>
      <c r="M1484" s="9">
        <v>5.3699999999999998E-2</v>
      </c>
      <c r="N1484" s="15">
        <v>7</v>
      </c>
      <c r="O1484" t="s">
        <v>27</v>
      </c>
      <c r="P1484" t="s">
        <v>27</v>
      </c>
      <c r="Q1484" s="24">
        <v>0</v>
      </c>
      <c r="R1484" s="5">
        <f t="shared" si="138"/>
        <v>767.96876712328753</v>
      </c>
      <c r="S1484" s="5">
        <f t="shared" si="139"/>
        <v>66.271684931506854</v>
      </c>
      <c r="T1484" s="5">
        <f t="shared" si="140"/>
        <v>701.69708219178074</v>
      </c>
      <c r="U1484" s="15">
        <f t="shared" si="141"/>
        <v>23</v>
      </c>
      <c r="V1484" s="3">
        <f t="shared" si="142"/>
        <v>0</v>
      </c>
      <c r="W1484" s="3">
        <f t="shared" si="143"/>
        <v>1278</v>
      </c>
    </row>
    <row r="1485" spans="1:23" x14ac:dyDescent="0.2">
      <c r="A1485" t="s">
        <v>672</v>
      </c>
      <c r="B1485" t="s">
        <v>110</v>
      </c>
      <c r="C1485" t="s">
        <v>31</v>
      </c>
      <c r="D1485" t="s">
        <v>48</v>
      </c>
      <c r="E1485" t="s">
        <v>49</v>
      </c>
      <c r="F1485" s="7">
        <v>639703</v>
      </c>
      <c r="G1485" t="s">
        <v>1655</v>
      </c>
      <c r="H1485" s="5">
        <v>29255</v>
      </c>
      <c r="I1485" s="12">
        <v>45800</v>
      </c>
      <c r="J1485" s="15">
        <v>30</v>
      </c>
      <c r="K1485" s="15">
        <v>2</v>
      </c>
      <c r="L1485" s="9">
        <v>0.1148</v>
      </c>
      <c r="M1485" s="9">
        <v>4.6100000000000002E-2</v>
      </c>
      <c r="N1485" s="15">
        <v>5</v>
      </c>
      <c r="O1485" t="s">
        <v>27</v>
      </c>
      <c r="P1485" t="s">
        <v>27</v>
      </c>
      <c r="Q1485" s="24">
        <v>0</v>
      </c>
      <c r="R1485" s="5">
        <f t="shared" si="138"/>
        <v>276.03895890410956</v>
      </c>
      <c r="S1485" s="5">
        <f t="shared" si="139"/>
        <v>18.474732876712327</v>
      </c>
      <c r="T1485" s="5">
        <f t="shared" si="140"/>
        <v>257.56422602739724</v>
      </c>
      <c r="U1485" s="15">
        <f t="shared" si="141"/>
        <v>25</v>
      </c>
      <c r="V1485" s="3">
        <f t="shared" si="142"/>
        <v>0</v>
      </c>
      <c r="W1485" s="3">
        <f t="shared" si="143"/>
        <v>1278</v>
      </c>
    </row>
    <row r="1486" spans="1:23" x14ac:dyDescent="0.2">
      <c r="A1486" t="s">
        <v>88</v>
      </c>
      <c r="B1486" t="s">
        <v>89</v>
      </c>
      <c r="C1486" t="s">
        <v>23</v>
      </c>
      <c r="D1486" t="s">
        <v>66</v>
      </c>
      <c r="E1486" t="s">
        <v>49</v>
      </c>
      <c r="F1486" s="7">
        <v>896464</v>
      </c>
      <c r="G1486" t="s">
        <v>1672</v>
      </c>
      <c r="H1486" s="5">
        <v>45105</v>
      </c>
      <c r="I1486" s="12">
        <v>45777</v>
      </c>
      <c r="J1486" s="15">
        <v>60</v>
      </c>
      <c r="K1486" s="15">
        <v>7</v>
      </c>
      <c r="L1486" s="9">
        <v>0.13550000000000001</v>
      </c>
      <c r="M1486" s="9">
        <v>5.1799999999999999E-2</v>
      </c>
      <c r="N1486" s="15">
        <v>8</v>
      </c>
      <c r="O1486" t="s">
        <v>27</v>
      </c>
      <c r="P1486" t="s">
        <v>27</v>
      </c>
      <c r="Q1486" s="24">
        <v>0</v>
      </c>
      <c r="R1486" s="5">
        <f t="shared" si="138"/>
        <v>1004.6675342465754</v>
      </c>
      <c r="S1486" s="5">
        <f t="shared" si="139"/>
        <v>51.209621917808214</v>
      </c>
      <c r="T1486" s="5">
        <f t="shared" si="140"/>
        <v>953.45791232876718</v>
      </c>
      <c r="U1486" s="15">
        <f t="shared" si="141"/>
        <v>52</v>
      </c>
      <c r="V1486" s="3">
        <f t="shared" si="142"/>
        <v>0</v>
      </c>
      <c r="W1486" s="3">
        <f t="shared" si="143"/>
        <v>1278</v>
      </c>
    </row>
    <row r="1487" spans="1:23" x14ac:dyDescent="0.2">
      <c r="A1487" t="s">
        <v>43</v>
      </c>
      <c r="B1487" t="s">
        <v>44</v>
      </c>
      <c r="C1487" t="s">
        <v>23</v>
      </c>
      <c r="D1487" t="s">
        <v>24</v>
      </c>
      <c r="E1487" t="s">
        <v>25</v>
      </c>
      <c r="F1487" s="7">
        <v>2577026</v>
      </c>
      <c r="G1487" t="s">
        <v>1678</v>
      </c>
      <c r="H1487" s="5">
        <v>74566</v>
      </c>
      <c r="I1487" s="12">
        <v>46000</v>
      </c>
      <c r="J1487" s="15">
        <v>45</v>
      </c>
      <c r="K1487" s="15">
        <v>2</v>
      </c>
      <c r="L1487" s="9">
        <v>0.123</v>
      </c>
      <c r="M1487" s="9">
        <v>5.4399999999999997E-2</v>
      </c>
      <c r="N1487" s="15">
        <v>8</v>
      </c>
      <c r="O1487" t="s">
        <v>27</v>
      </c>
      <c r="P1487" t="s">
        <v>27</v>
      </c>
      <c r="Q1487" s="24">
        <v>0</v>
      </c>
      <c r="R1487" s="5">
        <f t="shared" si="138"/>
        <v>1130.7474246575343</v>
      </c>
      <c r="S1487" s="5">
        <f t="shared" si="139"/>
        <v>88.907186849315067</v>
      </c>
      <c r="T1487" s="5">
        <f t="shared" si="140"/>
        <v>1041.8402378082192</v>
      </c>
      <c r="U1487" s="15">
        <f t="shared" si="141"/>
        <v>37</v>
      </c>
      <c r="V1487" s="3">
        <f t="shared" si="142"/>
        <v>0</v>
      </c>
      <c r="W1487" s="3">
        <f t="shared" si="143"/>
        <v>1278</v>
      </c>
    </row>
    <row r="1488" spans="1:23" x14ac:dyDescent="0.2">
      <c r="A1488" t="s">
        <v>273</v>
      </c>
      <c r="B1488" t="s">
        <v>274</v>
      </c>
      <c r="C1488" t="s">
        <v>41</v>
      </c>
      <c r="D1488" t="s">
        <v>37</v>
      </c>
      <c r="E1488" t="s">
        <v>56</v>
      </c>
      <c r="F1488" s="7">
        <v>12001432</v>
      </c>
      <c r="G1488" t="s">
        <v>1689</v>
      </c>
      <c r="H1488" s="5">
        <v>81692</v>
      </c>
      <c r="I1488" s="12">
        <v>45960</v>
      </c>
      <c r="J1488" s="15">
        <v>60</v>
      </c>
      <c r="K1488" s="15">
        <v>10</v>
      </c>
      <c r="L1488" s="9">
        <v>9.1800000000000007E-2</v>
      </c>
      <c r="M1488" s="9">
        <v>4.6600000000000003E-2</v>
      </c>
      <c r="N1488" s="15">
        <v>5</v>
      </c>
      <c r="O1488" t="s">
        <v>27</v>
      </c>
      <c r="P1488" t="s">
        <v>27</v>
      </c>
      <c r="Q1488" s="24">
        <v>0</v>
      </c>
      <c r="R1488" s="5">
        <f t="shared" si="138"/>
        <v>1232.7658520547945</v>
      </c>
      <c r="S1488" s="5">
        <f t="shared" si="139"/>
        <v>52.148591780821917</v>
      </c>
      <c r="T1488" s="5">
        <f t="shared" si="140"/>
        <v>1180.6172602739725</v>
      </c>
      <c r="U1488" s="15">
        <f t="shared" si="141"/>
        <v>55</v>
      </c>
      <c r="V1488" s="3">
        <f t="shared" si="142"/>
        <v>0</v>
      </c>
      <c r="W1488" s="3">
        <f t="shared" si="143"/>
        <v>1278</v>
      </c>
    </row>
    <row r="1489" spans="1:23" x14ac:dyDescent="0.2">
      <c r="A1489" t="s">
        <v>474</v>
      </c>
      <c r="B1489" t="s">
        <v>207</v>
      </c>
      <c r="C1489" t="s">
        <v>31</v>
      </c>
      <c r="D1489" t="s">
        <v>37</v>
      </c>
      <c r="E1489" t="s">
        <v>25</v>
      </c>
      <c r="F1489" s="7">
        <v>4395110</v>
      </c>
      <c r="G1489" t="s">
        <v>1711</v>
      </c>
      <c r="H1489" s="5">
        <v>76858</v>
      </c>
      <c r="I1489" s="12">
        <v>45862</v>
      </c>
      <c r="J1489" s="15">
        <v>60</v>
      </c>
      <c r="K1489" s="15">
        <v>4</v>
      </c>
      <c r="L1489" s="9">
        <v>0.1066</v>
      </c>
      <c r="M1489" s="9">
        <v>6.1499999999999999E-2</v>
      </c>
      <c r="N1489" s="15">
        <v>8</v>
      </c>
      <c r="O1489" t="s">
        <v>28</v>
      </c>
      <c r="P1489" t="s">
        <v>27</v>
      </c>
      <c r="Q1489" s="24">
        <v>0</v>
      </c>
      <c r="R1489" s="5">
        <f t="shared" si="138"/>
        <v>1346.8048438356163</v>
      </c>
      <c r="S1489" s="5">
        <f t="shared" si="139"/>
        <v>103.60037260273972</v>
      </c>
      <c r="T1489" s="5">
        <f t="shared" si="140"/>
        <v>1243.2044712328766</v>
      </c>
      <c r="U1489" s="15">
        <f t="shared" si="141"/>
        <v>52</v>
      </c>
      <c r="V1489" s="3">
        <f t="shared" si="142"/>
        <v>0</v>
      </c>
      <c r="W1489" s="3">
        <f t="shared" si="143"/>
        <v>1278</v>
      </c>
    </row>
    <row r="1490" spans="1:23" x14ac:dyDescent="0.2">
      <c r="A1490" t="s">
        <v>596</v>
      </c>
      <c r="B1490" t="s">
        <v>439</v>
      </c>
      <c r="C1490" t="s">
        <v>77</v>
      </c>
      <c r="D1490" t="s">
        <v>24</v>
      </c>
      <c r="E1490" t="s">
        <v>56</v>
      </c>
      <c r="F1490" s="7">
        <v>9396117</v>
      </c>
      <c r="G1490" t="s">
        <v>1716</v>
      </c>
      <c r="H1490" s="5">
        <v>37301</v>
      </c>
      <c r="I1490" s="12">
        <v>45760</v>
      </c>
      <c r="J1490" s="15">
        <v>90</v>
      </c>
      <c r="K1490" s="15">
        <v>3</v>
      </c>
      <c r="L1490" s="9">
        <v>7.2400000000000006E-2</v>
      </c>
      <c r="M1490" s="9">
        <v>5.4199999999999998E-2</v>
      </c>
      <c r="N1490" s="15">
        <v>6</v>
      </c>
      <c r="O1490" t="s">
        <v>28</v>
      </c>
      <c r="P1490" t="s">
        <v>27</v>
      </c>
      <c r="Q1490" s="24">
        <v>0</v>
      </c>
      <c r="R1490" s="5">
        <f t="shared" si="138"/>
        <v>665.89949589041089</v>
      </c>
      <c r="S1490" s="5">
        <f t="shared" si="139"/>
        <v>33.233658082191774</v>
      </c>
      <c r="T1490" s="5">
        <f t="shared" si="140"/>
        <v>632.66583780821907</v>
      </c>
      <c r="U1490" s="15">
        <f t="shared" si="141"/>
        <v>84</v>
      </c>
      <c r="V1490" s="3">
        <f t="shared" si="142"/>
        <v>0</v>
      </c>
      <c r="W1490" s="3">
        <f t="shared" si="143"/>
        <v>1278</v>
      </c>
    </row>
    <row r="1491" spans="1:23" x14ac:dyDescent="0.2">
      <c r="A1491" t="s">
        <v>249</v>
      </c>
      <c r="B1491" t="s">
        <v>250</v>
      </c>
      <c r="C1491" t="s">
        <v>23</v>
      </c>
      <c r="D1491" t="s">
        <v>66</v>
      </c>
      <c r="E1491" t="s">
        <v>25</v>
      </c>
      <c r="F1491" s="7">
        <v>2803992</v>
      </c>
      <c r="G1491" t="s">
        <v>1730</v>
      </c>
      <c r="H1491" s="5">
        <v>96390</v>
      </c>
      <c r="I1491" s="12">
        <v>45989</v>
      </c>
      <c r="J1491" s="15">
        <v>45</v>
      </c>
      <c r="K1491" s="15">
        <v>7</v>
      </c>
      <c r="L1491" s="9">
        <v>0.1036</v>
      </c>
      <c r="M1491" s="9">
        <v>5.1299999999999998E-2</v>
      </c>
      <c r="N1491" s="15">
        <v>7</v>
      </c>
      <c r="O1491" t="s">
        <v>27</v>
      </c>
      <c r="P1491" t="s">
        <v>27</v>
      </c>
      <c r="Q1491" s="24">
        <v>0</v>
      </c>
      <c r="R1491" s="5">
        <f t="shared" si="138"/>
        <v>1231.1511780821916</v>
      </c>
      <c r="S1491" s="5">
        <f t="shared" si="139"/>
        <v>94.831915068493146</v>
      </c>
      <c r="T1491" s="5">
        <f t="shared" si="140"/>
        <v>1136.3192630136984</v>
      </c>
      <c r="U1491" s="15">
        <f t="shared" si="141"/>
        <v>38</v>
      </c>
      <c r="V1491" s="3">
        <f t="shared" si="142"/>
        <v>0</v>
      </c>
      <c r="W1491" s="3">
        <f t="shared" si="143"/>
        <v>1278</v>
      </c>
    </row>
    <row r="1492" spans="1:23" x14ac:dyDescent="0.2">
      <c r="A1492" t="s">
        <v>115</v>
      </c>
      <c r="B1492" t="s">
        <v>80</v>
      </c>
      <c r="C1492" t="s">
        <v>36</v>
      </c>
      <c r="D1492" t="s">
        <v>24</v>
      </c>
      <c r="E1492" t="s">
        <v>49</v>
      </c>
      <c r="F1492" s="7">
        <v>373467</v>
      </c>
      <c r="G1492" t="s">
        <v>1731</v>
      </c>
      <c r="H1492" s="5">
        <v>34167</v>
      </c>
      <c r="I1492" s="12">
        <v>45833</v>
      </c>
      <c r="J1492" s="15">
        <v>90</v>
      </c>
      <c r="K1492" s="15">
        <v>5</v>
      </c>
      <c r="L1492" s="9">
        <v>0.126</v>
      </c>
      <c r="M1492" s="9">
        <v>4.8500000000000001E-2</v>
      </c>
      <c r="N1492" s="15">
        <v>8</v>
      </c>
      <c r="O1492" t="s">
        <v>28</v>
      </c>
      <c r="P1492" t="s">
        <v>27</v>
      </c>
      <c r="Q1492" s="24">
        <v>0</v>
      </c>
      <c r="R1492" s="5">
        <f t="shared" si="138"/>
        <v>1061.5172054794521</v>
      </c>
      <c r="S1492" s="5">
        <f t="shared" si="139"/>
        <v>36.319989041095894</v>
      </c>
      <c r="T1492" s="5">
        <f t="shared" si="140"/>
        <v>1025.1972164383562</v>
      </c>
      <c r="U1492" s="15">
        <f t="shared" si="141"/>
        <v>82</v>
      </c>
      <c r="V1492" s="3">
        <f t="shared" si="142"/>
        <v>0</v>
      </c>
      <c r="W1492" s="3">
        <f t="shared" si="143"/>
        <v>1278</v>
      </c>
    </row>
    <row r="1493" spans="1:23" x14ac:dyDescent="0.2">
      <c r="A1493" t="s">
        <v>494</v>
      </c>
      <c r="B1493" t="s">
        <v>495</v>
      </c>
      <c r="C1493" t="s">
        <v>41</v>
      </c>
      <c r="D1493" t="s">
        <v>48</v>
      </c>
      <c r="E1493" t="s">
        <v>25</v>
      </c>
      <c r="F1493" s="7">
        <v>6247349</v>
      </c>
      <c r="G1493" t="s">
        <v>1742</v>
      </c>
      <c r="H1493" s="5">
        <v>47486</v>
      </c>
      <c r="I1493" s="12">
        <v>45811</v>
      </c>
      <c r="J1493" s="15">
        <v>60</v>
      </c>
      <c r="K1493" s="15">
        <v>3</v>
      </c>
      <c r="L1493" s="9">
        <v>0.1241</v>
      </c>
      <c r="M1493" s="9">
        <v>5.16E-2</v>
      </c>
      <c r="N1493" s="15">
        <v>8</v>
      </c>
      <c r="O1493" t="s">
        <v>27</v>
      </c>
      <c r="P1493" t="s">
        <v>27</v>
      </c>
      <c r="Q1493" s="24">
        <v>0</v>
      </c>
      <c r="R1493" s="5">
        <f t="shared" si="138"/>
        <v>968.71439999999996</v>
      </c>
      <c r="S1493" s="5">
        <f t="shared" si="139"/>
        <v>53.704714520547945</v>
      </c>
      <c r="T1493" s="5">
        <f t="shared" si="140"/>
        <v>915.00968547945206</v>
      </c>
      <c r="U1493" s="15">
        <f t="shared" si="141"/>
        <v>52</v>
      </c>
      <c r="V1493" s="3">
        <f t="shared" si="142"/>
        <v>0</v>
      </c>
      <c r="W1493" s="3">
        <f t="shared" si="143"/>
        <v>1278</v>
      </c>
    </row>
    <row r="1494" spans="1:23" x14ac:dyDescent="0.2">
      <c r="A1494" t="s">
        <v>201</v>
      </c>
      <c r="B1494" t="s">
        <v>76</v>
      </c>
      <c r="C1494" t="s">
        <v>23</v>
      </c>
      <c r="D1494" t="s">
        <v>37</v>
      </c>
      <c r="E1494" t="s">
        <v>56</v>
      </c>
      <c r="F1494" s="7">
        <v>21198154</v>
      </c>
      <c r="G1494" t="s">
        <v>1748</v>
      </c>
      <c r="H1494" s="5">
        <v>34515</v>
      </c>
      <c r="I1494" s="12">
        <v>45992</v>
      </c>
      <c r="J1494" s="15">
        <v>90</v>
      </c>
      <c r="K1494" s="15">
        <v>7</v>
      </c>
      <c r="L1494" s="9">
        <v>0.1086</v>
      </c>
      <c r="M1494" s="9">
        <v>5.8299999999999998E-2</v>
      </c>
      <c r="N1494" s="15">
        <v>7</v>
      </c>
      <c r="O1494" t="s">
        <v>27</v>
      </c>
      <c r="P1494" t="s">
        <v>27</v>
      </c>
      <c r="Q1494" s="24">
        <v>0</v>
      </c>
      <c r="R1494" s="5">
        <f t="shared" si="138"/>
        <v>924.24550684931501</v>
      </c>
      <c r="S1494" s="5">
        <f t="shared" si="139"/>
        <v>38.590606849315066</v>
      </c>
      <c r="T1494" s="5">
        <f t="shared" si="140"/>
        <v>885.6549</v>
      </c>
      <c r="U1494" s="15">
        <f t="shared" si="141"/>
        <v>83</v>
      </c>
      <c r="V1494" s="3">
        <f t="shared" si="142"/>
        <v>0</v>
      </c>
      <c r="W1494" s="3">
        <f t="shared" si="143"/>
        <v>1278</v>
      </c>
    </row>
    <row r="1495" spans="1:23" x14ac:dyDescent="0.2">
      <c r="A1495" t="s">
        <v>530</v>
      </c>
      <c r="B1495" t="s">
        <v>531</v>
      </c>
      <c r="C1495" t="s">
        <v>36</v>
      </c>
      <c r="D1495" t="s">
        <v>37</v>
      </c>
      <c r="E1495" t="s">
        <v>49</v>
      </c>
      <c r="F1495" s="7">
        <v>701545</v>
      </c>
      <c r="G1495" t="s">
        <v>1749</v>
      </c>
      <c r="H1495" s="5">
        <v>90017</v>
      </c>
      <c r="I1495" s="12">
        <v>45813</v>
      </c>
      <c r="J1495" s="15">
        <v>60</v>
      </c>
      <c r="K1495" s="15">
        <v>10</v>
      </c>
      <c r="L1495" s="9">
        <v>0.17699999999999999</v>
      </c>
      <c r="M1495" s="9">
        <v>5.04E-2</v>
      </c>
      <c r="N1495" s="15">
        <v>7</v>
      </c>
      <c r="O1495" t="s">
        <v>27</v>
      </c>
      <c r="P1495" t="s">
        <v>27</v>
      </c>
      <c r="Q1495" s="24">
        <v>0</v>
      </c>
      <c r="R1495" s="5">
        <f t="shared" si="138"/>
        <v>2619.1247671232877</v>
      </c>
      <c r="S1495" s="5">
        <f t="shared" si="139"/>
        <v>87.008212602739746</v>
      </c>
      <c r="T1495" s="5">
        <f t="shared" si="140"/>
        <v>2532.1165545205481</v>
      </c>
      <c r="U1495" s="15">
        <f t="shared" si="141"/>
        <v>53</v>
      </c>
      <c r="V1495" s="3">
        <f t="shared" si="142"/>
        <v>0</v>
      </c>
      <c r="W1495" s="3">
        <f t="shared" si="143"/>
        <v>1278</v>
      </c>
    </row>
    <row r="1496" spans="1:23" x14ac:dyDescent="0.2">
      <c r="A1496" t="s">
        <v>153</v>
      </c>
      <c r="B1496" t="s">
        <v>154</v>
      </c>
      <c r="C1496" t="s">
        <v>41</v>
      </c>
      <c r="D1496" t="s">
        <v>66</v>
      </c>
      <c r="E1496" t="s">
        <v>49</v>
      </c>
      <c r="F1496" s="7">
        <v>367690</v>
      </c>
      <c r="G1496" t="s">
        <v>1754</v>
      </c>
      <c r="H1496" s="5">
        <v>21755</v>
      </c>
      <c r="I1496" s="12">
        <v>45681</v>
      </c>
      <c r="J1496" s="15">
        <v>45</v>
      </c>
      <c r="K1496" s="15">
        <v>4</v>
      </c>
      <c r="L1496" s="9">
        <v>0.1305</v>
      </c>
      <c r="M1496" s="9">
        <v>5.9499999999999997E-2</v>
      </c>
      <c r="N1496" s="15">
        <v>10</v>
      </c>
      <c r="O1496" t="s">
        <v>27</v>
      </c>
      <c r="P1496" t="s">
        <v>27</v>
      </c>
      <c r="Q1496" s="24">
        <v>0</v>
      </c>
      <c r="R1496" s="5">
        <f t="shared" si="138"/>
        <v>350.01708904109591</v>
      </c>
      <c r="S1496" s="5">
        <f t="shared" si="139"/>
        <v>35.463630136986296</v>
      </c>
      <c r="T1496" s="5">
        <f t="shared" si="140"/>
        <v>314.55345890410962</v>
      </c>
      <c r="U1496" s="15">
        <f t="shared" si="141"/>
        <v>35</v>
      </c>
      <c r="V1496" s="3">
        <f t="shared" si="142"/>
        <v>0</v>
      </c>
      <c r="W1496" s="3">
        <f t="shared" si="143"/>
        <v>1278</v>
      </c>
    </row>
    <row r="1497" spans="1:23" x14ac:dyDescent="0.2">
      <c r="A1497" t="s">
        <v>58</v>
      </c>
      <c r="B1497" t="s">
        <v>59</v>
      </c>
      <c r="C1497" t="s">
        <v>23</v>
      </c>
      <c r="D1497" t="s">
        <v>24</v>
      </c>
      <c r="E1497" t="s">
        <v>25</v>
      </c>
      <c r="F1497" s="7">
        <v>4269919</v>
      </c>
      <c r="G1497" t="s">
        <v>1762</v>
      </c>
      <c r="H1497" s="5">
        <v>65841</v>
      </c>
      <c r="I1497" s="12">
        <v>45849</v>
      </c>
      <c r="J1497" s="15">
        <v>60</v>
      </c>
      <c r="K1497" s="15">
        <v>5</v>
      </c>
      <c r="L1497" s="9">
        <v>0.1212</v>
      </c>
      <c r="M1497" s="9">
        <v>6.0999999999999999E-2</v>
      </c>
      <c r="N1497" s="15">
        <v>10</v>
      </c>
      <c r="O1497" t="s">
        <v>28</v>
      </c>
      <c r="P1497" t="s">
        <v>27</v>
      </c>
      <c r="Q1497" s="24">
        <v>0</v>
      </c>
      <c r="R1497" s="5">
        <f t="shared" si="138"/>
        <v>1311.7691835616438</v>
      </c>
      <c r="S1497" s="5">
        <f t="shared" si="139"/>
        <v>110.03564383561643</v>
      </c>
      <c r="T1497" s="5">
        <f t="shared" si="140"/>
        <v>1201.7335397260274</v>
      </c>
      <c r="U1497" s="15">
        <f t="shared" si="141"/>
        <v>50</v>
      </c>
      <c r="V1497" s="3">
        <f t="shared" si="142"/>
        <v>0</v>
      </c>
      <c r="W1497" s="3">
        <f t="shared" si="143"/>
        <v>1278</v>
      </c>
    </row>
    <row r="1498" spans="1:23" x14ac:dyDescent="0.2">
      <c r="A1498" t="s">
        <v>54</v>
      </c>
      <c r="B1498" t="s">
        <v>55</v>
      </c>
      <c r="C1498" t="s">
        <v>31</v>
      </c>
      <c r="D1498" t="s">
        <v>24</v>
      </c>
      <c r="E1498" t="s">
        <v>56</v>
      </c>
      <c r="F1498" s="7">
        <v>15261617</v>
      </c>
      <c r="G1498" t="s">
        <v>1777</v>
      </c>
      <c r="H1498" s="5">
        <v>12951</v>
      </c>
      <c r="I1498" s="12">
        <v>45691</v>
      </c>
      <c r="J1498" s="15">
        <v>60</v>
      </c>
      <c r="K1498" s="15">
        <v>5</v>
      </c>
      <c r="L1498" s="9">
        <v>9.3200000000000005E-2</v>
      </c>
      <c r="M1498" s="9">
        <v>5.2999999999999999E-2</v>
      </c>
      <c r="N1498" s="15">
        <v>5</v>
      </c>
      <c r="O1498" t="s">
        <v>27</v>
      </c>
      <c r="P1498" t="s">
        <v>27</v>
      </c>
      <c r="Q1498" s="24">
        <v>0</v>
      </c>
      <c r="R1498" s="5">
        <f t="shared" si="138"/>
        <v>198.41641643835618</v>
      </c>
      <c r="S1498" s="5">
        <f t="shared" si="139"/>
        <v>9.4027808219178084</v>
      </c>
      <c r="T1498" s="5">
        <f t="shared" si="140"/>
        <v>189.01363561643836</v>
      </c>
      <c r="U1498" s="15">
        <f t="shared" si="141"/>
        <v>55</v>
      </c>
      <c r="V1498" s="3">
        <f t="shared" si="142"/>
        <v>0</v>
      </c>
      <c r="W1498" s="3">
        <f t="shared" si="143"/>
        <v>1278</v>
      </c>
    </row>
    <row r="1499" spans="1:23" x14ac:dyDescent="0.2">
      <c r="A1499" t="s">
        <v>226</v>
      </c>
      <c r="B1499" t="s">
        <v>59</v>
      </c>
      <c r="C1499" t="s">
        <v>77</v>
      </c>
      <c r="D1499" t="s">
        <v>66</v>
      </c>
      <c r="E1499" t="s">
        <v>25</v>
      </c>
      <c r="F1499" s="7">
        <v>3501061</v>
      </c>
      <c r="G1499" t="s">
        <v>1786</v>
      </c>
      <c r="H1499" s="5">
        <v>29616</v>
      </c>
      <c r="I1499" s="12">
        <v>45723</v>
      </c>
      <c r="J1499" s="15">
        <v>90</v>
      </c>
      <c r="K1499" s="15">
        <v>10</v>
      </c>
      <c r="L1499" s="9">
        <v>9.6299999999999997E-2</v>
      </c>
      <c r="M1499" s="9">
        <v>4.4999999999999998E-2</v>
      </c>
      <c r="N1499" s="15">
        <v>8</v>
      </c>
      <c r="O1499" t="s">
        <v>27</v>
      </c>
      <c r="P1499" t="s">
        <v>27</v>
      </c>
      <c r="Q1499" s="24">
        <v>0</v>
      </c>
      <c r="R1499" s="5">
        <f t="shared" si="138"/>
        <v>703.238005479452</v>
      </c>
      <c r="S1499" s="5">
        <f t="shared" si="139"/>
        <v>29.210301369863014</v>
      </c>
      <c r="T1499" s="5">
        <f t="shared" si="140"/>
        <v>674.02770410958897</v>
      </c>
      <c r="U1499" s="15">
        <f t="shared" si="141"/>
        <v>82</v>
      </c>
      <c r="V1499" s="3">
        <f t="shared" si="142"/>
        <v>0</v>
      </c>
      <c r="W1499" s="3">
        <f t="shared" si="143"/>
        <v>1278</v>
      </c>
    </row>
    <row r="1500" spans="1:23" x14ac:dyDescent="0.2">
      <c r="A1500" t="s">
        <v>672</v>
      </c>
      <c r="B1500" t="s">
        <v>110</v>
      </c>
      <c r="C1500" t="s">
        <v>31</v>
      </c>
      <c r="D1500" t="s">
        <v>48</v>
      </c>
      <c r="E1500" t="s">
        <v>49</v>
      </c>
      <c r="F1500" s="7">
        <v>639703</v>
      </c>
      <c r="G1500" t="s">
        <v>1790</v>
      </c>
      <c r="H1500" s="5">
        <v>105121</v>
      </c>
      <c r="I1500" s="12">
        <v>46047</v>
      </c>
      <c r="J1500" s="15">
        <v>90</v>
      </c>
      <c r="K1500" s="15">
        <v>10</v>
      </c>
      <c r="L1500" s="9">
        <v>0.1148</v>
      </c>
      <c r="M1500" s="9">
        <v>5.6800000000000003E-2</v>
      </c>
      <c r="N1500" s="15">
        <v>10</v>
      </c>
      <c r="O1500" t="s">
        <v>27</v>
      </c>
      <c r="P1500" t="s">
        <v>27</v>
      </c>
      <c r="Q1500" s="24">
        <v>0</v>
      </c>
      <c r="R1500" s="5">
        <f t="shared" si="138"/>
        <v>2975.6443068493145</v>
      </c>
      <c r="S1500" s="5">
        <f t="shared" si="139"/>
        <v>163.58555616438355</v>
      </c>
      <c r="T1500" s="5">
        <f t="shared" si="140"/>
        <v>2812.0587506849311</v>
      </c>
      <c r="U1500" s="15">
        <f t="shared" si="141"/>
        <v>80</v>
      </c>
      <c r="V1500" s="3">
        <f t="shared" si="142"/>
        <v>0</v>
      </c>
      <c r="W1500" s="3">
        <f t="shared" si="143"/>
        <v>1278</v>
      </c>
    </row>
    <row r="1501" spans="1:23" x14ac:dyDescent="0.2">
      <c r="A1501" t="s">
        <v>750</v>
      </c>
      <c r="B1501" t="s">
        <v>751</v>
      </c>
      <c r="C1501" t="s">
        <v>41</v>
      </c>
      <c r="D1501" t="s">
        <v>48</v>
      </c>
      <c r="E1501" t="s">
        <v>25</v>
      </c>
      <c r="F1501" s="7">
        <v>1709806</v>
      </c>
      <c r="G1501" t="s">
        <v>1791</v>
      </c>
      <c r="H1501" s="5">
        <v>29263</v>
      </c>
      <c r="I1501" s="12">
        <v>46040</v>
      </c>
      <c r="J1501" s="15">
        <v>60</v>
      </c>
      <c r="K1501" s="15">
        <v>4</v>
      </c>
      <c r="L1501" s="9">
        <v>0.12709999999999999</v>
      </c>
      <c r="M1501" s="9">
        <v>5.8200000000000002E-2</v>
      </c>
      <c r="N1501" s="15">
        <v>10</v>
      </c>
      <c r="O1501" t="s">
        <v>27</v>
      </c>
      <c r="P1501" t="s">
        <v>27</v>
      </c>
      <c r="Q1501" s="24">
        <v>0</v>
      </c>
      <c r="R1501" s="5">
        <f t="shared" si="138"/>
        <v>611.39626849315061</v>
      </c>
      <c r="S1501" s="5">
        <f t="shared" si="139"/>
        <v>46.660454794520547</v>
      </c>
      <c r="T1501" s="5">
        <f t="shared" si="140"/>
        <v>564.73581369863007</v>
      </c>
      <c r="U1501" s="15">
        <f t="shared" si="141"/>
        <v>50</v>
      </c>
      <c r="V1501" s="3">
        <f t="shared" si="142"/>
        <v>0</v>
      </c>
      <c r="W1501" s="3">
        <f t="shared" si="143"/>
        <v>1278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2983-FD07-BC49-AA0F-E92BB4033964}">
  <dimension ref="A2:L70"/>
  <sheetViews>
    <sheetView topLeftCell="D1" zoomScale="99" workbookViewId="0">
      <selection activeCell="B87" sqref="B87"/>
    </sheetView>
  </sheetViews>
  <sheetFormatPr baseColWidth="10" defaultRowHeight="15" x14ac:dyDescent="0.2"/>
  <cols>
    <col min="1" max="1" width="29.1640625" bestFit="1" customWidth="1"/>
    <col min="2" max="2" width="16.1640625" customWidth="1"/>
    <col min="3" max="3" width="15.1640625" bestFit="1" customWidth="1"/>
    <col min="4" max="4" width="18" bestFit="1" customWidth="1"/>
    <col min="5" max="5" width="13.83203125" customWidth="1"/>
    <col min="12" max="12" width="52.33203125" customWidth="1"/>
  </cols>
  <sheetData>
    <row r="2" spans="1:12" x14ac:dyDescent="0.2">
      <c r="A2" s="17" t="s">
        <v>1792</v>
      </c>
      <c r="B2" s="5">
        <f>SUM(Raw_Data!H:H)</f>
        <v>91636313</v>
      </c>
      <c r="H2" s="28" t="s">
        <v>1818</v>
      </c>
      <c r="I2" s="29"/>
      <c r="J2" s="29"/>
      <c r="K2" s="29"/>
      <c r="L2" s="30"/>
    </row>
    <row r="3" spans="1:12" x14ac:dyDescent="0.2">
      <c r="A3" s="17" t="s">
        <v>1793</v>
      </c>
      <c r="B3" s="5">
        <f>SUM(Raw_Data!T:T)</f>
        <v>1680346.800496713</v>
      </c>
      <c r="H3" s="31" t="s">
        <v>1819</v>
      </c>
      <c r="I3" s="32"/>
      <c r="J3" s="32"/>
      <c r="K3" s="32"/>
      <c r="L3" s="33"/>
    </row>
    <row r="4" spans="1:12" x14ac:dyDescent="0.2">
      <c r="A4" s="17" t="s">
        <v>1794</v>
      </c>
      <c r="B4" s="15">
        <f>AVERAGE(Raw_Data!U:U)</f>
        <v>51.499333333333333</v>
      </c>
      <c r="H4" s="31" t="s">
        <v>1820</v>
      </c>
      <c r="I4" s="32"/>
      <c r="J4" s="32"/>
      <c r="K4" s="32"/>
      <c r="L4" s="33"/>
    </row>
    <row r="5" spans="1:12" x14ac:dyDescent="0.2">
      <c r="A5" s="17" t="s">
        <v>1795</v>
      </c>
      <c r="B5" s="9">
        <f>AVERAGE(Raw_Data!L:L)</f>
        <v>0.12106173333333313</v>
      </c>
      <c r="H5" s="31" t="s">
        <v>1821</v>
      </c>
      <c r="I5" s="32"/>
      <c r="J5" s="32"/>
      <c r="K5" s="32"/>
      <c r="L5" s="33"/>
    </row>
    <row r="6" spans="1:12" x14ac:dyDescent="0.2">
      <c r="A6" s="17" t="s">
        <v>1796</v>
      </c>
      <c r="B6" s="9">
        <f>AVERAGE(Raw_Data!M:M)</f>
        <v>5.4783133333333248E-2</v>
      </c>
      <c r="H6" s="34" t="s">
        <v>1822</v>
      </c>
      <c r="I6" s="35"/>
      <c r="J6" s="35"/>
      <c r="K6" s="35"/>
      <c r="L6" s="36"/>
    </row>
    <row r="7" spans="1:12" x14ac:dyDescent="0.2">
      <c r="A7" s="17" t="s">
        <v>1797</v>
      </c>
      <c r="B7">
        <f>COUNTIF(Raw_Data!P:P,"Yes")</f>
        <v>1277</v>
      </c>
    </row>
    <row r="8" spans="1:12" x14ac:dyDescent="0.2">
      <c r="A8" s="17" t="s">
        <v>1798</v>
      </c>
      <c r="B8" s="10">
        <f>AVERAGE(Raw_Data!Q:Q)</f>
        <v>0.48206666666667103</v>
      </c>
    </row>
    <row r="9" spans="1:12" x14ac:dyDescent="0.2">
      <c r="A9" s="17" t="s">
        <v>1799</v>
      </c>
      <c r="B9" s="5">
        <f>AVERAGE(Raw_Data!T:T)</f>
        <v>1120.231200331142</v>
      </c>
    </row>
    <row r="12" spans="1:12" x14ac:dyDescent="0.2">
      <c r="A12" s="17" t="s">
        <v>1800</v>
      </c>
    </row>
    <row r="13" spans="1:12" x14ac:dyDescent="0.2">
      <c r="A13" s="18" t="s">
        <v>48</v>
      </c>
      <c r="B13" s="5">
        <f>SUMIFS(Raw_Data!T:T,Raw_Data!D:D,A13)</f>
        <v>316375.05392712343</v>
      </c>
    </row>
    <row r="14" spans="1:12" x14ac:dyDescent="0.2">
      <c r="A14" s="18" t="s">
        <v>66</v>
      </c>
      <c r="B14" s="5">
        <f>SUMIFS(Raw_Data!T:T,Raw_Data!D:D,A14)</f>
        <v>459072.98024219187</v>
      </c>
    </row>
    <row r="15" spans="1:12" x14ac:dyDescent="0.2">
      <c r="A15" s="18" t="s">
        <v>32</v>
      </c>
      <c r="B15" s="5">
        <f>SUMIFS(Raw_Data!T:T,Raw_Data!D:D,A15)</f>
        <v>299044.88476191752</v>
      </c>
    </row>
    <row r="16" spans="1:12" x14ac:dyDescent="0.2">
      <c r="A16" s="18" t="s">
        <v>37</v>
      </c>
      <c r="B16" s="5">
        <f>SUMIFS(Raw_Data!T:T,Raw_Data!D:D,A16)</f>
        <v>373499.70836520568</v>
      </c>
    </row>
    <row r="17" spans="1:2" x14ac:dyDescent="0.2">
      <c r="A17" s="18" t="s">
        <v>24</v>
      </c>
      <c r="B17" s="5">
        <f>SUMIFS(Raw_Data!T:T,Raw_Data!D:D,A17)</f>
        <v>232354.17320027389</v>
      </c>
    </row>
    <row r="19" spans="1:2" x14ac:dyDescent="0.2">
      <c r="A19" s="17"/>
    </row>
    <row r="20" spans="1:2" x14ac:dyDescent="0.2">
      <c r="A20" s="17" t="s">
        <v>1801</v>
      </c>
    </row>
    <row r="21" spans="1:2" x14ac:dyDescent="0.2">
      <c r="A21" s="18" t="s">
        <v>36</v>
      </c>
      <c r="B21" s="5">
        <f>SUMIFS(Raw_Data!T:T,Raw_Data!C:C,A21)</f>
        <v>330473.52555068547</v>
      </c>
    </row>
    <row r="22" spans="1:2" x14ac:dyDescent="0.2">
      <c r="A22" s="18" t="s">
        <v>41</v>
      </c>
      <c r="B22" s="5">
        <f>SUMIFS(Raw_Data!T:T,Raw_Data!C:C,A22)</f>
        <v>314319.53808273969</v>
      </c>
    </row>
    <row r="23" spans="1:2" x14ac:dyDescent="0.2">
      <c r="A23" s="18" t="s">
        <v>23</v>
      </c>
      <c r="B23" s="5">
        <f>SUMIFS(Raw_Data!T:T,Raw_Data!C:C,A23)</f>
        <v>330318.63725616439</v>
      </c>
    </row>
    <row r="24" spans="1:2" x14ac:dyDescent="0.2">
      <c r="A24" s="18" t="s">
        <v>31</v>
      </c>
      <c r="B24" s="5">
        <f>SUMIFS(Raw_Data!T:T,Raw_Data!C:C,A24)</f>
        <v>390753.5567210961</v>
      </c>
    </row>
    <row r="25" spans="1:2" x14ac:dyDescent="0.2">
      <c r="A25" s="18" t="s">
        <v>77</v>
      </c>
      <c r="B25" s="5">
        <f>SUMIFS(Raw_Data!T:T,Raw_Data!C:C,A25)</f>
        <v>314481.54288602719</v>
      </c>
    </row>
    <row r="28" spans="1:2" x14ac:dyDescent="0.2">
      <c r="A28" s="17" t="s">
        <v>1802</v>
      </c>
    </row>
    <row r="29" spans="1:2" x14ac:dyDescent="0.2">
      <c r="A29" s="18" t="s">
        <v>49</v>
      </c>
      <c r="B29" s="5">
        <f>SUMIFS(Raw_Data!T:T,Raw_Data!E:E,A29)</f>
        <v>701926.96321616403</v>
      </c>
    </row>
    <row r="30" spans="1:2" x14ac:dyDescent="0.2">
      <c r="A30" s="18" t="s">
        <v>25</v>
      </c>
      <c r="B30" s="5">
        <f>SUMIFS(Raw_Data!T:T,Raw_Data!E:E,A30)</f>
        <v>698307.28973561572</v>
      </c>
    </row>
    <row r="31" spans="1:2" x14ac:dyDescent="0.2">
      <c r="A31" s="18" t="s">
        <v>56</v>
      </c>
      <c r="B31" s="5">
        <f>SUMIFS(Raw_Data!T:T,Raw_Data!E:E,A31)</f>
        <v>280112.54754493164</v>
      </c>
    </row>
    <row r="32" spans="1:2" x14ac:dyDescent="0.2">
      <c r="A32" s="18"/>
      <c r="B32" s="5"/>
    </row>
    <row r="35" spans="1:4" x14ac:dyDescent="0.2">
      <c r="A35" s="37" t="s">
        <v>1805</v>
      </c>
      <c r="B35" s="37"/>
      <c r="C35" s="37"/>
      <c r="D35" s="37"/>
    </row>
    <row r="36" spans="1:4" x14ac:dyDescent="0.2">
      <c r="A36" s="17" t="s">
        <v>1806</v>
      </c>
      <c r="B36" s="17" t="s">
        <v>2</v>
      </c>
      <c r="C36" s="17" t="s">
        <v>3</v>
      </c>
      <c r="D36" s="17" t="s">
        <v>1807</v>
      </c>
    </row>
    <row r="37" spans="1:4" x14ac:dyDescent="0.2">
      <c r="A37" s="21" t="s">
        <v>89</v>
      </c>
      <c r="B37" s="2" t="str">
        <f>_xlfn.XLOOKUP(A37,Raw_Data!B:B,Raw_Data!C:C)</f>
        <v>Europe</v>
      </c>
      <c r="C37" s="2" t="str">
        <f>_xlfn.XLOOKUP(A37,Raw_Data!B:B,Raw_Data!D:D)</f>
        <v>MRO</v>
      </c>
      <c r="D37" s="3">
        <v>113236.74668499998</v>
      </c>
    </row>
    <row r="38" spans="1:4" x14ac:dyDescent="0.2">
      <c r="A38" s="21" t="s">
        <v>76</v>
      </c>
      <c r="B38" s="2" t="str">
        <f>_xlfn.XLOOKUP(A38,Raw_Data!B:B,Raw_Data!C:C)</f>
        <v>US</v>
      </c>
      <c r="C38" s="2" t="str">
        <f>_xlfn.XLOOKUP(A38,Raw_Data!B:B,Raw_Data!D:D)</f>
        <v>Logistics</v>
      </c>
      <c r="D38" s="3">
        <v>110222.05858500002</v>
      </c>
    </row>
    <row r="39" spans="1:4" x14ac:dyDescent="0.2">
      <c r="A39" s="21" t="s">
        <v>47</v>
      </c>
      <c r="B39" s="2" t="str">
        <f>_xlfn.XLOOKUP(A39,Raw_Data!B:B,Raw_Data!C:C)</f>
        <v>Europe</v>
      </c>
      <c r="C39" s="2" t="str">
        <f>_xlfn.XLOOKUP(A39,Raw_Data!B:B,Raw_Data!D:D)</f>
        <v>Packaging</v>
      </c>
      <c r="D39" s="3">
        <v>96743.935830000017</v>
      </c>
    </row>
    <row r="40" spans="1:4" x14ac:dyDescent="0.2">
      <c r="A40" s="21" t="s">
        <v>59</v>
      </c>
      <c r="B40" s="2" t="str">
        <f>_xlfn.XLOOKUP(A40,Raw_Data!B:B,Raw_Data!C:C)</f>
        <v>APAC</v>
      </c>
      <c r="C40" s="2" t="str">
        <f>_xlfn.XLOOKUP(A40,Raw_Data!B:B,Raw_Data!D:D)</f>
        <v>Ingredients</v>
      </c>
      <c r="D40" s="3">
        <v>94542.149734999999</v>
      </c>
    </row>
    <row r="41" spans="1:4" x14ac:dyDescent="0.2">
      <c r="A41" s="21" t="s">
        <v>218</v>
      </c>
      <c r="B41" s="2" t="str">
        <f>_xlfn.XLOOKUP(A41,Raw_Data!B:B,Raw_Data!C:C)</f>
        <v>Mexico</v>
      </c>
      <c r="C41" s="2" t="str">
        <f>_xlfn.XLOOKUP(A41,Raw_Data!B:B,Raw_Data!D:D)</f>
        <v>Packaging</v>
      </c>
      <c r="D41" s="3">
        <v>76858.182570000004</v>
      </c>
    </row>
    <row r="42" spans="1:4" x14ac:dyDescent="0.2">
      <c r="A42" s="21" t="s">
        <v>439</v>
      </c>
      <c r="B42" s="2" t="str">
        <f>_xlfn.XLOOKUP(A42,Raw_Data!B:B,Raw_Data!C:C)</f>
        <v>Canada</v>
      </c>
      <c r="C42" s="2" t="str">
        <f>_xlfn.XLOOKUP(A42,Raw_Data!B:B,Raw_Data!D:D)</f>
        <v>Packaging</v>
      </c>
      <c r="D42" s="3">
        <v>62917.974925000017</v>
      </c>
    </row>
    <row r="43" spans="1:4" x14ac:dyDescent="0.2">
      <c r="A43" s="21" t="s">
        <v>204</v>
      </c>
      <c r="B43" s="2" t="str">
        <f>_xlfn.XLOOKUP(A43,Raw_Data!B:B,Raw_Data!C:C)</f>
        <v>US</v>
      </c>
      <c r="C43" s="2" t="str">
        <f>_xlfn.XLOOKUP(A43,Raw_Data!B:B,Raw_Data!D:D)</f>
        <v>Logistics</v>
      </c>
      <c r="D43" s="3">
        <v>55904.582054999999</v>
      </c>
    </row>
    <row r="44" spans="1:4" x14ac:dyDescent="0.2">
      <c r="A44" s="21" t="s">
        <v>194</v>
      </c>
      <c r="B44" s="2" t="str">
        <f>_xlfn.XLOOKUP(A44,Raw_Data!B:B,Raw_Data!C:C)</f>
        <v>Europe</v>
      </c>
      <c r="C44" s="2" t="str">
        <f>_xlfn.XLOOKUP(A44,Raw_Data!B:B,Raw_Data!D:D)</f>
        <v>Ingredients</v>
      </c>
      <c r="D44" s="3">
        <v>53927.990264999993</v>
      </c>
    </row>
    <row r="45" spans="1:4" x14ac:dyDescent="0.2">
      <c r="A45" s="21" t="s">
        <v>62</v>
      </c>
      <c r="B45" s="2" t="str">
        <f>_xlfn.XLOOKUP(A45,Raw_Data!B:B,Raw_Data!C:C)</f>
        <v>Europe</v>
      </c>
      <c r="C45" s="2" t="str">
        <f>_xlfn.XLOOKUP(A45,Raw_Data!B:B,Raw_Data!D:D)</f>
        <v>Packaging</v>
      </c>
      <c r="D45" s="3">
        <v>53896.690144999986</v>
      </c>
    </row>
    <row r="46" spans="1:4" x14ac:dyDescent="0.2">
      <c r="A46" s="21" t="s">
        <v>118</v>
      </c>
      <c r="B46" s="2" t="str">
        <f>_xlfn.XLOOKUP(A46,Raw_Data!B:B,Raw_Data!C:C)</f>
        <v>APAC</v>
      </c>
      <c r="C46" s="2" t="str">
        <f>_xlfn.XLOOKUP(A46,Raw_Data!B:B,Raw_Data!D:D)</f>
        <v>Components</v>
      </c>
      <c r="D46" s="3">
        <v>52902.960139999996</v>
      </c>
    </row>
    <row r="50" spans="1:5" x14ac:dyDescent="0.2">
      <c r="A50" s="17" t="s">
        <v>1811</v>
      </c>
    </row>
    <row r="52" spans="1:5" x14ac:dyDescent="0.2">
      <c r="A52" s="19" t="s">
        <v>1812</v>
      </c>
      <c r="B52" s="5">
        <f>SUMPRODUCT(Raw_Data!H2:H1501,Raw_Data!Q2:Q1501)</f>
        <v>43942944.200000003</v>
      </c>
      <c r="C52" s="5"/>
    </row>
    <row r="53" spans="1:5" x14ac:dyDescent="0.2">
      <c r="A53" s="19" t="s">
        <v>1813</v>
      </c>
      <c r="B53" s="9">
        <f>B5-B6</f>
        <v>6.6278599999999882E-2</v>
      </c>
    </row>
    <row r="54" spans="1:5" x14ac:dyDescent="0.2">
      <c r="A54" s="19" t="s">
        <v>1814</v>
      </c>
      <c r="B54" s="5">
        <f>B52*B53</f>
        <v>2912476.8214541152</v>
      </c>
    </row>
    <row r="58" spans="1:5" x14ac:dyDescent="0.2">
      <c r="A58" s="27" t="s">
        <v>1815</v>
      </c>
      <c r="B58" s="27"/>
      <c r="D58" s="27" t="s">
        <v>1816</v>
      </c>
      <c r="E58" s="27"/>
    </row>
    <row r="59" spans="1:5" x14ac:dyDescent="0.2">
      <c r="A59" s="18" t="s">
        <v>49</v>
      </c>
      <c r="B59" s="22">
        <f>AVERAGEIFS(Raw_Data!Q:Q,Raw_Data!E:E,A59)</f>
        <v>0.49487427466150774</v>
      </c>
      <c r="D59" s="18" t="s">
        <v>49</v>
      </c>
      <c r="E59" s="25">
        <f>AVERAGEIFS(Raw_Data!L:L,Raw_Data!E:E,D59)</f>
        <v>0.14691257253384918</v>
      </c>
    </row>
    <row r="60" spans="1:5" x14ac:dyDescent="0.2">
      <c r="A60" s="18" t="s">
        <v>25</v>
      </c>
      <c r="B60" s="22">
        <f>AVERAGEIFS(Raw_Data!Q:Q,Raw_Data!E:E,A60)</f>
        <v>0.4759938837920486</v>
      </c>
      <c r="D60" s="18" t="s">
        <v>25</v>
      </c>
      <c r="E60" s="25">
        <f>AVERAGEIFS(Raw_Data!L:L,Raw_Data!E:E,D60)</f>
        <v>0.11647996941896033</v>
      </c>
    </row>
    <row r="61" spans="1:5" x14ac:dyDescent="0.2">
      <c r="A61" s="18" t="s">
        <v>56</v>
      </c>
      <c r="B61" s="22">
        <f>AVERAGEIFS(Raw_Data!Q:Q,Raw_Data!E:E,A61)</f>
        <v>0.47401215805470975</v>
      </c>
      <c r="D61" s="18" t="s">
        <v>56</v>
      </c>
      <c r="E61" s="25">
        <f>AVERAGEIFS(Raw_Data!L:L,Raw_Data!E:E,D61)</f>
        <v>8.9546808510638107E-2</v>
      </c>
    </row>
    <row r="65" spans="1:2" x14ac:dyDescent="0.2">
      <c r="A65" s="27" t="s">
        <v>1817</v>
      </c>
      <c r="B65" s="27"/>
    </row>
    <row r="66" spans="1:2" x14ac:dyDescent="0.2">
      <c r="A66" s="18" t="s">
        <v>36</v>
      </c>
      <c r="B66" s="26">
        <f>AVERAGEIFS(Raw_Data!V:V,Raw_Data!C:C,A66)</f>
        <v>2018.4233624919088</v>
      </c>
    </row>
    <row r="67" spans="1:2" x14ac:dyDescent="0.2">
      <c r="A67" s="18" t="s">
        <v>41</v>
      </c>
      <c r="B67" s="26">
        <f>AVERAGEIFS(Raw_Data!V:V,Raw_Data!C:C,A67)</f>
        <v>1987.1622229999994</v>
      </c>
    </row>
    <row r="68" spans="1:2" x14ac:dyDescent="0.2">
      <c r="A68" s="18" t="s">
        <v>23</v>
      </c>
      <c r="B68" s="26">
        <f>AVERAGEIFS(Raw_Data!V:V,Raw_Data!C:C,A68)</f>
        <v>1786.7861216101701</v>
      </c>
    </row>
    <row r="69" spans="1:2" x14ac:dyDescent="0.2">
      <c r="A69" s="18" t="s">
        <v>31</v>
      </c>
      <c r="B69" s="26">
        <f>AVERAGEIFS(Raw_Data!V:V,Raw_Data!C:C,A69)</f>
        <v>2022.3711912908</v>
      </c>
    </row>
    <row r="70" spans="1:2" x14ac:dyDescent="0.2">
      <c r="A70" s="18" t="s">
        <v>77</v>
      </c>
      <c r="B70" s="26">
        <f>AVERAGEIFS(Raw_Data!V:V,Raw_Data!C:C,A70)</f>
        <v>1879.5704655633817</v>
      </c>
    </row>
  </sheetData>
  <mergeCells count="9">
    <mergeCell ref="A65:B65"/>
    <mergeCell ref="H2:L2"/>
    <mergeCell ref="H3:L3"/>
    <mergeCell ref="H4:L4"/>
    <mergeCell ref="H5:L5"/>
    <mergeCell ref="H6:L6"/>
    <mergeCell ref="A35:D35"/>
    <mergeCell ref="A58:B58"/>
    <mergeCell ref="D58:E58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CACA-3C45-FC4D-B4B8-C81D3C5829B0}">
  <dimension ref="A1:F6"/>
  <sheetViews>
    <sheetView workbookViewId="0">
      <selection activeCell="C12" sqref="C12"/>
    </sheetView>
  </sheetViews>
  <sheetFormatPr baseColWidth="10" defaultRowHeight="15" x14ac:dyDescent="0.2"/>
  <cols>
    <col min="3" max="3" width="12.1640625" bestFit="1" customWidth="1"/>
    <col min="4" max="4" width="20" bestFit="1" customWidth="1"/>
    <col min="5" max="5" width="19.1640625" bestFit="1" customWidth="1"/>
    <col min="6" max="6" width="15.1640625" bestFit="1" customWidth="1"/>
  </cols>
  <sheetData>
    <row r="1" spans="1:6" ht="16" x14ac:dyDescent="0.2">
      <c r="A1" s="16" t="s">
        <v>2</v>
      </c>
      <c r="B1" s="16" t="s">
        <v>3</v>
      </c>
      <c r="C1" s="16" t="s">
        <v>4</v>
      </c>
      <c r="D1" s="16" t="s">
        <v>9</v>
      </c>
      <c r="E1" s="16" t="s">
        <v>14</v>
      </c>
      <c r="F1" s="16" t="s">
        <v>15</v>
      </c>
    </row>
    <row r="2" spans="1:6" x14ac:dyDescent="0.2">
      <c r="A2" t="s">
        <v>36</v>
      </c>
      <c r="B2" t="s">
        <v>48</v>
      </c>
      <c r="C2" t="s">
        <v>49</v>
      </c>
      <c r="D2">
        <v>30</v>
      </c>
      <c r="E2" t="s">
        <v>28</v>
      </c>
      <c r="F2" t="s">
        <v>28</v>
      </c>
    </row>
    <row r="3" spans="1:6" x14ac:dyDescent="0.2">
      <c r="A3" t="s">
        <v>41</v>
      </c>
      <c r="B3" t="s">
        <v>66</v>
      </c>
      <c r="C3" t="s">
        <v>25</v>
      </c>
      <c r="D3">
        <v>45</v>
      </c>
      <c r="E3" t="s">
        <v>27</v>
      </c>
      <c r="F3" t="s">
        <v>27</v>
      </c>
    </row>
    <row r="4" spans="1:6" x14ac:dyDescent="0.2">
      <c r="A4" t="s">
        <v>23</v>
      </c>
      <c r="B4" t="s">
        <v>32</v>
      </c>
      <c r="C4" t="s">
        <v>56</v>
      </c>
      <c r="D4">
        <v>60</v>
      </c>
    </row>
    <row r="5" spans="1:6" x14ac:dyDescent="0.2">
      <c r="A5" t="s">
        <v>31</v>
      </c>
      <c r="B5" t="s">
        <v>37</v>
      </c>
      <c r="D5">
        <v>90</v>
      </c>
    </row>
    <row r="6" spans="1:6" x14ac:dyDescent="0.2">
      <c r="A6" t="s">
        <v>77</v>
      </c>
      <c r="B6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E1D9-DFCA-5845-A084-9D667C7DAC28}">
  <dimension ref="A1:I40"/>
  <sheetViews>
    <sheetView workbookViewId="0">
      <selection sqref="A1:I40"/>
    </sheetView>
  </sheetViews>
  <sheetFormatPr baseColWidth="10" defaultRowHeight="15" x14ac:dyDescent="0.2"/>
  <sheetData>
    <row r="1" spans="1:9" x14ac:dyDescent="0.2">
      <c r="A1" s="38"/>
      <c r="B1" s="38"/>
      <c r="C1" s="38"/>
      <c r="D1" s="38"/>
      <c r="E1" s="38"/>
      <c r="F1" s="38"/>
      <c r="G1" s="38"/>
      <c r="H1" s="38"/>
      <c r="I1" s="38"/>
    </row>
    <row r="2" spans="1:9" x14ac:dyDescent="0.2">
      <c r="A2" s="38"/>
      <c r="B2" s="38"/>
      <c r="C2" s="38"/>
      <c r="D2" s="38"/>
      <c r="E2" s="38"/>
      <c r="F2" s="38"/>
      <c r="G2" s="38"/>
      <c r="H2" s="38"/>
      <c r="I2" s="38"/>
    </row>
    <row r="3" spans="1:9" x14ac:dyDescent="0.2">
      <c r="A3" s="38"/>
      <c r="B3" s="38"/>
      <c r="C3" s="38"/>
      <c r="D3" s="38"/>
      <c r="E3" s="38"/>
      <c r="F3" s="38"/>
      <c r="G3" s="38"/>
      <c r="H3" s="38"/>
      <c r="I3" s="38"/>
    </row>
    <row r="4" spans="1:9" x14ac:dyDescent="0.2">
      <c r="A4" s="38"/>
      <c r="B4" s="38"/>
      <c r="C4" s="38"/>
      <c r="D4" s="38"/>
      <c r="E4" s="38"/>
      <c r="F4" s="38"/>
      <c r="G4" s="38"/>
      <c r="H4" s="38"/>
      <c r="I4" s="38"/>
    </row>
    <row r="5" spans="1:9" x14ac:dyDescent="0.2">
      <c r="A5" s="38"/>
      <c r="B5" s="38"/>
      <c r="C5" s="38"/>
      <c r="D5" s="38"/>
      <c r="E5" s="38"/>
      <c r="F5" s="38"/>
      <c r="G5" s="38"/>
      <c r="H5" s="38"/>
      <c r="I5" s="38"/>
    </row>
    <row r="6" spans="1:9" x14ac:dyDescent="0.2">
      <c r="A6" s="38"/>
      <c r="B6" s="38"/>
      <c r="C6" s="38"/>
      <c r="D6" s="38"/>
      <c r="E6" s="38"/>
      <c r="F6" s="38"/>
      <c r="G6" s="38"/>
      <c r="H6" s="38"/>
      <c r="I6" s="38"/>
    </row>
    <row r="7" spans="1:9" x14ac:dyDescent="0.2">
      <c r="A7" s="38"/>
      <c r="B7" s="38"/>
      <c r="C7" s="38"/>
      <c r="D7" s="38"/>
      <c r="E7" s="38"/>
      <c r="F7" s="38"/>
      <c r="G7" s="38"/>
      <c r="H7" s="38"/>
      <c r="I7" s="38"/>
    </row>
    <row r="8" spans="1:9" x14ac:dyDescent="0.2">
      <c r="A8" s="38"/>
      <c r="B8" s="38"/>
      <c r="C8" s="38"/>
      <c r="D8" s="38"/>
      <c r="E8" s="38"/>
      <c r="F8" s="38"/>
      <c r="G8" s="38"/>
      <c r="H8" s="38"/>
      <c r="I8" s="38"/>
    </row>
    <row r="9" spans="1:9" x14ac:dyDescent="0.2">
      <c r="A9" s="38"/>
      <c r="B9" s="38"/>
      <c r="C9" s="38"/>
      <c r="D9" s="38"/>
      <c r="E9" s="38"/>
      <c r="F9" s="38"/>
      <c r="G9" s="38"/>
      <c r="H9" s="38"/>
      <c r="I9" s="38"/>
    </row>
    <row r="10" spans="1:9" x14ac:dyDescent="0.2">
      <c r="A10" s="38"/>
      <c r="B10" s="38"/>
      <c r="C10" s="38"/>
      <c r="D10" s="38"/>
      <c r="E10" s="38"/>
      <c r="F10" s="38"/>
      <c r="G10" s="38"/>
      <c r="H10" s="38"/>
      <c r="I10" s="38"/>
    </row>
    <row r="11" spans="1:9" x14ac:dyDescent="0.2">
      <c r="A11" s="38"/>
      <c r="B11" s="38"/>
      <c r="C11" s="38"/>
      <c r="D11" s="38"/>
      <c r="E11" s="38"/>
      <c r="F11" s="38"/>
      <c r="G11" s="38"/>
      <c r="H11" s="38"/>
      <c r="I11" s="38"/>
    </row>
    <row r="12" spans="1:9" x14ac:dyDescent="0.2">
      <c r="A12" s="38"/>
      <c r="B12" s="38"/>
      <c r="C12" s="38"/>
      <c r="D12" s="38"/>
      <c r="E12" s="38"/>
      <c r="F12" s="38"/>
      <c r="G12" s="38"/>
      <c r="H12" s="38"/>
      <c r="I12" s="38"/>
    </row>
    <row r="13" spans="1:9" x14ac:dyDescent="0.2">
      <c r="A13" s="38"/>
      <c r="B13" s="38"/>
      <c r="C13" s="38"/>
      <c r="D13" s="38"/>
      <c r="E13" s="38"/>
      <c r="F13" s="38"/>
      <c r="G13" s="38"/>
      <c r="H13" s="38"/>
      <c r="I13" s="38"/>
    </row>
    <row r="14" spans="1:9" x14ac:dyDescent="0.2">
      <c r="A14" s="38"/>
      <c r="B14" s="38"/>
      <c r="C14" s="38"/>
      <c r="D14" s="38"/>
      <c r="E14" s="38"/>
      <c r="F14" s="38"/>
      <c r="G14" s="38"/>
      <c r="H14" s="38"/>
      <c r="I14" s="38"/>
    </row>
    <row r="15" spans="1:9" x14ac:dyDescent="0.2">
      <c r="A15" s="38"/>
      <c r="B15" s="38"/>
      <c r="C15" s="38"/>
      <c r="D15" s="38"/>
      <c r="E15" s="38"/>
      <c r="F15" s="38"/>
      <c r="G15" s="38"/>
      <c r="H15" s="38"/>
      <c r="I15" s="38"/>
    </row>
    <row r="16" spans="1:9" x14ac:dyDescent="0.2">
      <c r="A16" s="38"/>
      <c r="B16" s="38"/>
      <c r="C16" s="38"/>
      <c r="D16" s="38"/>
      <c r="E16" s="38"/>
      <c r="F16" s="38"/>
      <c r="G16" s="38"/>
      <c r="H16" s="38"/>
      <c r="I16" s="38"/>
    </row>
    <row r="17" spans="1:9" x14ac:dyDescent="0.2">
      <c r="A17" s="38"/>
      <c r="B17" s="38"/>
      <c r="C17" s="38"/>
      <c r="D17" s="38"/>
      <c r="E17" s="38"/>
      <c r="F17" s="38"/>
      <c r="G17" s="38"/>
      <c r="H17" s="38"/>
      <c r="I17" s="38"/>
    </row>
    <row r="18" spans="1:9" x14ac:dyDescent="0.2">
      <c r="A18" s="38"/>
      <c r="B18" s="38"/>
      <c r="C18" s="38"/>
      <c r="D18" s="38"/>
      <c r="E18" s="38"/>
      <c r="F18" s="38"/>
      <c r="G18" s="38"/>
      <c r="H18" s="38"/>
      <c r="I18" s="38"/>
    </row>
    <row r="19" spans="1:9" x14ac:dyDescent="0.2">
      <c r="A19" s="38"/>
      <c r="B19" s="38"/>
      <c r="C19" s="38"/>
      <c r="D19" s="38"/>
      <c r="E19" s="38"/>
      <c r="F19" s="38"/>
      <c r="G19" s="38"/>
      <c r="H19" s="38"/>
      <c r="I19" s="38"/>
    </row>
    <row r="20" spans="1:9" x14ac:dyDescent="0.2">
      <c r="A20" s="38"/>
      <c r="B20" s="38"/>
      <c r="C20" s="38"/>
      <c r="D20" s="38"/>
      <c r="E20" s="38"/>
      <c r="F20" s="38"/>
      <c r="G20" s="38"/>
      <c r="H20" s="38"/>
      <c r="I20" s="38"/>
    </row>
    <row r="21" spans="1:9" x14ac:dyDescent="0.2">
      <c r="A21" s="38"/>
      <c r="B21" s="38"/>
      <c r="C21" s="38"/>
      <c r="D21" s="38"/>
      <c r="E21" s="38"/>
      <c r="F21" s="38"/>
      <c r="G21" s="38"/>
      <c r="H21" s="38"/>
      <c r="I21" s="38"/>
    </row>
    <row r="22" spans="1:9" x14ac:dyDescent="0.2">
      <c r="A22" s="38"/>
      <c r="B22" s="38"/>
      <c r="C22" s="38"/>
      <c r="D22" s="38"/>
      <c r="E22" s="38"/>
      <c r="F22" s="38"/>
      <c r="G22" s="38"/>
      <c r="H22" s="38"/>
      <c r="I22" s="38"/>
    </row>
    <row r="23" spans="1:9" x14ac:dyDescent="0.2">
      <c r="A23" s="38"/>
      <c r="B23" s="38"/>
      <c r="C23" s="38"/>
      <c r="D23" s="38"/>
      <c r="E23" s="38"/>
      <c r="F23" s="38"/>
      <c r="G23" s="38"/>
      <c r="H23" s="38"/>
      <c r="I23" s="38"/>
    </row>
    <row r="24" spans="1:9" x14ac:dyDescent="0.2">
      <c r="A24" s="38"/>
      <c r="B24" s="38"/>
      <c r="C24" s="38"/>
      <c r="D24" s="38"/>
      <c r="E24" s="38"/>
      <c r="F24" s="38"/>
      <c r="G24" s="38"/>
      <c r="H24" s="38"/>
      <c r="I24" s="38"/>
    </row>
    <row r="25" spans="1:9" x14ac:dyDescent="0.2">
      <c r="A25" s="38"/>
      <c r="B25" s="38"/>
      <c r="C25" s="38"/>
      <c r="D25" s="38"/>
      <c r="E25" s="38"/>
      <c r="F25" s="38"/>
      <c r="G25" s="38"/>
      <c r="H25" s="38"/>
      <c r="I25" s="38"/>
    </row>
    <row r="26" spans="1:9" x14ac:dyDescent="0.2">
      <c r="A26" s="38"/>
      <c r="B26" s="38"/>
      <c r="C26" s="38"/>
      <c r="D26" s="38"/>
      <c r="E26" s="38"/>
      <c r="F26" s="38"/>
      <c r="G26" s="38"/>
      <c r="H26" s="38"/>
      <c r="I26" s="38"/>
    </row>
    <row r="27" spans="1:9" x14ac:dyDescent="0.2">
      <c r="A27" s="38"/>
      <c r="B27" s="38"/>
      <c r="C27" s="38"/>
      <c r="D27" s="38"/>
      <c r="E27" s="38"/>
      <c r="F27" s="38"/>
      <c r="G27" s="38"/>
      <c r="H27" s="38"/>
      <c r="I27" s="38"/>
    </row>
    <row r="28" spans="1:9" x14ac:dyDescent="0.2">
      <c r="A28" s="38"/>
      <c r="B28" s="38"/>
      <c r="C28" s="38"/>
      <c r="D28" s="38"/>
      <c r="E28" s="38"/>
      <c r="F28" s="38"/>
      <c r="G28" s="38"/>
      <c r="H28" s="38"/>
      <c r="I28" s="38"/>
    </row>
    <row r="29" spans="1:9" x14ac:dyDescent="0.2">
      <c r="A29" s="38"/>
      <c r="B29" s="38"/>
      <c r="C29" s="38"/>
      <c r="D29" s="38"/>
      <c r="E29" s="38"/>
      <c r="F29" s="38"/>
      <c r="G29" s="38"/>
      <c r="H29" s="38"/>
      <c r="I29" s="38"/>
    </row>
    <row r="30" spans="1:9" x14ac:dyDescent="0.2">
      <c r="A30" s="38"/>
      <c r="B30" s="38"/>
      <c r="C30" s="38"/>
      <c r="D30" s="38"/>
      <c r="E30" s="38"/>
      <c r="F30" s="38"/>
      <c r="G30" s="38"/>
      <c r="H30" s="38"/>
      <c r="I30" s="38"/>
    </row>
    <row r="31" spans="1:9" x14ac:dyDescent="0.2">
      <c r="A31" s="38"/>
      <c r="B31" s="38"/>
      <c r="C31" s="38"/>
      <c r="D31" s="38"/>
      <c r="E31" s="38"/>
      <c r="F31" s="38"/>
      <c r="G31" s="38"/>
      <c r="H31" s="38"/>
      <c r="I31" s="38"/>
    </row>
    <row r="32" spans="1:9" x14ac:dyDescent="0.2">
      <c r="A32" s="38"/>
      <c r="B32" s="38"/>
      <c r="C32" s="38"/>
      <c r="D32" s="38"/>
      <c r="E32" s="38"/>
      <c r="F32" s="38"/>
      <c r="G32" s="38"/>
      <c r="H32" s="38"/>
      <c r="I32" s="38"/>
    </row>
    <row r="33" spans="1:9" x14ac:dyDescent="0.2">
      <c r="A33" s="38"/>
      <c r="B33" s="38"/>
      <c r="C33" s="38"/>
      <c r="D33" s="38"/>
      <c r="E33" s="38"/>
      <c r="F33" s="38"/>
      <c r="G33" s="38"/>
      <c r="H33" s="38"/>
      <c r="I33" s="38"/>
    </row>
    <row r="34" spans="1:9" x14ac:dyDescent="0.2">
      <c r="A34" s="38"/>
      <c r="B34" s="38"/>
      <c r="C34" s="38"/>
      <c r="D34" s="38"/>
      <c r="E34" s="38"/>
      <c r="F34" s="38"/>
      <c r="G34" s="38"/>
      <c r="H34" s="38"/>
      <c r="I34" s="38"/>
    </row>
    <row r="35" spans="1:9" x14ac:dyDescent="0.2">
      <c r="A35" s="38"/>
      <c r="B35" s="38"/>
      <c r="C35" s="38"/>
      <c r="D35" s="38"/>
      <c r="E35" s="38"/>
      <c r="F35" s="38"/>
      <c r="G35" s="38"/>
      <c r="H35" s="38"/>
      <c r="I35" s="38"/>
    </row>
    <row r="36" spans="1:9" x14ac:dyDescent="0.2">
      <c r="A36" s="38"/>
      <c r="B36" s="38"/>
      <c r="C36" s="38"/>
      <c r="D36" s="38"/>
      <c r="E36" s="38"/>
      <c r="F36" s="38"/>
      <c r="G36" s="38"/>
      <c r="H36" s="38"/>
      <c r="I36" s="38"/>
    </row>
    <row r="37" spans="1:9" x14ac:dyDescent="0.2">
      <c r="A37" s="38"/>
      <c r="B37" s="38"/>
      <c r="C37" s="38"/>
      <c r="D37" s="38"/>
      <c r="E37" s="38"/>
      <c r="F37" s="38"/>
      <c r="G37" s="38"/>
      <c r="H37" s="38"/>
      <c r="I37" s="38"/>
    </row>
    <row r="38" spans="1:9" x14ac:dyDescent="0.2">
      <c r="A38" s="38"/>
      <c r="B38" s="38"/>
      <c r="C38" s="38"/>
      <c r="D38" s="38"/>
      <c r="E38" s="38"/>
      <c r="F38" s="38"/>
      <c r="G38" s="38"/>
      <c r="H38" s="38"/>
      <c r="I38" s="38"/>
    </row>
    <row r="39" spans="1:9" x14ac:dyDescent="0.2">
      <c r="A39" s="38"/>
      <c r="B39" s="38"/>
      <c r="C39" s="38"/>
      <c r="D39" s="38"/>
      <c r="E39" s="38"/>
      <c r="F39" s="38"/>
      <c r="G39" s="38"/>
      <c r="H39" s="38"/>
      <c r="I39" s="38"/>
    </row>
    <row r="40" spans="1:9" x14ac:dyDescent="0.2">
      <c r="A40" s="38"/>
      <c r="B40" s="38"/>
      <c r="C40" s="38"/>
      <c r="D40" s="38"/>
      <c r="E40" s="38"/>
      <c r="F40" s="38"/>
      <c r="G40" s="38"/>
      <c r="H40" s="38"/>
      <c r="I40" s="38"/>
    </row>
  </sheetData>
  <mergeCells count="1">
    <mergeCell ref="A1:I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Supplier_Opportunity</vt:lpstr>
      <vt:lpstr>Raw_Data</vt:lpstr>
      <vt:lpstr>KPI_Dashboard</vt:lpstr>
      <vt:lpstr>Lookup_Lists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Hirani</cp:lastModifiedBy>
  <dcterms:created xsi:type="dcterms:W3CDTF">2026-03-15T01:04:21Z</dcterms:created>
  <dcterms:modified xsi:type="dcterms:W3CDTF">2026-03-15T08:37:26Z</dcterms:modified>
</cp:coreProperties>
</file>